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4.xml" ContentType="application/vnd.openxmlformats-officedocument.drawingml.chart+xml"/>
  <Override PartName="/xl/charts/chart15.xml" ContentType="application/vnd.openxmlformats-officedocument.drawingml.chart+xml"/>
  <Override PartName="/xl/charts/chart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 Dashboard" sheetId="1" state="visible" r:id="rId2"/>
    <sheet name="Inventory Dashboard" sheetId="2" state="visible" r:id="rId3"/>
    <sheet name="Order Management Dashboard" sheetId="3" state="visible" r:id="rId4"/>
    <sheet name="Supplier Performance Dashboard" sheetId="4" state="visible" r:id="rId5"/>
    <sheet name="Product Performance Dashboard" sheetId="5" state="visible" r:id="rId6"/>
    <sheet name="Order Tracking" sheetId="6" state="visible" r:id="rId7"/>
    <sheet name="Inventory Management" sheetId="7" state="visible" r:id="rId8"/>
    <sheet name="Supplier Database" sheetId="8" state="visible" r:id="rId9"/>
    <sheet name="Product Master" sheetId="9" state="visible" r:id="rId10"/>
    <sheet name="Purchase Management" sheetId="10" state="visible" r:id="rId11"/>
    <sheet name="Daily MIS Report" sheetId="11" state="visible" r:id="rId12"/>
    <sheet name="Weekly &amp; Monthly MIS Reports" sheetId="12" state="visible" r:id="rId13"/>
  </sheets>
  <definedNames>
    <definedName function="false" hidden="false" name="InventoryStatusRange" vbProcedure="false">'Inventory Management'!$P$5:$P$104</definedName>
    <definedName function="false" hidden="false" name="InventoryValueRange" vbProcedure="false">'Inventory Management'!$O$5:$O$104</definedName>
    <definedName function="false" hidden="false" name="OrderDelayRange" vbProcedure="false">'Order Tracking'!$R$5:$R$604</definedName>
    <definedName function="false" hidden="false" name="OrderStatusRange" vbProcedure="false">'Order Tracking'!$M$5:$M$604</definedName>
    <definedName function="false" hidden="false" name="OrderValueRange" vbProcedure="false">'Order Tracking'!$L$5:$L$604</definedName>
    <definedName function="false" hidden="false" name="PurchaseValueRange" vbProcedure="false">'Purchase Management'!$I$5:$I$224</definedName>
    <definedName function="false" hidden="false" name="ReportDate" vbProcedure="false">'Daily MIS Report'!$B$4</definedName>
    <definedName function="false" hidden="false" name="SupplierRatingRange" vbProcedure="false">'Supplier Database'!$J$5:$J$29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<sst xmlns="http://schemas.openxmlformats.org/spreadsheetml/2006/main" count="7982" uniqueCount="1770">
  <si>
    <t xml:space="preserve">SUPPLY CHAIN MIS | EXECUTIVE SUMMARY DASHBOARD</t>
  </si>
  <si>
    <t xml:space="preserve">Integrated Management Information System • Trailing 12-Month Supply Chain, Inventory, Procurement, Fulfillment &amp; Supplier Analytics.</t>
  </si>
  <si>
    <t xml:space="preserve">Total Orders</t>
  </si>
  <si>
    <t xml:space="preserve">Total Sales</t>
  </si>
  <si>
    <t xml:space="preserve">Total Purchase Value</t>
  </si>
  <si>
    <t xml:space="preserve">Total Inventory Value</t>
  </si>
  <si>
    <t xml:space="preserve">Total Suppliers</t>
  </si>
  <si>
    <t xml:space="preserve">Total Products</t>
  </si>
  <si>
    <t xml:space="preserve">Pending Orders</t>
  </si>
  <si>
    <t xml:space="preserve">Delayed Orders</t>
  </si>
  <si>
    <t xml:space="preserve">Order Fulfillment Rate</t>
  </si>
  <si>
    <t xml:space="preserve">On-Time Delivery Rate</t>
  </si>
  <si>
    <t xml:space="preserve">Interactive Dashboard Filters (Select dropdown values in yellow cells to filter live KPIs)</t>
  </si>
  <si>
    <t xml:space="preserve">Filter: Start Date</t>
  </si>
  <si>
    <t xml:space="preserve">Filter: End Date</t>
  </si>
  <si>
    <t xml:space="preserve">Filter: Region</t>
  </si>
  <si>
    <t xml:space="preserve">Filter: Product Category</t>
  </si>
  <si>
    <t xml:space="preserve">Filter: Order Status</t>
  </si>
  <si>
    <t xml:space="preserve">Filter: Supplier ID</t>
  </si>
  <si>
    <t xml:space="preserve">Filtered Orders</t>
  </si>
  <si>
    <t xml:space="preserve">Filtered Sales (₹)</t>
  </si>
  <si>
    <t xml:space="preserve">Filtered Delivered</t>
  </si>
  <si>
    <t xml:space="preserve">Filtered Fulfillment %</t>
  </si>
  <si>
    <t xml:space="preserve">Filtered Supplier PO Value (₹)</t>
  </si>
  <si>
    <t xml:space="preserve">All</t>
  </si>
  <si>
    <t xml:space="preserve">Monthly Sales Trend</t>
  </si>
  <si>
    <t xml:space="preserve">Orders by Status</t>
  </si>
  <si>
    <t xml:space="preserve">Sales by Product Category</t>
  </si>
  <si>
    <t xml:space="preserve">Month</t>
  </si>
  <si>
    <t xml:space="preserve">Sales Revenue (₹)</t>
  </si>
  <si>
    <t xml:space="preserve">Orders</t>
  </si>
  <si>
    <t xml:space="preserve">Status</t>
  </si>
  <si>
    <t xml:space="preserve">Share %</t>
  </si>
  <si>
    <t xml:space="preserve">Category</t>
  </si>
  <si>
    <t xml:space="preserve">Units Ordered</t>
  </si>
  <si>
    <t xml:space="preserve">Delivered</t>
  </si>
  <si>
    <t xml:space="preserve">Electronics</t>
  </si>
  <si>
    <t xml:space="preserve">Pending</t>
  </si>
  <si>
    <t xml:space="preserve">Home &amp; Kitchen</t>
  </si>
  <si>
    <t xml:space="preserve">Processing</t>
  </si>
  <si>
    <t xml:space="preserve">Office Supplies</t>
  </si>
  <si>
    <t xml:space="preserve">Dispatched</t>
  </si>
  <si>
    <t xml:space="preserve">Personal Care</t>
  </si>
  <si>
    <t xml:space="preserve">Cancelled</t>
  </si>
  <si>
    <t xml:space="preserve">Industrial</t>
  </si>
  <si>
    <t xml:space="preserve">Packaging</t>
  </si>
  <si>
    <t xml:space="preserve">Apparel</t>
  </si>
  <si>
    <t xml:space="preserve">Automotive</t>
  </si>
  <si>
    <t xml:space="preserve">Inventory Value by Category</t>
  </si>
  <si>
    <t xml:space="preserve">Supplier Performance Comparison (Top 10)</t>
  </si>
  <si>
    <t xml:space="preserve">Monthly Order Fulfillment Trend</t>
  </si>
  <si>
    <t xml:space="preserve">Inventory Value (₹)</t>
  </si>
  <si>
    <t xml:space="preserve">Units in Stock</t>
  </si>
  <si>
    <t xml:space="preserve">Supplier Name</t>
  </si>
  <si>
    <t xml:space="preserve">Performance Score</t>
  </si>
  <si>
    <t xml:space="preserve">On-Time %</t>
  </si>
  <si>
    <t xml:space="preserve">Delivered Orders</t>
  </si>
  <si>
    <t xml:space="preserve">Fulfillment Rate</t>
  </si>
  <si>
    <t xml:space="preserve">Key Business Insights &amp; Management Recommendations</t>
  </si>
  <si>
    <t xml:space="preserve">1. Order Fulfillment &amp; Delay Bottlenecks: 57.8% of total orders (347/600) are Delivered with a 59.4% On-Time Delivery Rate; Warehouse Backlog and Carrier Delay drive the largest share of delayed orders.</t>
  </si>
  <si>
    <t xml:space="preserve">2. Inventory Replenishment Priorities: 20 SKUs are currently below Minimum Stock Level (11 Out-of-Stock, 9 Low-Stock); prioritize immediate POs using the Reorder Quantity column in Inventory Management.</t>
  </si>
  <si>
    <t xml:space="preserve">3. High-Value Category Concentration: Industrial, Electronics, and Home &amp; Kitchen generate the largest share of gross revenue, while 62% of catalog SKUs maintain healthy stock buffers.</t>
  </si>
  <si>
    <t xml:space="preserve">4. Supplier Consolidation Opportunity: Top-performing vendors (Indus Distributors, Northstar Partners, Yugma Industries) achieve &gt;85 composite scores; reallocate volume away from lower-scoring vendors.</t>
  </si>
  <si>
    <t xml:space="preserve">5. Interactive Analysis: Use the yellow filter controls in Row 12 above (or table AutoFilters on Sheets 6-10) to slice order volume, sales revenue, and fulfillment rates by Date Window, Region, Category, Status, and Supplier.</t>
  </si>
  <si>
    <t xml:space="preserve">INVENTORY &amp; STOCK AVAILABILITY DASHBOARD</t>
  </si>
  <si>
    <t xml:space="preserve">Monitors warehouse stock levels, inventory valuation (₹), stock movement trends, and low-stock replenishment priorities.</t>
  </si>
  <si>
    <t xml:space="preserve">Total SKUs</t>
  </si>
  <si>
    <t xml:space="preserve">Total Units in Stock</t>
  </si>
  <si>
    <t xml:space="preserve">Stock Availability Rate</t>
  </si>
  <si>
    <t xml:space="preserve">Low-Stock Items</t>
  </si>
  <si>
    <t xml:space="preserve">Out-of-Stock Items</t>
  </si>
  <si>
    <t xml:space="preserve">Overstocked Items</t>
  </si>
  <si>
    <t xml:space="preserve">Healthy Stock Items</t>
  </si>
  <si>
    <t xml:space="preserve">Inventory by Category</t>
  </si>
  <si>
    <t xml:space="preserve">Inventory Value by Warehouse</t>
  </si>
  <si>
    <t xml:space="preserve">Warehouse</t>
  </si>
  <si>
    <t xml:space="preserve">Delhi WH</t>
  </si>
  <si>
    <t xml:space="preserve">Bengaluru WH</t>
  </si>
  <si>
    <t xml:space="preserve">Kolkata WH</t>
  </si>
  <si>
    <t xml:space="preserve">Mumbai WH</t>
  </si>
  <si>
    <t xml:space="preserve">Raipur WH</t>
  </si>
  <si>
    <t xml:space="preserve">Stock Movement Trends (Monthly Units Received vs. Units Sold)</t>
  </si>
  <si>
    <t xml:space="preserve">Stock Received (POs)</t>
  </si>
  <si>
    <t xml:space="preserve">Units Sold (Orders)</t>
  </si>
  <si>
    <t xml:space="preserve">Net Stock Change</t>
  </si>
  <si>
    <t xml:space="preserve">Low-Stock &amp; Out-of-Stock Product Replenishment Analysis</t>
  </si>
  <si>
    <t xml:space="preserve">Product ID</t>
  </si>
  <si>
    <t xml:space="preserve">Product Name</t>
  </si>
  <si>
    <t xml:space="preserve">Closing Stock</t>
  </si>
  <si>
    <t xml:space="preserve">Minimum Stock</t>
  </si>
  <si>
    <t xml:space="preserve">Stock Status</t>
  </si>
  <si>
    <t xml:space="preserve">Reorder Qty</t>
  </si>
  <si>
    <t xml:space="preserve">ORDER MANAGEMENT &amp; FULFILLMENT DASHBOARD</t>
  </si>
  <si>
    <t xml:space="preserve">Tracks order processing, regional fulfillment, delivery turnaround time (TAT), delay root causes, and urgent order exceptions.</t>
  </si>
  <si>
    <t xml:space="preserve">Completed Orders</t>
  </si>
  <si>
    <t xml:space="preserve">Processing Orders</t>
  </si>
  <si>
    <t xml:space="preserve">Cancelled Orders</t>
  </si>
  <si>
    <t xml:space="preserve">Average Order Value</t>
  </si>
  <si>
    <t xml:space="preserve">Average Delivery TAT</t>
  </si>
  <si>
    <t xml:space="preserve">Orders by Region</t>
  </si>
  <si>
    <t xml:space="preserve">Delayed Orders by Reason</t>
  </si>
  <si>
    <t xml:space="preserve">Order Status</t>
  </si>
  <si>
    <t xml:space="preserve">Region</t>
  </si>
  <si>
    <t xml:space="preserve">Sales Value (₹)</t>
  </si>
  <si>
    <t xml:space="preserve">Delay Reason</t>
  </si>
  <si>
    <t xml:space="preserve">North</t>
  </si>
  <si>
    <t xml:space="preserve">Warehouse backlog</t>
  </si>
  <si>
    <t xml:space="preserve">South</t>
  </si>
  <si>
    <t xml:space="preserve">Awaiting stock</t>
  </si>
  <si>
    <t xml:space="preserve">East</t>
  </si>
  <si>
    <t xml:space="preserve">Address issue</t>
  </si>
  <si>
    <t xml:space="preserve">West</t>
  </si>
  <si>
    <t xml:space="preserve">Supplier delay</t>
  </si>
  <si>
    <t xml:space="preserve">Central</t>
  </si>
  <si>
    <t xml:space="preserve">Weather disruption</t>
  </si>
  <si>
    <t xml:space="preserve">Carrier delay</t>
  </si>
  <si>
    <t xml:space="preserve">Payment hold</t>
  </si>
  <si>
    <t xml:space="preserve">Monthly Order Volume</t>
  </si>
  <si>
    <t xml:space="preserve">Delivery Performance Breakdown</t>
  </si>
  <si>
    <t xml:space="preserve">Order Volume</t>
  </si>
  <si>
    <t xml:space="preserve">Delivery Outcome</t>
  </si>
  <si>
    <t xml:space="preserve">On-Time Delivered</t>
  </si>
  <si>
    <t xml:space="preserve">Late Delivered</t>
  </si>
  <si>
    <t xml:space="preserve">In-Transit (Dispatched)</t>
  </si>
  <si>
    <t xml:space="preserve">Open Queue (Pending/Processing)</t>
  </si>
  <si>
    <t xml:space="preserve">Orders Requiring Immediate Management Attention (Top 20 Overdue Open Orders)</t>
  </si>
  <si>
    <t xml:space="preserve">Order ID</t>
  </si>
  <si>
    <t xml:space="preserve">Order Date</t>
  </si>
  <si>
    <t xml:space="preserve">Customer Name</t>
  </si>
  <si>
    <t xml:space="preserve">Order Value (₹)</t>
  </si>
  <si>
    <t xml:space="preserve">Expected Delivery</t>
  </si>
  <si>
    <t xml:space="preserve">SUPPLIER PERFORMANCE &amp; RELIABILITY DASHBOARD</t>
  </si>
  <si>
    <t xml:space="preserve">Evaluates 25 suppliers on purchase volume, delivery lead time, on-time delivery %, quality rate, composite score, and performance tier.</t>
  </si>
  <si>
    <t xml:space="preserve">Active Suppliers</t>
  </si>
  <si>
    <t xml:space="preserve">Avg Supplier Delivery Time</t>
  </si>
  <si>
    <t xml:space="preserve">On-Time Delivery %</t>
  </si>
  <si>
    <t xml:space="preserve">Defective Items %</t>
  </si>
  <si>
    <t xml:space="preserve">Average Supplier Rating</t>
  </si>
  <si>
    <t xml:space="preserve">Supplier Performance Scorecard (All 25 Suppliers)</t>
  </si>
  <si>
    <t xml:space="preserve">Supplier ID</t>
  </si>
  <si>
    <t xml:space="preserve">Total Purchase Orders</t>
  </si>
  <si>
    <t xml:space="preserve">On-Time Deliveries</t>
  </si>
  <si>
    <t xml:space="preserve">Late Deliveries</t>
  </si>
  <si>
    <t xml:space="preserve">Average Delivery Time</t>
  </si>
  <si>
    <t xml:space="preserve">Defective Units</t>
  </si>
  <si>
    <t xml:space="preserve">Quality Rate</t>
  </si>
  <si>
    <t xml:space="preserve">Supplier Performance Score</t>
  </si>
  <si>
    <t xml:space="preserve">Performance Category</t>
  </si>
  <si>
    <t xml:space="preserve">SUP001</t>
  </si>
  <si>
    <t xml:space="preserve">SUP002</t>
  </si>
  <si>
    <t xml:space="preserve">SUP003</t>
  </si>
  <si>
    <t xml:space="preserve">SUP004</t>
  </si>
  <si>
    <t xml:space="preserve">SUP005</t>
  </si>
  <si>
    <t xml:space="preserve">SUP006</t>
  </si>
  <si>
    <t xml:space="preserve">SUP007</t>
  </si>
  <si>
    <t xml:space="preserve">SUP008</t>
  </si>
  <si>
    <t xml:space="preserve">SUP009</t>
  </si>
  <si>
    <t xml:space="preserve">SUP010</t>
  </si>
  <si>
    <t xml:space="preserve">SUP011</t>
  </si>
  <si>
    <t xml:space="preserve">SUP012</t>
  </si>
  <si>
    <t xml:space="preserve">SUP013</t>
  </si>
  <si>
    <t xml:space="preserve">SUP014</t>
  </si>
  <si>
    <t xml:space="preserve">SUP015</t>
  </si>
  <si>
    <t xml:space="preserve">SUP016</t>
  </si>
  <si>
    <t xml:space="preserve">SUP017</t>
  </si>
  <si>
    <t xml:space="preserve">SUP018</t>
  </si>
  <si>
    <t xml:space="preserve">SUP019</t>
  </si>
  <si>
    <t xml:space="preserve">SUP020</t>
  </si>
  <si>
    <t xml:space="preserve">SUP021</t>
  </si>
  <si>
    <t xml:space="preserve">SUP022</t>
  </si>
  <si>
    <t xml:space="preserve">SUP023</t>
  </si>
  <si>
    <t xml:space="preserve">SUP024</t>
  </si>
  <si>
    <t xml:space="preserve">SUP025</t>
  </si>
  <si>
    <t xml:space="preserve">PRODUCT PERFORMANCE &amp; PROFITABILITY DASHBOARD</t>
  </si>
  <si>
    <t xml:space="preserve">SKU-level demand, sales revenue, unit profitability, category contribution, return rates, and inventory risk signals.</t>
  </si>
  <si>
    <t xml:space="preserve">Total Units Sold</t>
  </si>
  <si>
    <t xml:space="preserve">Total Sales Revenue</t>
  </si>
  <si>
    <t xml:space="preserve">Average Selling Price</t>
  </si>
  <si>
    <t xml:space="preserve">Best-Selling Product</t>
  </si>
  <si>
    <t xml:space="preserve">Lowest-Selling Product</t>
  </si>
  <si>
    <t xml:space="preserve">Product Return Rate</t>
  </si>
  <si>
    <t xml:space="preserve">Total Gross Profit</t>
  </si>
  <si>
    <t xml:space="preserve">Revenue &amp; Profitability by Product Category</t>
  </si>
  <si>
    <t xml:space="preserve">Product Category</t>
  </si>
  <si>
    <t xml:space="preserve">Units Sold</t>
  </si>
  <si>
    <t xml:space="preserve">Gross Profit (₹)</t>
  </si>
  <si>
    <t xml:space="preserve">Return Rate</t>
  </si>
  <si>
    <t xml:space="preserve">Product Performance Ranking, Profitability &amp; Inventory Signal (100 SKUs)</t>
  </si>
  <si>
    <t xml:space="preserve">Revenue</t>
  </si>
  <si>
    <t xml:space="preserve">Unit Cost</t>
  </si>
  <si>
    <t xml:space="preserve">Selling Price</t>
  </si>
  <si>
    <t xml:space="preserve">Profit / Unit</t>
  </si>
  <si>
    <t xml:space="preserve">Total Profit</t>
  </si>
  <si>
    <t xml:space="preserve">Profit Margin</t>
  </si>
  <si>
    <t xml:space="preserve">Inventory Signal</t>
  </si>
  <si>
    <t xml:space="preserve">PRD001</t>
  </si>
  <si>
    <t xml:space="preserve">PRD002</t>
  </si>
  <si>
    <t xml:space="preserve">PRD003</t>
  </si>
  <si>
    <t xml:space="preserve">PRD004</t>
  </si>
  <si>
    <t xml:space="preserve">PRD005</t>
  </si>
  <si>
    <t xml:space="preserve">PRD006</t>
  </si>
  <si>
    <t xml:space="preserve">PRD007</t>
  </si>
  <si>
    <t xml:space="preserve">PRD008</t>
  </si>
  <si>
    <t xml:space="preserve">PRD009</t>
  </si>
  <si>
    <t xml:space="preserve">PRD010</t>
  </si>
  <si>
    <t xml:space="preserve">PRD011</t>
  </si>
  <si>
    <t xml:space="preserve">PRD012</t>
  </si>
  <si>
    <t xml:space="preserve">PRD013</t>
  </si>
  <si>
    <t xml:space="preserve">PRD014</t>
  </si>
  <si>
    <t xml:space="preserve">PRD015</t>
  </si>
  <si>
    <t xml:space="preserve">PRD016</t>
  </si>
  <si>
    <t xml:space="preserve">PRD017</t>
  </si>
  <si>
    <t xml:space="preserve">PRD018</t>
  </si>
  <si>
    <t xml:space="preserve">PRD019</t>
  </si>
  <si>
    <t xml:space="preserve">PRD020</t>
  </si>
  <si>
    <t xml:space="preserve">PRD021</t>
  </si>
  <si>
    <t xml:space="preserve">PRD022</t>
  </si>
  <si>
    <t xml:space="preserve">PRD023</t>
  </si>
  <si>
    <t xml:space="preserve">PRD024</t>
  </si>
  <si>
    <t xml:space="preserve">PRD025</t>
  </si>
  <si>
    <t xml:space="preserve">PRD026</t>
  </si>
  <si>
    <t xml:space="preserve">PRD027</t>
  </si>
  <si>
    <t xml:space="preserve">PRD028</t>
  </si>
  <si>
    <t xml:space="preserve">PRD029</t>
  </si>
  <si>
    <t xml:space="preserve">PRD030</t>
  </si>
  <si>
    <t xml:space="preserve">PRD031</t>
  </si>
  <si>
    <t xml:space="preserve">PRD032</t>
  </si>
  <si>
    <t xml:space="preserve">PRD033</t>
  </si>
  <si>
    <t xml:space="preserve">PRD034</t>
  </si>
  <si>
    <t xml:space="preserve">PRD035</t>
  </si>
  <si>
    <t xml:space="preserve">PRD036</t>
  </si>
  <si>
    <t xml:space="preserve">PRD037</t>
  </si>
  <si>
    <t xml:space="preserve">PRD038</t>
  </si>
  <si>
    <t xml:space="preserve">PRD039</t>
  </si>
  <si>
    <t xml:space="preserve">PRD040</t>
  </si>
  <si>
    <t xml:space="preserve">PRD041</t>
  </si>
  <si>
    <t xml:space="preserve">PRD042</t>
  </si>
  <si>
    <t xml:space="preserve">PRD043</t>
  </si>
  <si>
    <t xml:space="preserve">PRD044</t>
  </si>
  <si>
    <t xml:space="preserve">PRD045</t>
  </si>
  <si>
    <t xml:space="preserve">PRD046</t>
  </si>
  <si>
    <t xml:space="preserve">PRD047</t>
  </si>
  <si>
    <t xml:space="preserve">PRD048</t>
  </si>
  <si>
    <t xml:space="preserve">PRD049</t>
  </si>
  <si>
    <t xml:space="preserve">PRD050</t>
  </si>
  <si>
    <t xml:space="preserve">PRD051</t>
  </si>
  <si>
    <t xml:space="preserve">PRD052</t>
  </si>
  <si>
    <t xml:space="preserve">PRD053</t>
  </si>
  <si>
    <t xml:space="preserve">PRD054</t>
  </si>
  <si>
    <t xml:space="preserve">PRD055</t>
  </si>
  <si>
    <t xml:space="preserve">PRD056</t>
  </si>
  <si>
    <t xml:space="preserve">PRD057</t>
  </si>
  <si>
    <t xml:space="preserve">PRD058</t>
  </si>
  <si>
    <t xml:space="preserve">PRD059</t>
  </si>
  <si>
    <t xml:space="preserve">PRD060</t>
  </si>
  <si>
    <t xml:space="preserve">PRD061</t>
  </si>
  <si>
    <t xml:space="preserve">PRD062</t>
  </si>
  <si>
    <t xml:space="preserve">PRD063</t>
  </si>
  <si>
    <t xml:space="preserve">PRD064</t>
  </si>
  <si>
    <t xml:space="preserve">PRD065</t>
  </si>
  <si>
    <t xml:space="preserve">PRD066</t>
  </si>
  <si>
    <t xml:space="preserve">PRD067</t>
  </si>
  <si>
    <t xml:space="preserve">PRD068</t>
  </si>
  <si>
    <t xml:space="preserve">PRD069</t>
  </si>
  <si>
    <t xml:space="preserve">PRD070</t>
  </si>
  <si>
    <t xml:space="preserve">PRD071</t>
  </si>
  <si>
    <t xml:space="preserve">PRD072</t>
  </si>
  <si>
    <t xml:space="preserve">PRD073</t>
  </si>
  <si>
    <t xml:space="preserve">PRD074</t>
  </si>
  <si>
    <t xml:space="preserve">PRD075</t>
  </si>
  <si>
    <t xml:space="preserve">PRD076</t>
  </si>
  <si>
    <t xml:space="preserve">PRD077</t>
  </si>
  <si>
    <t xml:space="preserve">PRD078</t>
  </si>
  <si>
    <t xml:space="preserve">PRD079</t>
  </si>
  <si>
    <t xml:space="preserve">PRD080</t>
  </si>
  <si>
    <t xml:space="preserve">PRD081</t>
  </si>
  <si>
    <t xml:space="preserve">PRD082</t>
  </si>
  <si>
    <t xml:space="preserve">PRD083</t>
  </si>
  <si>
    <t xml:space="preserve">PRD084</t>
  </si>
  <si>
    <t xml:space="preserve">PRD085</t>
  </si>
  <si>
    <t xml:space="preserve">PRD086</t>
  </si>
  <si>
    <t xml:space="preserve">PRD087</t>
  </si>
  <si>
    <t xml:space="preserve">PRD088</t>
  </si>
  <si>
    <t xml:space="preserve">PRD089</t>
  </si>
  <si>
    <t xml:space="preserve">PRD090</t>
  </si>
  <si>
    <t xml:space="preserve">PRD091</t>
  </si>
  <si>
    <t xml:space="preserve">PRD092</t>
  </si>
  <si>
    <t xml:space="preserve">PRD093</t>
  </si>
  <si>
    <t xml:space="preserve">PRD094</t>
  </si>
  <si>
    <t xml:space="preserve">PRD095</t>
  </si>
  <si>
    <t xml:space="preserve">PRD096</t>
  </si>
  <si>
    <t xml:space="preserve">PRD097</t>
  </si>
  <si>
    <t xml:space="preserve">PRD098</t>
  </si>
  <si>
    <t xml:space="preserve">PRD099</t>
  </si>
  <si>
    <t xml:space="preserve">PRD100</t>
  </si>
  <si>
    <t xml:space="preserve">ORDER TRACKING DATABASE (600 ORDERS)</t>
  </si>
  <si>
    <t xml:space="preserve">Structured sales order database • VLOOKUP retrieves Product Name &amp; Category; formulas calculate Order Value, Delivery TAT, and Delay Days.</t>
  </si>
  <si>
    <t xml:space="preserve">Customer ID</t>
  </si>
  <si>
    <t xml:space="preserve">Quantity Ordered</t>
  </si>
  <si>
    <t xml:space="preserve">Unit Price</t>
  </si>
  <si>
    <t xml:space="preserve">Order Value</t>
  </si>
  <si>
    <t xml:space="preserve">Dispatch Date</t>
  </si>
  <si>
    <t xml:space="preserve">Expected Delivery Date</t>
  </si>
  <si>
    <t xml:space="preserve">Actual Delivery Date</t>
  </si>
  <si>
    <t xml:space="preserve">Delivery TAT</t>
  </si>
  <si>
    <t xml:space="preserve">Delay Days</t>
  </si>
  <si>
    <t xml:space="preserve">Payment Status</t>
  </si>
  <si>
    <t xml:space="preserve">ORD0001</t>
  </si>
  <si>
    <t xml:space="preserve">CUS0066</t>
  </si>
  <si>
    <t xml:space="preserve">Vivaan Rao</t>
  </si>
  <si>
    <t xml:space="preserve">Paid</t>
  </si>
  <si>
    <t xml:space="preserve">ORD0002</t>
  </si>
  <si>
    <t xml:space="preserve">CUS0097</t>
  </si>
  <si>
    <t xml:space="preserve">Diya Mishra</t>
  </si>
  <si>
    <t xml:space="preserve">ORD0003</t>
  </si>
  <si>
    <t xml:space="preserve">CUS0055</t>
  </si>
  <si>
    <t xml:space="preserve">Vivaan Iyer</t>
  </si>
  <si>
    <t xml:space="preserve">None</t>
  </si>
  <si>
    <t xml:space="preserve">ORD0004</t>
  </si>
  <si>
    <t xml:space="preserve">CUS0098</t>
  </si>
  <si>
    <t xml:space="preserve">Dev Mehta</t>
  </si>
  <si>
    <t xml:space="preserve">ORD0005</t>
  </si>
  <si>
    <t xml:space="preserve">CUS0095</t>
  </si>
  <si>
    <t xml:space="preserve">Reyansh Singh</t>
  </si>
  <si>
    <t xml:space="preserve">ORD0006</t>
  </si>
  <si>
    <t xml:space="preserve">CUS0051</t>
  </si>
  <si>
    <t xml:space="preserve">Reyansh Nair</t>
  </si>
  <si>
    <t xml:space="preserve">ORD0007</t>
  </si>
  <si>
    <t xml:space="preserve">CUS0118</t>
  </si>
  <si>
    <t xml:space="preserve">Meera Iyer</t>
  </si>
  <si>
    <t xml:space="preserve">ORD0008</t>
  </si>
  <si>
    <t xml:space="preserve">CUS0215</t>
  </si>
  <si>
    <t xml:space="preserve">Ishaan Mishra</t>
  </si>
  <si>
    <t xml:space="preserve">ORD0009</t>
  </si>
  <si>
    <t xml:space="preserve">CUS0130</t>
  </si>
  <si>
    <t xml:space="preserve">Dev Rao</t>
  </si>
  <si>
    <t xml:space="preserve">ORD0010</t>
  </si>
  <si>
    <t xml:space="preserve">CUS0005</t>
  </si>
  <si>
    <t xml:space="preserve">Arjun Mehta</t>
  </si>
  <si>
    <t xml:space="preserve">Refunded</t>
  </si>
  <si>
    <t xml:space="preserve">ORD0011</t>
  </si>
  <si>
    <t xml:space="preserve">CUS0050</t>
  </si>
  <si>
    <t xml:space="preserve">Arjun Mishra</t>
  </si>
  <si>
    <t xml:space="preserve">ORD0012</t>
  </si>
  <si>
    <t xml:space="preserve">CUS0168</t>
  </si>
  <si>
    <t xml:space="preserve">Diya Patel</t>
  </si>
  <si>
    <t xml:space="preserve">ORD0013</t>
  </si>
  <si>
    <t xml:space="preserve">CUS0166</t>
  </si>
  <si>
    <t xml:space="preserve">Reyansh Joshi</t>
  </si>
  <si>
    <t xml:space="preserve">ORD0014</t>
  </si>
  <si>
    <t xml:space="preserve">CUS0012</t>
  </si>
  <si>
    <t xml:space="preserve">Ishaan Khan</t>
  </si>
  <si>
    <t xml:space="preserve">Partially Paid</t>
  </si>
  <si>
    <t xml:space="preserve">ORD0015</t>
  </si>
  <si>
    <t xml:space="preserve">CUS0077</t>
  </si>
  <si>
    <t xml:space="preserve">Meera Joshi</t>
  </si>
  <si>
    <t xml:space="preserve">ORD0016</t>
  </si>
  <si>
    <t xml:space="preserve">CUS0129</t>
  </si>
  <si>
    <t xml:space="preserve">Ira Sharma</t>
  </si>
  <si>
    <t xml:space="preserve">ORD0017</t>
  </si>
  <si>
    <t xml:space="preserve">CUS0008</t>
  </si>
  <si>
    <t xml:space="preserve">Arjun Sahu</t>
  </si>
  <si>
    <t xml:space="preserve">ORD0018</t>
  </si>
  <si>
    <t xml:space="preserve">CUS0205</t>
  </si>
  <si>
    <t xml:space="preserve">Saanvi Iyer</t>
  </si>
  <si>
    <t xml:space="preserve">ORD0019</t>
  </si>
  <si>
    <t xml:space="preserve">CUS0002</t>
  </si>
  <si>
    <t xml:space="preserve">Aditi Das</t>
  </si>
  <si>
    <t xml:space="preserve">ORD0020</t>
  </si>
  <si>
    <t xml:space="preserve">CUS0023</t>
  </si>
  <si>
    <t xml:space="preserve">Ira Mehta</t>
  </si>
  <si>
    <t xml:space="preserve">ORD0021</t>
  </si>
  <si>
    <t xml:space="preserve">CUS0176</t>
  </si>
  <si>
    <t xml:space="preserve">Rohan Verma</t>
  </si>
  <si>
    <t xml:space="preserve">ORD0022</t>
  </si>
  <si>
    <t xml:space="preserve">CUS0124</t>
  </si>
  <si>
    <t xml:space="preserve">Ishaan Rao</t>
  </si>
  <si>
    <t xml:space="preserve">ORD0023</t>
  </si>
  <si>
    <t xml:space="preserve">Rohan Rao</t>
  </si>
  <si>
    <t xml:space="preserve">ORD0024</t>
  </si>
  <si>
    <t xml:space="preserve">CUS0083</t>
  </si>
  <si>
    <t xml:space="preserve">Vivaan Das</t>
  </si>
  <si>
    <t xml:space="preserve">ORD0025</t>
  </si>
  <si>
    <t xml:space="preserve">CUS0072</t>
  </si>
  <si>
    <t xml:space="preserve">ORD0026</t>
  </si>
  <si>
    <t xml:space="preserve">CUS0119</t>
  </si>
  <si>
    <t xml:space="preserve">ORD0027</t>
  </si>
  <si>
    <t xml:space="preserve">CUS0169</t>
  </si>
  <si>
    <t xml:space="preserve">Kabir Iyer</t>
  </si>
  <si>
    <t xml:space="preserve">ORD0028</t>
  </si>
  <si>
    <t xml:space="preserve">CUS0010</t>
  </si>
  <si>
    <t xml:space="preserve">Ira Iyer</t>
  </si>
  <si>
    <t xml:space="preserve">ORD0029</t>
  </si>
  <si>
    <t xml:space="preserve">CUS0145</t>
  </si>
  <si>
    <t xml:space="preserve">Rohan Sahu</t>
  </si>
  <si>
    <t xml:space="preserve">ORD0030</t>
  </si>
  <si>
    <t xml:space="preserve">Kabir Rao</t>
  </si>
  <si>
    <t xml:space="preserve">ORD0031</t>
  </si>
  <si>
    <t xml:space="preserve">CUS0088</t>
  </si>
  <si>
    <t xml:space="preserve">Dev Sahu</t>
  </si>
  <si>
    <t xml:space="preserve">ORD0032</t>
  </si>
  <si>
    <t xml:space="preserve">CUS0018</t>
  </si>
  <si>
    <t xml:space="preserve">Aditi Sharma</t>
  </si>
  <si>
    <t xml:space="preserve">ORD0033</t>
  </si>
  <si>
    <t xml:space="preserve">CUS0142</t>
  </si>
  <si>
    <t xml:space="preserve">Meera Rao</t>
  </si>
  <si>
    <t xml:space="preserve">ORD0034</t>
  </si>
  <si>
    <t xml:space="preserve">ORD0035</t>
  </si>
  <si>
    <t xml:space="preserve">ORD0036</t>
  </si>
  <si>
    <t xml:space="preserve">CUS0153</t>
  </si>
  <si>
    <t xml:space="preserve">Rohan Joshi</t>
  </si>
  <si>
    <t xml:space="preserve">Customer cancellation</t>
  </si>
  <si>
    <t xml:space="preserve">ORD0037</t>
  </si>
  <si>
    <t xml:space="preserve">CUS0081</t>
  </si>
  <si>
    <t xml:space="preserve">Anaya Nair</t>
  </si>
  <si>
    <t xml:space="preserve">ORD0038</t>
  </si>
  <si>
    <t xml:space="preserve">CUS0125</t>
  </si>
  <si>
    <t xml:space="preserve">Meera Mehta</t>
  </si>
  <si>
    <t xml:space="preserve">ORD0039</t>
  </si>
  <si>
    <t xml:space="preserve">Kabir Nair</t>
  </si>
  <si>
    <t xml:space="preserve">ORD0040</t>
  </si>
  <si>
    <t xml:space="preserve">CUS0022</t>
  </si>
  <si>
    <t xml:space="preserve">Aarav Sahu</t>
  </si>
  <si>
    <t xml:space="preserve">ORD0041</t>
  </si>
  <si>
    <t xml:space="preserve">CUS0029</t>
  </si>
  <si>
    <t xml:space="preserve">Anaya Gupta</t>
  </si>
  <si>
    <t xml:space="preserve">ORD0042</t>
  </si>
  <si>
    <t xml:space="preserve">Diya Das</t>
  </si>
  <si>
    <t xml:space="preserve">ORD0043</t>
  </si>
  <si>
    <t xml:space="preserve">CUS0043</t>
  </si>
  <si>
    <t xml:space="preserve">Kabir Sahu</t>
  </si>
  <si>
    <t xml:space="preserve">ORD0044</t>
  </si>
  <si>
    <t xml:space="preserve">CUS0075</t>
  </si>
  <si>
    <t xml:space="preserve">ORD0045</t>
  </si>
  <si>
    <t xml:space="preserve">CUS0180</t>
  </si>
  <si>
    <t xml:space="preserve">ORD0046</t>
  </si>
  <si>
    <t xml:space="preserve">CUS0020</t>
  </si>
  <si>
    <t xml:space="preserve">Ishaan Singh</t>
  </si>
  <si>
    <t xml:space="preserve">ORD0047</t>
  </si>
  <si>
    <t xml:space="preserve">CUS0218</t>
  </si>
  <si>
    <t xml:space="preserve">Ishaan Sahu</t>
  </si>
  <si>
    <t xml:space="preserve">ORD0048</t>
  </si>
  <si>
    <t xml:space="preserve">CUS0034</t>
  </si>
  <si>
    <t xml:space="preserve">Myra Sahu</t>
  </si>
  <si>
    <t xml:space="preserve">ORD0049</t>
  </si>
  <si>
    <t xml:space="preserve">CUS0032</t>
  </si>
  <si>
    <t xml:space="preserve">Meera Das</t>
  </si>
  <si>
    <t xml:space="preserve">ORD0050</t>
  </si>
  <si>
    <t xml:space="preserve">Ira Gupta</t>
  </si>
  <si>
    <t xml:space="preserve">ORD0051</t>
  </si>
  <si>
    <t xml:space="preserve">Ishaan Iyer</t>
  </si>
  <si>
    <t xml:space="preserve">ORD0052</t>
  </si>
  <si>
    <t xml:space="preserve">CUS0179</t>
  </si>
  <si>
    <t xml:space="preserve">Reyansh Mishra</t>
  </si>
  <si>
    <t xml:space="preserve">ORD0053</t>
  </si>
  <si>
    <t xml:space="preserve">ORD0054</t>
  </si>
  <si>
    <t xml:space="preserve">CUS0161</t>
  </si>
  <si>
    <t xml:space="preserve">Kabir Singh</t>
  </si>
  <si>
    <t xml:space="preserve">ORD0055</t>
  </si>
  <si>
    <t xml:space="preserve">CUS0110</t>
  </si>
  <si>
    <t xml:space="preserve">Reyansh Sahu</t>
  </si>
  <si>
    <t xml:space="preserve">ORD0056</t>
  </si>
  <si>
    <t xml:space="preserve">CUS0007</t>
  </si>
  <si>
    <t xml:space="preserve">Aditi Nair</t>
  </si>
  <si>
    <t xml:space="preserve">ORD0057</t>
  </si>
  <si>
    <t xml:space="preserve">CUS0062</t>
  </si>
  <si>
    <t xml:space="preserve">Myra Khan</t>
  </si>
  <si>
    <t xml:space="preserve">ORD0058</t>
  </si>
  <si>
    <t xml:space="preserve">CUS0196</t>
  </si>
  <si>
    <t xml:space="preserve">ORD0059</t>
  </si>
  <si>
    <t xml:space="preserve">Kiara Singh</t>
  </si>
  <si>
    <t xml:space="preserve">ORD0060</t>
  </si>
  <si>
    <t xml:space="preserve">CUS0131</t>
  </si>
  <si>
    <t xml:space="preserve">Vivaan Sahu</t>
  </si>
  <si>
    <t xml:space="preserve">ORD0061</t>
  </si>
  <si>
    <t xml:space="preserve">CUS0063</t>
  </si>
  <si>
    <t xml:space="preserve">ORD0062</t>
  </si>
  <si>
    <t xml:space="preserve">CUS0004</t>
  </si>
  <si>
    <t xml:space="preserve">ORD0063</t>
  </si>
  <si>
    <t xml:space="preserve">CUS0188</t>
  </si>
  <si>
    <t xml:space="preserve">Anaya Sahu</t>
  </si>
  <si>
    <t xml:space="preserve">ORD0064</t>
  </si>
  <si>
    <t xml:space="preserve">CUS0093</t>
  </si>
  <si>
    <t xml:space="preserve">ORD0065</t>
  </si>
  <si>
    <t xml:space="preserve">Aarav Nair</t>
  </si>
  <si>
    <t xml:space="preserve">ORD0066</t>
  </si>
  <si>
    <t xml:space="preserve">CUS0107</t>
  </si>
  <si>
    <t xml:space="preserve">Reyansh Gupta</t>
  </si>
  <si>
    <t xml:space="preserve">ORD0067</t>
  </si>
  <si>
    <t xml:space="preserve">CUS0206</t>
  </si>
  <si>
    <t xml:space="preserve">Diya Singh</t>
  </si>
  <si>
    <t xml:space="preserve">ORD0068</t>
  </si>
  <si>
    <t xml:space="preserve">Aditi Iyer</t>
  </si>
  <si>
    <t xml:space="preserve">ORD0069</t>
  </si>
  <si>
    <t xml:space="preserve">Kiara Sharma</t>
  </si>
  <si>
    <t xml:space="preserve">ORD0070</t>
  </si>
  <si>
    <t xml:space="preserve">CUS0027</t>
  </si>
  <si>
    <t xml:space="preserve">Vivaan Mehta</t>
  </si>
  <si>
    <t xml:space="preserve">ORD0071</t>
  </si>
  <si>
    <t xml:space="preserve">Ira Das</t>
  </si>
  <si>
    <t xml:space="preserve">ORD0072</t>
  </si>
  <si>
    <t xml:space="preserve">CUS0152</t>
  </si>
  <si>
    <t xml:space="preserve">ORD0073</t>
  </si>
  <si>
    <t xml:space="preserve">Reyansh Rao</t>
  </si>
  <si>
    <t xml:space="preserve">ORD0074</t>
  </si>
  <si>
    <t xml:space="preserve">CUS0028</t>
  </si>
  <si>
    <t xml:space="preserve">ORD0075</t>
  </si>
  <si>
    <t xml:space="preserve">CUS0219</t>
  </si>
  <si>
    <t xml:space="preserve">Anaya Patel</t>
  </si>
  <si>
    <t xml:space="preserve">ORD0076</t>
  </si>
  <si>
    <t xml:space="preserve">CUS0024</t>
  </si>
  <si>
    <t xml:space="preserve">Saanvi Rao</t>
  </si>
  <si>
    <t xml:space="preserve">ORD0077</t>
  </si>
  <si>
    <t xml:space="preserve">CUS0064</t>
  </si>
  <si>
    <t xml:space="preserve">Anaya Das</t>
  </si>
  <si>
    <t xml:space="preserve">ORD0078</t>
  </si>
  <si>
    <t xml:space="preserve">ORD0079</t>
  </si>
  <si>
    <t xml:space="preserve">CUS0017</t>
  </si>
  <si>
    <t xml:space="preserve">Vivaan Khan</t>
  </si>
  <si>
    <t xml:space="preserve">ORD0080</t>
  </si>
  <si>
    <t xml:space="preserve">CUS0044</t>
  </si>
  <si>
    <t xml:space="preserve">Kiara Mishra</t>
  </si>
  <si>
    <t xml:space="preserve">ORD0081</t>
  </si>
  <si>
    <t xml:space="preserve">CUS0115</t>
  </si>
  <si>
    <t xml:space="preserve">Kabir Sharma</t>
  </si>
  <si>
    <t xml:space="preserve">ORD0082</t>
  </si>
  <si>
    <t xml:space="preserve">Arjun Singh</t>
  </si>
  <si>
    <t xml:space="preserve">ORD0083</t>
  </si>
  <si>
    <t xml:space="preserve">ORD0084</t>
  </si>
  <si>
    <t xml:space="preserve">CUS0057</t>
  </si>
  <si>
    <t xml:space="preserve">ORD0085</t>
  </si>
  <si>
    <t xml:space="preserve">CUS0026</t>
  </si>
  <si>
    <t xml:space="preserve">Saanvi Khan</t>
  </si>
  <si>
    <t xml:space="preserve">ORD0086</t>
  </si>
  <si>
    <t xml:space="preserve">Meera Verma</t>
  </si>
  <si>
    <t xml:space="preserve">ORD0087</t>
  </si>
  <si>
    <t xml:space="preserve">Vivaan Mishra</t>
  </si>
  <si>
    <t xml:space="preserve">ORD0088</t>
  </si>
  <si>
    <t xml:space="preserve">CUS0006</t>
  </si>
  <si>
    <t xml:space="preserve">Myra Sharma</t>
  </si>
  <si>
    <t xml:space="preserve">ORD0089</t>
  </si>
  <si>
    <t xml:space="preserve">CUS0038</t>
  </si>
  <si>
    <t xml:space="preserve">ORD0090</t>
  </si>
  <si>
    <t xml:space="preserve">CUS0151</t>
  </si>
  <si>
    <t xml:space="preserve">Anaya Rao</t>
  </si>
  <si>
    <t xml:space="preserve">ORD0091</t>
  </si>
  <si>
    <t xml:space="preserve">ORD0092</t>
  </si>
  <si>
    <t xml:space="preserve">CUS0155</t>
  </si>
  <si>
    <t xml:space="preserve">ORD0093</t>
  </si>
  <si>
    <t xml:space="preserve">ORD0094</t>
  </si>
  <si>
    <t xml:space="preserve">CUS0202</t>
  </si>
  <si>
    <t xml:space="preserve">Anaya Iyer</t>
  </si>
  <si>
    <t xml:space="preserve">ORD0095</t>
  </si>
  <si>
    <t xml:space="preserve">ORD0096</t>
  </si>
  <si>
    <t xml:space="preserve">CUS0082</t>
  </si>
  <si>
    <t xml:space="preserve">Arjun Patel</t>
  </si>
  <si>
    <t xml:space="preserve">ORD0097</t>
  </si>
  <si>
    <t xml:space="preserve">CUS0087</t>
  </si>
  <si>
    <t xml:space="preserve">Myra Iyer</t>
  </si>
  <si>
    <t xml:space="preserve">ORD0098</t>
  </si>
  <si>
    <t xml:space="preserve">CUS0105</t>
  </si>
  <si>
    <t xml:space="preserve">Arjun Khan</t>
  </si>
  <si>
    <t xml:space="preserve">ORD0099</t>
  </si>
  <si>
    <t xml:space="preserve">Aarav Singh</t>
  </si>
  <si>
    <t xml:space="preserve">ORD0100</t>
  </si>
  <si>
    <t xml:space="preserve">CUS0021</t>
  </si>
  <si>
    <t xml:space="preserve">Myra Mishra</t>
  </si>
  <si>
    <t xml:space="preserve">ORD0101</t>
  </si>
  <si>
    <t xml:space="preserve">ORD0102</t>
  </si>
  <si>
    <t xml:space="preserve">CUS0193</t>
  </si>
  <si>
    <t xml:space="preserve">ORD0103</t>
  </si>
  <si>
    <t xml:space="preserve">CUS0147</t>
  </si>
  <si>
    <t xml:space="preserve">Saanvi Das</t>
  </si>
  <si>
    <t xml:space="preserve">ORD0104</t>
  </si>
  <si>
    <t xml:space="preserve">CUS0194</t>
  </si>
  <si>
    <t xml:space="preserve">Dev Verma</t>
  </si>
  <si>
    <t xml:space="preserve">ORD0105</t>
  </si>
  <si>
    <t xml:space="preserve">CUS0214</t>
  </si>
  <si>
    <t xml:space="preserve">Arjun Rao</t>
  </si>
  <si>
    <t xml:space="preserve">ORD0106</t>
  </si>
  <si>
    <t xml:space="preserve">Kiara Patel</t>
  </si>
  <si>
    <t xml:space="preserve">ORD0107</t>
  </si>
  <si>
    <t xml:space="preserve">ORD0108</t>
  </si>
  <si>
    <t xml:space="preserve">CUS0045</t>
  </si>
  <si>
    <t xml:space="preserve">ORD0109</t>
  </si>
  <si>
    <t xml:space="preserve">CUS0013</t>
  </si>
  <si>
    <t xml:space="preserve">Myra Gupta</t>
  </si>
  <si>
    <t xml:space="preserve">ORD0110</t>
  </si>
  <si>
    <t xml:space="preserve">CUS0035</t>
  </si>
  <si>
    <t xml:space="preserve">ORD0111</t>
  </si>
  <si>
    <t xml:space="preserve">CUS0195</t>
  </si>
  <si>
    <t xml:space="preserve">Ira Mishra</t>
  </si>
  <si>
    <t xml:space="preserve">ORD0112</t>
  </si>
  <si>
    <t xml:space="preserve">ORD0113</t>
  </si>
  <si>
    <t xml:space="preserve">CUS0163</t>
  </si>
  <si>
    <t xml:space="preserve">Anaya Khan</t>
  </si>
  <si>
    <t xml:space="preserve">ORD0114</t>
  </si>
  <si>
    <t xml:space="preserve">Ira Rao</t>
  </si>
  <si>
    <t xml:space="preserve">ORD0115</t>
  </si>
  <si>
    <t xml:space="preserve">ORD0116</t>
  </si>
  <si>
    <t xml:space="preserve">CUS0122</t>
  </si>
  <si>
    <t xml:space="preserve">Kabir Khan</t>
  </si>
  <si>
    <t xml:space="preserve">ORD0117</t>
  </si>
  <si>
    <t xml:space="preserve">ORD0118</t>
  </si>
  <si>
    <t xml:space="preserve">CUS0170</t>
  </si>
  <si>
    <t xml:space="preserve">ORD0119</t>
  </si>
  <si>
    <t xml:space="preserve">CUS0067</t>
  </si>
  <si>
    <t xml:space="preserve">ORD0120</t>
  </si>
  <si>
    <t xml:space="preserve">ORD0121</t>
  </si>
  <si>
    <t xml:space="preserve">CUS0172</t>
  </si>
  <si>
    <t xml:space="preserve">ORD0122</t>
  </si>
  <si>
    <t xml:space="preserve">CUS0175</t>
  </si>
  <si>
    <t xml:space="preserve">Reyansh Khan</t>
  </si>
  <si>
    <t xml:space="preserve">ORD0123</t>
  </si>
  <si>
    <t xml:space="preserve">CUS0121</t>
  </si>
  <si>
    <t xml:space="preserve">ORD0124</t>
  </si>
  <si>
    <t xml:space="preserve">Kabir Verma</t>
  </si>
  <si>
    <t xml:space="preserve">ORD0125</t>
  </si>
  <si>
    <t xml:space="preserve">CUS0162</t>
  </si>
  <si>
    <t xml:space="preserve">ORD0126</t>
  </si>
  <si>
    <t xml:space="preserve">Ishaan Verma</t>
  </si>
  <si>
    <t xml:space="preserve">ORD0127</t>
  </si>
  <si>
    <t xml:space="preserve">Vivaan Sharma</t>
  </si>
  <si>
    <t xml:space="preserve">ORD0128</t>
  </si>
  <si>
    <t xml:space="preserve">Rohan Mehta</t>
  </si>
  <si>
    <t xml:space="preserve">ORD0129</t>
  </si>
  <si>
    <t xml:space="preserve">Myra Rao</t>
  </si>
  <si>
    <t xml:space="preserve">ORD0130</t>
  </si>
  <si>
    <t xml:space="preserve">Aarav Joshi</t>
  </si>
  <si>
    <t xml:space="preserve">ORD0131</t>
  </si>
  <si>
    <t xml:space="preserve">Aarav Sharma</t>
  </si>
  <si>
    <t xml:space="preserve">ORD0132</t>
  </si>
  <si>
    <t xml:space="preserve">CUS0078</t>
  </si>
  <si>
    <t xml:space="preserve">Kiara Khan</t>
  </si>
  <si>
    <t xml:space="preserve">ORD0133</t>
  </si>
  <si>
    <t xml:space="preserve">CUS0030</t>
  </si>
  <si>
    <t xml:space="preserve">ORD0134</t>
  </si>
  <si>
    <t xml:space="preserve">CUS0011</t>
  </si>
  <si>
    <t xml:space="preserve">Myra Nair</t>
  </si>
  <si>
    <t xml:space="preserve">ORD0135</t>
  </si>
  <si>
    <t xml:space="preserve">Myra Verma</t>
  </si>
  <si>
    <t xml:space="preserve">ORD0136</t>
  </si>
  <si>
    <t xml:space="preserve">Meera Mishra</t>
  </si>
  <si>
    <t xml:space="preserve">ORD0137</t>
  </si>
  <si>
    <t xml:space="preserve">ORD0138</t>
  </si>
  <si>
    <t xml:space="preserve">CUS0103</t>
  </si>
  <si>
    <t xml:space="preserve">Rohan Das</t>
  </si>
  <si>
    <t xml:space="preserve">ORD0139</t>
  </si>
  <si>
    <t xml:space="preserve">ORD0140</t>
  </si>
  <si>
    <t xml:space="preserve">Kabir Das</t>
  </si>
  <si>
    <t xml:space="preserve">ORD0141</t>
  </si>
  <si>
    <t xml:space="preserve">CUS0186</t>
  </si>
  <si>
    <t xml:space="preserve">ORD0142</t>
  </si>
  <si>
    <t xml:space="preserve">CUS0089</t>
  </si>
  <si>
    <t xml:space="preserve">ORD0143</t>
  </si>
  <si>
    <t xml:space="preserve">ORD0144</t>
  </si>
  <si>
    <t xml:space="preserve">Dev Das</t>
  </si>
  <si>
    <t xml:space="preserve">ORD0145</t>
  </si>
  <si>
    <t xml:space="preserve">CUS0104</t>
  </si>
  <si>
    <t xml:space="preserve">ORD0146</t>
  </si>
  <si>
    <t xml:space="preserve">CUS0212</t>
  </si>
  <si>
    <t xml:space="preserve">ORD0147</t>
  </si>
  <si>
    <t xml:space="preserve">CUS0025</t>
  </si>
  <si>
    <t xml:space="preserve">Saanvi Sharma</t>
  </si>
  <si>
    <t xml:space="preserve">ORD0148</t>
  </si>
  <si>
    <t xml:space="preserve">CUS0127</t>
  </si>
  <si>
    <t xml:space="preserve">Kabir Mishra</t>
  </si>
  <si>
    <t xml:space="preserve">ORD0149</t>
  </si>
  <si>
    <t xml:space="preserve">ORD0150</t>
  </si>
  <si>
    <t xml:space="preserve">CUS0128</t>
  </si>
  <si>
    <t xml:space="preserve">Aarav Mehta</t>
  </si>
  <si>
    <t xml:space="preserve">ORD0151</t>
  </si>
  <si>
    <t xml:space="preserve">Kabir Patel</t>
  </si>
  <si>
    <t xml:space="preserve">ORD0152</t>
  </si>
  <si>
    <t xml:space="preserve">CUS0076</t>
  </si>
  <si>
    <t xml:space="preserve">ORD0153</t>
  </si>
  <si>
    <t xml:space="preserve">CUS0054</t>
  </si>
  <si>
    <t xml:space="preserve">Aditi Khan</t>
  </si>
  <si>
    <t xml:space="preserve">ORD0154</t>
  </si>
  <si>
    <t xml:space="preserve">ORD0155</t>
  </si>
  <si>
    <t xml:space="preserve">CUS0134</t>
  </si>
  <si>
    <t xml:space="preserve">Anaya Sharma</t>
  </si>
  <si>
    <t xml:space="preserve">ORD0156</t>
  </si>
  <si>
    <t xml:space="preserve">Arjun Verma</t>
  </si>
  <si>
    <t xml:space="preserve">ORD0157</t>
  </si>
  <si>
    <t xml:space="preserve">CUS0191</t>
  </si>
  <si>
    <t xml:space="preserve">Rohan Nair</t>
  </si>
  <si>
    <t xml:space="preserve">ORD0158</t>
  </si>
  <si>
    <t xml:space="preserve">Arjun Nair</t>
  </si>
  <si>
    <t xml:space="preserve">ORD0159</t>
  </si>
  <si>
    <t xml:space="preserve">ORD0160</t>
  </si>
  <si>
    <t xml:space="preserve">ORD0161</t>
  </si>
  <si>
    <t xml:space="preserve">CUS0126</t>
  </si>
  <si>
    <t xml:space="preserve">Ira Patel</t>
  </si>
  <si>
    <t xml:space="preserve">ORD0162</t>
  </si>
  <si>
    <t xml:space="preserve">ORD0163</t>
  </si>
  <si>
    <t xml:space="preserve">ORD0164</t>
  </si>
  <si>
    <t xml:space="preserve">CUS0204</t>
  </si>
  <si>
    <t xml:space="preserve">Anaya Singh</t>
  </si>
  <si>
    <t xml:space="preserve">ORD0165</t>
  </si>
  <si>
    <t xml:space="preserve">ORD0166</t>
  </si>
  <si>
    <t xml:space="preserve">ORD0167</t>
  </si>
  <si>
    <t xml:space="preserve">Dev Iyer</t>
  </si>
  <si>
    <t xml:space="preserve">ORD0168</t>
  </si>
  <si>
    <t xml:space="preserve">CUS0116</t>
  </si>
  <si>
    <t xml:space="preserve">Rohan Singh</t>
  </si>
  <si>
    <t xml:space="preserve">ORD0169</t>
  </si>
  <si>
    <t xml:space="preserve">CUS0150</t>
  </si>
  <si>
    <t xml:space="preserve">Diya Iyer</t>
  </si>
  <si>
    <t xml:space="preserve">ORD0170</t>
  </si>
  <si>
    <t xml:space="preserve">CUS0102</t>
  </si>
  <si>
    <t xml:space="preserve">Aarav Das</t>
  </si>
  <si>
    <t xml:space="preserve">ORD0171</t>
  </si>
  <si>
    <t xml:space="preserve">ORD0172</t>
  </si>
  <si>
    <t xml:space="preserve">Ira Nair</t>
  </si>
  <si>
    <t xml:space="preserve">ORD0173</t>
  </si>
  <si>
    <t xml:space="preserve">CUS0047</t>
  </si>
  <si>
    <t xml:space="preserve">ORD0174</t>
  </si>
  <si>
    <t xml:space="preserve">ORD0175</t>
  </si>
  <si>
    <t xml:space="preserve">ORD0176</t>
  </si>
  <si>
    <t xml:space="preserve">ORD0177</t>
  </si>
  <si>
    <t xml:space="preserve">CUS0092</t>
  </si>
  <si>
    <t xml:space="preserve">ORD0178</t>
  </si>
  <si>
    <t xml:space="preserve">CUS0068</t>
  </si>
  <si>
    <t xml:space="preserve">ORD0179</t>
  </si>
  <si>
    <t xml:space="preserve">CUS0140</t>
  </si>
  <si>
    <t xml:space="preserve">ORD0180</t>
  </si>
  <si>
    <t xml:space="preserve">ORD0181</t>
  </si>
  <si>
    <t xml:space="preserve">CUS0046</t>
  </si>
  <si>
    <t xml:space="preserve">ORD0182</t>
  </si>
  <si>
    <t xml:space="preserve">ORD0183</t>
  </si>
  <si>
    <t xml:space="preserve">Arjun Joshi</t>
  </si>
  <si>
    <t xml:space="preserve">ORD0184</t>
  </si>
  <si>
    <t xml:space="preserve">CUS0065</t>
  </si>
  <si>
    <t xml:space="preserve">ORD0185</t>
  </si>
  <si>
    <t xml:space="preserve">CUS0059</t>
  </si>
  <si>
    <t xml:space="preserve">Ishaan Mehta</t>
  </si>
  <si>
    <t xml:space="preserve">ORD0186</t>
  </si>
  <si>
    <t xml:space="preserve">Kiara Sahu</t>
  </si>
  <si>
    <t xml:space="preserve">ORD0187</t>
  </si>
  <si>
    <t xml:space="preserve">Diya Verma</t>
  </si>
  <si>
    <t xml:space="preserve">ORD0188</t>
  </si>
  <si>
    <t xml:space="preserve">CUS0133</t>
  </si>
  <si>
    <t xml:space="preserve">ORD0189</t>
  </si>
  <si>
    <t xml:space="preserve">Kiara Joshi</t>
  </si>
  <si>
    <t xml:space="preserve">ORD0190</t>
  </si>
  <si>
    <t xml:space="preserve">Ishaan Nair</t>
  </si>
  <si>
    <t xml:space="preserve">ORD0191</t>
  </si>
  <si>
    <t xml:space="preserve">CUS0156</t>
  </si>
  <si>
    <t xml:space="preserve">Anaya Verma</t>
  </si>
  <si>
    <t xml:space="preserve">ORD0192</t>
  </si>
  <si>
    <t xml:space="preserve">Kabir Joshi</t>
  </si>
  <si>
    <t xml:space="preserve">ORD0193</t>
  </si>
  <si>
    <t xml:space="preserve">ORD0194</t>
  </si>
  <si>
    <t xml:space="preserve">CUS0073</t>
  </si>
  <si>
    <t xml:space="preserve">Kiara Gupta</t>
  </si>
  <si>
    <t xml:space="preserve">ORD0195</t>
  </si>
  <si>
    <t xml:space="preserve">CUS0177</t>
  </si>
  <si>
    <t xml:space="preserve">ORD0196</t>
  </si>
  <si>
    <t xml:space="preserve">CUS0157</t>
  </si>
  <si>
    <t xml:space="preserve">ORD0197</t>
  </si>
  <si>
    <t xml:space="preserve">CUS0148</t>
  </si>
  <si>
    <t xml:space="preserve">Ira Sahu</t>
  </si>
  <si>
    <t xml:space="preserve">ORD0198</t>
  </si>
  <si>
    <t xml:space="preserve">ORD0199</t>
  </si>
  <si>
    <t xml:space="preserve">ORD0200</t>
  </si>
  <si>
    <t xml:space="preserve">CUS0158</t>
  </si>
  <si>
    <t xml:space="preserve">ORD0201</t>
  </si>
  <si>
    <t xml:space="preserve">CUS0201</t>
  </si>
  <si>
    <t xml:space="preserve">Saanvi Joshi</t>
  </si>
  <si>
    <t xml:space="preserve">ORD0202</t>
  </si>
  <si>
    <t xml:space="preserve">ORD0203</t>
  </si>
  <si>
    <t xml:space="preserve">CUS0209</t>
  </si>
  <si>
    <t xml:space="preserve">ORD0204</t>
  </si>
  <si>
    <t xml:space="preserve">Aditi Rao</t>
  </si>
  <si>
    <t xml:space="preserve">ORD0205</t>
  </si>
  <si>
    <t xml:space="preserve">Saanvi Sahu</t>
  </si>
  <si>
    <t xml:space="preserve">ORD0206</t>
  </si>
  <si>
    <t xml:space="preserve">CUS0174</t>
  </si>
  <si>
    <t xml:space="preserve">ORD0207</t>
  </si>
  <si>
    <t xml:space="preserve">Rohan Khan</t>
  </si>
  <si>
    <t xml:space="preserve">ORD0208</t>
  </si>
  <si>
    <t xml:space="preserve">CUS0192</t>
  </si>
  <si>
    <t xml:space="preserve">ORD0209</t>
  </si>
  <si>
    <t xml:space="preserve">CUS0200</t>
  </si>
  <si>
    <t xml:space="preserve">ORD0210</t>
  </si>
  <si>
    <t xml:space="preserve">CUS0096</t>
  </si>
  <si>
    <t xml:space="preserve">Reyansh Das</t>
  </si>
  <si>
    <t xml:space="preserve">ORD0211</t>
  </si>
  <si>
    <t xml:space="preserve">ORD0212</t>
  </si>
  <si>
    <t xml:space="preserve">ORD0213</t>
  </si>
  <si>
    <t xml:space="preserve">CUS0141</t>
  </si>
  <si>
    <t xml:space="preserve">ORD0214</t>
  </si>
  <si>
    <t xml:space="preserve">ORD0215</t>
  </si>
  <si>
    <t xml:space="preserve">ORD0216</t>
  </si>
  <si>
    <t xml:space="preserve">ORD0217</t>
  </si>
  <si>
    <t xml:space="preserve">ORD0218</t>
  </si>
  <si>
    <t xml:space="preserve">ORD0219</t>
  </si>
  <si>
    <t xml:space="preserve">Meera Khan</t>
  </si>
  <si>
    <t xml:space="preserve">ORD0220</t>
  </si>
  <si>
    <t xml:space="preserve">CUS0042</t>
  </si>
  <si>
    <t xml:space="preserve">ORD0221</t>
  </si>
  <si>
    <t xml:space="preserve">CUS0106</t>
  </si>
  <si>
    <t xml:space="preserve">ORD0222</t>
  </si>
  <si>
    <t xml:space="preserve">Rohan Patel</t>
  </si>
  <si>
    <t xml:space="preserve">ORD0223</t>
  </si>
  <si>
    <t xml:space="preserve">CUS0159</t>
  </si>
  <si>
    <t xml:space="preserve">ORD0224</t>
  </si>
  <si>
    <t xml:space="preserve">Diya Khan</t>
  </si>
  <si>
    <t xml:space="preserve">ORD0225</t>
  </si>
  <si>
    <t xml:space="preserve">CUS0112</t>
  </si>
  <si>
    <t xml:space="preserve">ORD0226</t>
  </si>
  <si>
    <t xml:space="preserve">CUS0001</t>
  </si>
  <si>
    <t xml:space="preserve">ORD0227</t>
  </si>
  <si>
    <t xml:space="preserve">ORD0228</t>
  </si>
  <si>
    <t xml:space="preserve">ORD0229</t>
  </si>
  <si>
    <t xml:space="preserve">CUS0049</t>
  </si>
  <si>
    <t xml:space="preserve">ORD0230</t>
  </si>
  <si>
    <t xml:space="preserve">CUS0039</t>
  </si>
  <si>
    <t xml:space="preserve">Diya Mehta</t>
  </si>
  <si>
    <t xml:space="preserve">ORD0231</t>
  </si>
  <si>
    <t xml:space="preserve">ORD0232</t>
  </si>
  <si>
    <t xml:space="preserve">ORD0233</t>
  </si>
  <si>
    <t xml:space="preserve">Saanvi Singh</t>
  </si>
  <si>
    <t xml:space="preserve">ORD0234</t>
  </si>
  <si>
    <t xml:space="preserve">ORD0235</t>
  </si>
  <si>
    <t xml:space="preserve">ORD0236</t>
  </si>
  <si>
    <t xml:space="preserve">CUS0003</t>
  </si>
  <si>
    <t xml:space="preserve">Diya Joshi</t>
  </si>
  <si>
    <t xml:space="preserve">ORD0237</t>
  </si>
  <si>
    <t xml:space="preserve">ORD0238</t>
  </si>
  <si>
    <t xml:space="preserve">ORD0239</t>
  </si>
  <si>
    <t xml:space="preserve">ORD0240</t>
  </si>
  <si>
    <t xml:space="preserve">CUS0213</t>
  </si>
  <si>
    <t xml:space="preserve">Meera Patel</t>
  </si>
  <si>
    <t xml:space="preserve">ORD0241</t>
  </si>
  <si>
    <t xml:space="preserve">ORD0242</t>
  </si>
  <si>
    <t xml:space="preserve">ORD0243</t>
  </si>
  <si>
    <t xml:space="preserve">Vivaan Patel</t>
  </si>
  <si>
    <t xml:space="preserve">ORD0244</t>
  </si>
  <si>
    <t xml:space="preserve">CUS0094</t>
  </si>
  <si>
    <t xml:space="preserve">ORD0245</t>
  </si>
  <si>
    <t xml:space="preserve">CUS0143</t>
  </si>
  <si>
    <t xml:space="preserve">ORD0246</t>
  </si>
  <si>
    <t xml:space="preserve">CUS0056</t>
  </si>
  <si>
    <t xml:space="preserve">ORD0247</t>
  </si>
  <si>
    <t xml:space="preserve">Kiara Iyer</t>
  </si>
  <si>
    <t xml:space="preserve">ORD0248</t>
  </si>
  <si>
    <t xml:space="preserve">CUS0203</t>
  </si>
  <si>
    <t xml:space="preserve">ORD0249</t>
  </si>
  <si>
    <t xml:space="preserve">CUS0217</t>
  </si>
  <si>
    <t xml:space="preserve">Ira Singh</t>
  </si>
  <si>
    <t xml:space="preserve">ORD0250</t>
  </si>
  <si>
    <t xml:space="preserve">ORD0251</t>
  </si>
  <si>
    <t xml:space="preserve">Saanvi Nair</t>
  </si>
  <si>
    <t xml:space="preserve">ORD0252</t>
  </si>
  <si>
    <t xml:space="preserve">Ira Verma</t>
  </si>
  <si>
    <t xml:space="preserve">ORD0253</t>
  </si>
  <si>
    <t xml:space="preserve">CUS0146</t>
  </si>
  <si>
    <t xml:space="preserve">ORD0254</t>
  </si>
  <si>
    <t xml:space="preserve">ORD0255</t>
  </si>
  <si>
    <t xml:space="preserve">Rohan Sharma</t>
  </si>
  <si>
    <t xml:space="preserve">ORD0256</t>
  </si>
  <si>
    <t xml:space="preserve">CUS0173</t>
  </si>
  <si>
    <t xml:space="preserve">ORD0257</t>
  </si>
  <si>
    <t xml:space="preserve">Ishaan Das</t>
  </si>
  <si>
    <t xml:space="preserve">ORD0258</t>
  </si>
  <si>
    <t xml:space="preserve">ORD0259</t>
  </si>
  <si>
    <t xml:space="preserve">CUS0199</t>
  </si>
  <si>
    <t xml:space="preserve">Kiara Rao</t>
  </si>
  <si>
    <t xml:space="preserve">ORD0260</t>
  </si>
  <si>
    <t xml:space="preserve">ORD0261</t>
  </si>
  <si>
    <t xml:space="preserve">Ishaan Patel</t>
  </si>
  <si>
    <t xml:space="preserve">ORD0262</t>
  </si>
  <si>
    <t xml:space="preserve">ORD0263</t>
  </si>
  <si>
    <t xml:space="preserve">Diya Gupta</t>
  </si>
  <si>
    <t xml:space="preserve">ORD0264</t>
  </si>
  <si>
    <t xml:space="preserve">ORD0265</t>
  </si>
  <si>
    <t xml:space="preserve">CUS0137</t>
  </si>
  <si>
    <t xml:space="preserve">ORD0266</t>
  </si>
  <si>
    <t xml:space="preserve">CUS0086</t>
  </si>
  <si>
    <t xml:space="preserve">Myra Singh</t>
  </si>
  <si>
    <t xml:space="preserve">ORD0267</t>
  </si>
  <si>
    <t xml:space="preserve">CUS0100</t>
  </si>
  <si>
    <t xml:space="preserve">ORD0268</t>
  </si>
  <si>
    <t xml:space="preserve">ORD0269</t>
  </si>
  <si>
    <t xml:space="preserve">CUS0080</t>
  </si>
  <si>
    <t xml:space="preserve">ORD0270</t>
  </si>
  <si>
    <t xml:space="preserve">CUS0187</t>
  </si>
  <si>
    <t xml:space="preserve">ORD0271</t>
  </si>
  <si>
    <t xml:space="preserve">ORD0272</t>
  </si>
  <si>
    <t xml:space="preserve">CUS0060</t>
  </si>
  <si>
    <t xml:space="preserve">ORD0273</t>
  </si>
  <si>
    <t xml:space="preserve">CUS0048</t>
  </si>
  <si>
    <t xml:space="preserve">ORD0274</t>
  </si>
  <si>
    <t xml:space="preserve">ORD0275</t>
  </si>
  <si>
    <t xml:space="preserve">ORD0276</t>
  </si>
  <si>
    <t xml:space="preserve">ORD0277</t>
  </si>
  <si>
    <t xml:space="preserve">ORD0278</t>
  </si>
  <si>
    <t xml:space="preserve">ORD0279</t>
  </si>
  <si>
    <t xml:space="preserve">CUS0183</t>
  </si>
  <si>
    <t xml:space="preserve">ORD0280</t>
  </si>
  <si>
    <t xml:space="preserve">CUS0135</t>
  </si>
  <si>
    <t xml:space="preserve">Rohan Iyer</t>
  </si>
  <si>
    <t xml:space="preserve">ORD0281</t>
  </si>
  <si>
    <t xml:space="preserve">ORD0282</t>
  </si>
  <si>
    <t xml:space="preserve">ORD0283</t>
  </si>
  <si>
    <t xml:space="preserve">Myra Das</t>
  </si>
  <si>
    <t xml:space="preserve">ORD0284</t>
  </si>
  <si>
    <t xml:space="preserve">ORD0285</t>
  </si>
  <si>
    <t xml:space="preserve">ORD0286</t>
  </si>
  <si>
    <t xml:space="preserve">ORD0287</t>
  </si>
  <si>
    <t xml:space="preserve">ORD0288</t>
  </si>
  <si>
    <t xml:space="preserve">ORD0289</t>
  </si>
  <si>
    <t xml:space="preserve">Myra Mehta</t>
  </si>
  <si>
    <t xml:space="preserve">ORD0290</t>
  </si>
  <si>
    <t xml:space="preserve">CUS0031</t>
  </si>
  <si>
    <t xml:space="preserve">ORD0291</t>
  </si>
  <si>
    <t xml:space="preserve">ORD0292</t>
  </si>
  <si>
    <t xml:space="preserve">Aarav Mishra</t>
  </si>
  <si>
    <t xml:space="preserve">ORD0293</t>
  </si>
  <si>
    <t xml:space="preserve">Dev Mishra</t>
  </si>
  <si>
    <t xml:space="preserve">ORD0294</t>
  </si>
  <si>
    <t xml:space="preserve">ORD0295</t>
  </si>
  <si>
    <t xml:space="preserve">Anaya Mishra</t>
  </si>
  <si>
    <t xml:space="preserve">ORD0296</t>
  </si>
  <si>
    <t xml:space="preserve">ORD0297</t>
  </si>
  <si>
    <t xml:space="preserve">ORD0298</t>
  </si>
  <si>
    <t xml:space="preserve">ORD0299</t>
  </si>
  <si>
    <t xml:space="preserve">CUS0120</t>
  </si>
  <si>
    <t xml:space="preserve">ORD0300</t>
  </si>
  <si>
    <t xml:space="preserve">CUS0052</t>
  </si>
  <si>
    <t xml:space="preserve">Vivaan Gupta</t>
  </si>
  <si>
    <t xml:space="preserve">ORD0301</t>
  </si>
  <si>
    <t xml:space="preserve">CUS0160</t>
  </si>
  <si>
    <t xml:space="preserve">ORD0302</t>
  </si>
  <si>
    <t xml:space="preserve">CUS0019</t>
  </si>
  <si>
    <t xml:space="preserve">Aditi Joshi</t>
  </si>
  <si>
    <t xml:space="preserve">ORD0303</t>
  </si>
  <si>
    <t xml:space="preserve">ORD0304</t>
  </si>
  <si>
    <t xml:space="preserve">ORD0305</t>
  </si>
  <si>
    <t xml:space="preserve">Saanvi Verma</t>
  </si>
  <si>
    <t xml:space="preserve">ORD0306</t>
  </si>
  <si>
    <t xml:space="preserve">CUS0117</t>
  </si>
  <si>
    <t xml:space="preserve">ORD0307</t>
  </si>
  <si>
    <t xml:space="preserve">ORD0308</t>
  </si>
  <si>
    <t xml:space="preserve">ORD0309</t>
  </si>
  <si>
    <t xml:space="preserve">ORD0310</t>
  </si>
  <si>
    <t xml:space="preserve">CUS0079</t>
  </si>
  <si>
    <t xml:space="preserve">ORD0311</t>
  </si>
  <si>
    <t xml:space="preserve">ORD0312</t>
  </si>
  <si>
    <t xml:space="preserve">CUS0053</t>
  </si>
  <si>
    <t xml:space="preserve">ORD0313</t>
  </si>
  <si>
    <t xml:space="preserve">ORD0314</t>
  </si>
  <si>
    <t xml:space="preserve">CUS0111</t>
  </si>
  <si>
    <t xml:space="preserve">ORD0315</t>
  </si>
  <si>
    <t xml:space="preserve">Rohan Mishra</t>
  </si>
  <si>
    <t xml:space="preserve">ORD0316</t>
  </si>
  <si>
    <t xml:space="preserve">ORD0317</t>
  </si>
  <si>
    <t xml:space="preserve">CUS0058</t>
  </si>
  <si>
    <t xml:space="preserve">Meera Singh</t>
  </si>
  <si>
    <t xml:space="preserve">ORD0318</t>
  </si>
  <si>
    <t xml:space="preserve">ORD0319</t>
  </si>
  <si>
    <t xml:space="preserve">ORD0320</t>
  </si>
  <si>
    <t xml:space="preserve">CUS0014</t>
  </si>
  <si>
    <t xml:space="preserve">Reyansh Mehta</t>
  </si>
  <si>
    <t xml:space="preserve">ORD0321</t>
  </si>
  <si>
    <t xml:space="preserve">Aditi Gupta</t>
  </si>
  <si>
    <t xml:space="preserve">ORD0322</t>
  </si>
  <si>
    <t xml:space="preserve">Aditi Sahu</t>
  </si>
  <si>
    <t xml:space="preserve">ORD0323</t>
  </si>
  <si>
    <t xml:space="preserve">Arjun Gupta</t>
  </si>
  <si>
    <t xml:space="preserve">ORD0324</t>
  </si>
  <si>
    <t xml:space="preserve">Meera Gupta</t>
  </si>
  <si>
    <t xml:space="preserve">ORD0325</t>
  </si>
  <si>
    <t xml:space="preserve">ORD0326</t>
  </si>
  <si>
    <t xml:space="preserve">ORD0327</t>
  </si>
  <si>
    <t xml:space="preserve">ORD0328</t>
  </si>
  <si>
    <t xml:space="preserve">ORD0329</t>
  </si>
  <si>
    <t xml:space="preserve">ORD0330</t>
  </si>
  <si>
    <t xml:space="preserve">Anaya Mehta</t>
  </si>
  <si>
    <t xml:space="preserve">ORD0331</t>
  </si>
  <si>
    <t xml:space="preserve">Vivaan Joshi</t>
  </si>
  <si>
    <t xml:space="preserve">ORD0332</t>
  </si>
  <si>
    <t xml:space="preserve">ORD0333</t>
  </si>
  <si>
    <t xml:space="preserve">Ishaan Gupta</t>
  </si>
  <si>
    <t xml:space="preserve">ORD0334</t>
  </si>
  <si>
    <t xml:space="preserve">Dev Patel</t>
  </si>
  <si>
    <t xml:space="preserve">ORD0335</t>
  </si>
  <si>
    <t xml:space="preserve">ORD0336</t>
  </si>
  <si>
    <t xml:space="preserve">ORD0337</t>
  </si>
  <si>
    <t xml:space="preserve">CUS0132</t>
  </si>
  <si>
    <t xml:space="preserve">ORD0338</t>
  </si>
  <si>
    <t xml:space="preserve">Aditi Singh</t>
  </si>
  <si>
    <t xml:space="preserve">ORD0339</t>
  </si>
  <si>
    <t xml:space="preserve">ORD0340</t>
  </si>
  <si>
    <t xml:space="preserve">ORD0341</t>
  </si>
  <si>
    <t xml:space="preserve">Dev Sharma</t>
  </si>
  <si>
    <t xml:space="preserve">ORD0342</t>
  </si>
  <si>
    <t xml:space="preserve">ORD0343</t>
  </si>
  <si>
    <t xml:space="preserve">ORD0344</t>
  </si>
  <si>
    <t xml:space="preserve">Saanvi Patel</t>
  </si>
  <si>
    <t xml:space="preserve">ORD0345</t>
  </si>
  <si>
    <t xml:space="preserve">ORD0346</t>
  </si>
  <si>
    <t xml:space="preserve">Dev Nair</t>
  </si>
  <si>
    <t xml:space="preserve">ORD0347</t>
  </si>
  <si>
    <t xml:space="preserve">ORD0348</t>
  </si>
  <si>
    <t xml:space="preserve">CUS0033</t>
  </si>
  <si>
    <t xml:space="preserve">Vivaan Verma</t>
  </si>
  <si>
    <t xml:space="preserve">ORD0349</t>
  </si>
  <si>
    <t xml:space="preserve">Myra Joshi</t>
  </si>
  <si>
    <t xml:space="preserve">ORD0350</t>
  </si>
  <si>
    <t xml:space="preserve">ORD0351</t>
  </si>
  <si>
    <t xml:space="preserve">ORD0352</t>
  </si>
  <si>
    <t xml:space="preserve">ORD0353</t>
  </si>
  <si>
    <t xml:space="preserve">ORD0354</t>
  </si>
  <si>
    <t xml:space="preserve">ORD0355</t>
  </si>
  <si>
    <t xml:space="preserve">ORD0356</t>
  </si>
  <si>
    <t xml:space="preserve">ORD0357</t>
  </si>
  <si>
    <t xml:space="preserve">ORD0358</t>
  </si>
  <si>
    <t xml:space="preserve">ORD0359</t>
  </si>
  <si>
    <t xml:space="preserve">CUS0084</t>
  </si>
  <si>
    <t xml:space="preserve">ORD0360</t>
  </si>
  <si>
    <t xml:space="preserve">ORD0361</t>
  </si>
  <si>
    <t xml:space="preserve">ORD0362</t>
  </si>
  <si>
    <t xml:space="preserve">ORD0363</t>
  </si>
  <si>
    <t xml:space="preserve">Arjun Iyer</t>
  </si>
  <si>
    <t xml:space="preserve">ORD0364</t>
  </si>
  <si>
    <t xml:space="preserve">ORD0365</t>
  </si>
  <si>
    <t xml:space="preserve">CUS0182</t>
  </si>
  <si>
    <t xml:space="preserve">ORD0366</t>
  </si>
  <si>
    <t xml:space="preserve">ORD0367</t>
  </si>
  <si>
    <t xml:space="preserve">ORD0368</t>
  </si>
  <si>
    <t xml:space="preserve">ORD0369</t>
  </si>
  <si>
    <t xml:space="preserve">Aarav Gupta</t>
  </si>
  <si>
    <t xml:space="preserve">ORD0370</t>
  </si>
  <si>
    <t xml:space="preserve">ORD0371</t>
  </si>
  <si>
    <t xml:space="preserve">CUS0114</t>
  </si>
  <si>
    <t xml:space="preserve">Dev Gupta</t>
  </si>
  <si>
    <t xml:space="preserve">ORD0372</t>
  </si>
  <si>
    <t xml:space="preserve">CUS0091</t>
  </si>
  <si>
    <t xml:space="preserve">ORD0373</t>
  </si>
  <si>
    <t xml:space="preserve">ORD0374</t>
  </si>
  <si>
    <t xml:space="preserve">ORD0375</t>
  </si>
  <si>
    <t xml:space="preserve">CUS0040</t>
  </si>
  <si>
    <t xml:space="preserve">Aarav Iyer</t>
  </si>
  <si>
    <t xml:space="preserve">ORD0376</t>
  </si>
  <si>
    <t xml:space="preserve">ORD0377</t>
  </si>
  <si>
    <t xml:space="preserve">CUS0216</t>
  </si>
  <si>
    <t xml:space="preserve">ORD0378</t>
  </si>
  <si>
    <t xml:space="preserve">Dev Khan</t>
  </si>
  <si>
    <t xml:space="preserve">ORD0379</t>
  </si>
  <si>
    <t xml:space="preserve">CUS0184</t>
  </si>
  <si>
    <t xml:space="preserve">ORD0380</t>
  </si>
  <si>
    <t xml:space="preserve">ORD0381</t>
  </si>
  <si>
    <t xml:space="preserve">CUS0037</t>
  </si>
  <si>
    <t xml:space="preserve">ORD0382</t>
  </si>
  <si>
    <t xml:space="preserve">ORD0383</t>
  </si>
  <si>
    <t xml:space="preserve">Aditi Mishra</t>
  </si>
  <si>
    <t xml:space="preserve">ORD0384</t>
  </si>
  <si>
    <t xml:space="preserve">Myra Patel</t>
  </si>
  <si>
    <t xml:space="preserve">ORD0385</t>
  </si>
  <si>
    <t xml:space="preserve">Arjun Das</t>
  </si>
  <si>
    <t xml:space="preserve">ORD0386</t>
  </si>
  <si>
    <t xml:space="preserve">ORD0387</t>
  </si>
  <si>
    <t xml:space="preserve">ORD0388</t>
  </si>
  <si>
    <t xml:space="preserve">Anaya Joshi</t>
  </si>
  <si>
    <t xml:space="preserve">ORD0389</t>
  </si>
  <si>
    <t xml:space="preserve">ORD0390</t>
  </si>
  <si>
    <t xml:space="preserve">Kabir Mehta</t>
  </si>
  <si>
    <t xml:space="preserve">ORD0391</t>
  </si>
  <si>
    <t xml:space="preserve">ORD0392</t>
  </si>
  <si>
    <t xml:space="preserve">ORD0393</t>
  </si>
  <si>
    <t xml:space="preserve">ORD0394</t>
  </si>
  <si>
    <t xml:space="preserve">ORD0395</t>
  </si>
  <si>
    <t xml:space="preserve">ORD0396</t>
  </si>
  <si>
    <t xml:space="preserve">ORD0397</t>
  </si>
  <si>
    <t xml:space="preserve">ORD0398</t>
  </si>
  <si>
    <t xml:space="preserve">ORD0399</t>
  </si>
  <si>
    <t xml:space="preserve">ORD0400</t>
  </si>
  <si>
    <t xml:space="preserve">ORD0401</t>
  </si>
  <si>
    <t xml:space="preserve">ORD0402</t>
  </si>
  <si>
    <t xml:space="preserve">ORD0403</t>
  </si>
  <si>
    <t xml:space="preserve">ORD0404</t>
  </si>
  <si>
    <t xml:space="preserve">ORD0405</t>
  </si>
  <si>
    <t xml:space="preserve">CUS0189</t>
  </si>
  <si>
    <t xml:space="preserve">ORD0406</t>
  </si>
  <si>
    <t xml:space="preserve">ORD0407</t>
  </si>
  <si>
    <t xml:space="preserve">CUS0139</t>
  </si>
  <si>
    <t xml:space="preserve">ORD0408</t>
  </si>
  <si>
    <t xml:space="preserve">ORD0409</t>
  </si>
  <si>
    <t xml:space="preserve">ORD0410</t>
  </si>
  <si>
    <t xml:space="preserve">ORD0411</t>
  </si>
  <si>
    <t xml:space="preserve">CUS0208</t>
  </si>
  <si>
    <t xml:space="preserve">ORD0412</t>
  </si>
  <si>
    <t xml:space="preserve">CUS0090</t>
  </si>
  <si>
    <t xml:space="preserve">ORD0413</t>
  </si>
  <si>
    <t xml:space="preserve">Reyansh Verma</t>
  </si>
  <si>
    <t xml:space="preserve">ORD0414</t>
  </si>
  <si>
    <t xml:space="preserve">ORD0415</t>
  </si>
  <si>
    <t xml:space="preserve">ORD0416</t>
  </si>
  <si>
    <t xml:space="preserve">ORD0417</t>
  </si>
  <si>
    <t xml:space="preserve">ORD0418</t>
  </si>
  <si>
    <t xml:space="preserve">ORD0419</t>
  </si>
  <si>
    <t xml:space="preserve">ORD0420</t>
  </si>
  <si>
    <t xml:space="preserve">ORD0421</t>
  </si>
  <si>
    <t xml:space="preserve">CUS0211</t>
  </si>
  <si>
    <t xml:space="preserve">ORD0422</t>
  </si>
  <si>
    <t xml:space="preserve">ORD0423</t>
  </si>
  <si>
    <t xml:space="preserve">ORD0424</t>
  </si>
  <si>
    <t xml:space="preserve">ORD0425</t>
  </si>
  <si>
    <t xml:space="preserve">ORD0426</t>
  </si>
  <si>
    <t xml:space="preserve">ORD0427</t>
  </si>
  <si>
    <t xml:space="preserve">CUS0109</t>
  </si>
  <si>
    <t xml:space="preserve">ORD0428</t>
  </si>
  <si>
    <t xml:space="preserve">ORD0429</t>
  </si>
  <si>
    <t xml:space="preserve">CUS0220</t>
  </si>
  <si>
    <t xml:space="preserve">Dev Singh</t>
  </si>
  <si>
    <t xml:space="preserve">ORD0430</t>
  </si>
  <si>
    <t xml:space="preserve">ORD0431</t>
  </si>
  <si>
    <t xml:space="preserve">ORD0432</t>
  </si>
  <si>
    <t xml:space="preserve">CUS0178</t>
  </si>
  <si>
    <t xml:space="preserve">ORD0433</t>
  </si>
  <si>
    <t xml:space="preserve">Meera Nair</t>
  </si>
  <si>
    <t xml:space="preserve">ORD0434</t>
  </si>
  <si>
    <t xml:space="preserve">ORD0435</t>
  </si>
  <si>
    <t xml:space="preserve">ORD0436</t>
  </si>
  <si>
    <t xml:space="preserve">ORD0437</t>
  </si>
  <si>
    <t xml:space="preserve">ORD0438</t>
  </si>
  <si>
    <t xml:space="preserve">CUS0154</t>
  </si>
  <si>
    <t xml:space="preserve">ORD0439</t>
  </si>
  <si>
    <t xml:space="preserve">ORD0440</t>
  </si>
  <si>
    <t xml:space="preserve">ORD0441</t>
  </si>
  <si>
    <t xml:space="preserve">Diya Sharma</t>
  </si>
  <si>
    <t xml:space="preserve">ORD0442</t>
  </si>
  <si>
    <t xml:space="preserve">ORD0443</t>
  </si>
  <si>
    <t xml:space="preserve">ORD0444</t>
  </si>
  <si>
    <t xml:space="preserve">ORD0445</t>
  </si>
  <si>
    <t xml:space="preserve">ORD0446</t>
  </si>
  <si>
    <t xml:space="preserve">ORD0447</t>
  </si>
  <si>
    <t xml:space="preserve">ORD0448</t>
  </si>
  <si>
    <t xml:space="preserve">ORD0449</t>
  </si>
  <si>
    <t xml:space="preserve">ORD0450</t>
  </si>
  <si>
    <t xml:space="preserve">CUS0085</t>
  </si>
  <si>
    <t xml:space="preserve">ORD0451</t>
  </si>
  <si>
    <t xml:space="preserve">ORD0452</t>
  </si>
  <si>
    <t xml:space="preserve">ORD0453</t>
  </si>
  <si>
    <t xml:space="preserve">ORD0454</t>
  </si>
  <si>
    <t xml:space="preserve">ORD0455</t>
  </si>
  <si>
    <t xml:space="preserve">ORD0456</t>
  </si>
  <si>
    <t xml:space="preserve">ORD0457</t>
  </si>
  <si>
    <t xml:space="preserve">ORD0458</t>
  </si>
  <si>
    <t xml:space="preserve">ORD0459</t>
  </si>
  <si>
    <t xml:space="preserve">ORD0460</t>
  </si>
  <si>
    <t xml:space="preserve">ORD0461</t>
  </si>
  <si>
    <t xml:space="preserve">ORD0462</t>
  </si>
  <si>
    <t xml:space="preserve">ORD0463</t>
  </si>
  <si>
    <t xml:space="preserve">ORD0464</t>
  </si>
  <si>
    <t xml:space="preserve">ORD0465</t>
  </si>
  <si>
    <t xml:space="preserve">ORD0466</t>
  </si>
  <si>
    <t xml:space="preserve">ORD0467</t>
  </si>
  <si>
    <t xml:space="preserve">CUS0074</t>
  </si>
  <si>
    <t xml:space="preserve">ORD0468</t>
  </si>
  <si>
    <t xml:space="preserve">ORD0469</t>
  </si>
  <si>
    <t xml:space="preserve">ORD0470</t>
  </si>
  <si>
    <t xml:space="preserve">CUS0061</t>
  </si>
  <si>
    <t xml:space="preserve">ORD0471</t>
  </si>
  <si>
    <t xml:space="preserve">ORD0472</t>
  </si>
  <si>
    <t xml:space="preserve">ORD0473</t>
  </si>
  <si>
    <t xml:space="preserve">ORD0474</t>
  </si>
  <si>
    <t xml:space="preserve">ORD0475</t>
  </si>
  <si>
    <t xml:space="preserve">Aditi Mehta</t>
  </si>
  <si>
    <t xml:space="preserve">ORD0476</t>
  </si>
  <si>
    <t xml:space="preserve">CUS0108</t>
  </si>
  <si>
    <t xml:space="preserve">ORD0477</t>
  </si>
  <si>
    <t xml:space="preserve">CUS0198</t>
  </si>
  <si>
    <t xml:space="preserve">ORD0478</t>
  </si>
  <si>
    <t xml:space="preserve">ORD0479</t>
  </si>
  <si>
    <t xml:space="preserve">ORD0480</t>
  </si>
  <si>
    <t xml:space="preserve">ORD0481</t>
  </si>
  <si>
    <t xml:space="preserve">ORD0482</t>
  </si>
  <si>
    <t xml:space="preserve">ORD0483</t>
  </si>
  <si>
    <t xml:space="preserve">ORD0484</t>
  </si>
  <si>
    <t xml:space="preserve">ORD0485</t>
  </si>
  <si>
    <t xml:space="preserve">ORD0486</t>
  </si>
  <si>
    <t xml:space="preserve">ORD0487</t>
  </si>
  <si>
    <t xml:space="preserve">CUS0113</t>
  </si>
  <si>
    <t xml:space="preserve">ORD0488</t>
  </si>
  <si>
    <t xml:space="preserve">ORD0489</t>
  </si>
  <si>
    <t xml:space="preserve">ORD0490</t>
  </si>
  <si>
    <t xml:space="preserve">ORD0491</t>
  </si>
  <si>
    <t xml:space="preserve">ORD0492</t>
  </si>
  <si>
    <t xml:space="preserve">ORD0493</t>
  </si>
  <si>
    <t xml:space="preserve">ORD0494</t>
  </si>
  <si>
    <t xml:space="preserve">CUS0165</t>
  </si>
  <si>
    <t xml:space="preserve">ORD0495</t>
  </si>
  <si>
    <t xml:space="preserve">Meera Sharma</t>
  </si>
  <si>
    <t xml:space="preserve">ORD0496</t>
  </si>
  <si>
    <t xml:space="preserve">ORD0497</t>
  </si>
  <si>
    <t xml:space="preserve">ORD0498</t>
  </si>
  <si>
    <t xml:space="preserve">CUS0016</t>
  </si>
  <si>
    <t xml:space="preserve">ORD0499</t>
  </si>
  <si>
    <t xml:space="preserve">Vivaan Nair</t>
  </si>
  <si>
    <t xml:space="preserve">ORD0500</t>
  </si>
  <si>
    <t xml:space="preserve">ORD0501</t>
  </si>
  <si>
    <t xml:space="preserve">Kiara Das</t>
  </si>
  <si>
    <t xml:space="preserve">ORD0502</t>
  </si>
  <si>
    <t xml:space="preserve">ORD0503</t>
  </si>
  <si>
    <t xml:space="preserve">ORD0504</t>
  </si>
  <si>
    <t xml:space="preserve">ORD0505</t>
  </si>
  <si>
    <t xml:space="preserve">ORD0506</t>
  </si>
  <si>
    <t xml:space="preserve">ORD0507</t>
  </si>
  <si>
    <t xml:space="preserve">ORD0508</t>
  </si>
  <si>
    <t xml:space="preserve">ORD0509</t>
  </si>
  <si>
    <t xml:space="preserve">ORD0510</t>
  </si>
  <si>
    <t xml:space="preserve">ORD0511</t>
  </si>
  <si>
    <t xml:space="preserve">Saanvi Mehta</t>
  </si>
  <si>
    <t xml:space="preserve">ORD0512</t>
  </si>
  <si>
    <t xml:space="preserve">ORD0513</t>
  </si>
  <si>
    <t xml:space="preserve">Kiara Mehta</t>
  </si>
  <si>
    <t xml:space="preserve">ORD0514</t>
  </si>
  <si>
    <t xml:space="preserve">ORD0515</t>
  </si>
  <si>
    <t xml:space="preserve">CUS0123</t>
  </si>
  <si>
    <t xml:space="preserve">ORD0516</t>
  </si>
  <si>
    <t xml:space="preserve">ORD0517</t>
  </si>
  <si>
    <t xml:space="preserve">ORD0518</t>
  </si>
  <si>
    <t xml:space="preserve">ORD0519</t>
  </si>
  <si>
    <t xml:space="preserve">ORD0520</t>
  </si>
  <si>
    <t xml:space="preserve">ORD0521</t>
  </si>
  <si>
    <t xml:space="preserve">ORD0522</t>
  </si>
  <si>
    <t xml:space="preserve">ORD0523</t>
  </si>
  <si>
    <t xml:space="preserve">ORD0524</t>
  </si>
  <si>
    <t xml:space="preserve">ORD0525</t>
  </si>
  <si>
    <t xml:space="preserve">ORD0526</t>
  </si>
  <si>
    <t xml:space="preserve">ORD0527</t>
  </si>
  <si>
    <t xml:space="preserve">ORD0528</t>
  </si>
  <si>
    <t xml:space="preserve">ORD0529</t>
  </si>
  <si>
    <t xml:space="preserve">ORD0530</t>
  </si>
  <si>
    <t xml:space="preserve">ORD0531</t>
  </si>
  <si>
    <t xml:space="preserve">ORD0532</t>
  </si>
  <si>
    <t xml:space="preserve">ORD0533</t>
  </si>
  <si>
    <t xml:space="preserve">Reyansh Iyer</t>
  </si>
  <si>
    <t xml:space="preserve">ORD0534</t>
  </si>
  <si>
    <t xml:space="preserve">ORD0535</t>
  </si>
  <si>
    <t xml:space="preserve">ORD0536</t>
  </si>
  <si>
    <t xml:space="preserve">ORD0537</t>
  </si>
  <si>
    <t xml:space="preserve">ORD0538</t>
  </si>
  <si>
    <t xml:space="preserve">ORD0539</t>
  </si>
  <si>
    <t xml:space="preserve">ORD0540</t>
  </si>
  <si>
    <t xml:space="preserve">ORD0541</t>
  </si>
  <si>
    <t xml:space="preserve">ORD0542</t>
  </si>
  <si>
    <t xml:space="preserve">Kabir Gupta</t>
  </si>
  <si>
    <t xml:space="preserve">ORD0543</t>
  </si>
  <si>
    <t xml:space="preserve">ORD0544</t>
  </si>
  <si>
    <t xml:space="preserve">CUS0101</t>
  </si>
  <si>
    <t xml:space="preserve">ORD0545</t>
  </si>
  <si>
    <t xml:space="preserve">ORD0546</t>
  </si>
  <si>
    <t xml:space="preserve">Saanvi Gupta</t>
  </si>
  <si>
    <t xml:space="preserve">ORD0547</t>
  </si>
  <si>
    <t xml:space="preserve">ORD0548</t>
  </si>
  <si>
    <t xml:space="preserve">CUS0210</t>
  </si>
  <si>
    <t xml:space="preserve">ORD0549</t>
  </si>
  <si>
    <t xml:space="preserve">ORD0550</t>
  </si>
  <si>
    <t xml:space="preserve">ORD0551</t>
  </si>
  <si>
    <t xml:space="preserve">ORD0552</t>
  </si>
  <si>
    <t xml:space="preserve">CUS0071</t>
  </si>
  <si>
    <t xml:space="preserve">ORD0553</t>
  </si>
  <si>
    <t xml:space="preserve">ORD0554</t>
  </si>
  <si>
    <t xml:space="preserve">ORD0555</t>
  </si>
  <si>
    <t xml:space="preserve">ORD0556</t>
  </si>
  <si>
    <t xml:space="preserve">ORD0557</t>
  </si>
  <si>
    <t xml:space="preserve">ORD0558</t>
  </si>
  <si>
    <t xml:space="preserve">ORD0559</t>
  </si>
  <si>
    <t xml:space="preserve">ORD0560</t>
  </si>
  <si>
    <t xml:space="preserve">ORD0561</t>
  </si>
  <si>
    <t xml:space="preserve">ORD0562</t>
  </si>
  <si>
    <t xml:space="preserve">ORD0563</t>
  </si>
  <si>
    <t xml:space="preserve">ORD0564</t>
  </si>
  <si>
    <t xml:space="preserve">ORD0565</t>
  </si>
  <si>
    <t xml:space="preserve">ORD0566</t>
  </si>
  <si>
    <t xml:space="preserve">ORD0567</t>
  </si>
  <si>
    <t xml:space="preserve">ORD0568</t>
  </si>
  <si>
    <t xml:space="preserve">ORD0569</t>
  </si>
  <si>
    <t xml:space="preserve">ORD0570</t>
  </si>
  <si>
    <t xml:space="preserve">ORD0571</t>
  </si>
  <si>
    <t xml:space="preserve">CUS0070</t>
  </si>
  <si>
    <t xml:space="preserve">ORD0572</t>
  </si>
  <si>
    <t xml:space="preserve">ORD0573</t>
  </si>
  <si>
    <t xml:space="preserve">ORD0574</t>
  </si>
  <si>
    <t xml:space="preserve">ORD0575</t>
  </si>
  <si>
    <t xml:space="preserve">ORD0576</t>
  </si>
  <si>
    <t xml:space="preserve">CUS0099</t>
  </si>
  <si>
    <t xml:space="preserve">ORD0577</t>
  </si>
  <si>
    <t xml:space="preserve">ORD0578</t>
  </si>
  <si>
    <t xml:space="preserve">ORD0579</t>
  </si>
  <si>
    <t xml:space="preserve">Kiara Verma</t>
  </si>
  <si>
    <t xml:space="preserve">ORD0580</t>
  </si>
  <si>
    <t xml:space="preserve">ORD0581</t>
  </si>
  <si>
    <t xml:space="preserve">ORD0582</t>
  </si>
  <si>
    <t xml:space="preserve">ORD0583</t>
  </si>
  <si>
    <t xml:space="preserve">ORD0584</t>
  </si>
  <si>
    <t xml:space="preserve">Aditi Patel</t>
  </si>
  <si>
    <t xml:space="preserve">ORD0585</t>
  </si>
  <si>
    <t xml:space="preserve">ORD0586</t>
  </si>
  <si>
    <t xml:space="preserve">ORD0587</t>
  </si>
  <si>
    <t xml:space="preserve">Diya Rao</t>
  </si>
  <si>
    <t xml:space="preserve">ORD0588</t>
  </si>
  <si>
    <t xml:space="preserve">ORD0589</t>
  </si>
  <si>
    <t xml:space="preserve">ORD0590</t>
  </si>
  <si>
    <t xml:space="preserve">CUS0190</t>
  </si>
  <si>
    <t xml:space="preserve">ORD0591</t>
  </si>
  <si>
    <t xml:space="preserve">ORD0592</t>
  </si>
  <si>
    <t xml:space="preserve">ORD0593</t>
  </si>
  <si>
    <t xml:space="preserve">ORD0594</t>
  </si>
  <si>
    <t xml:space="preserve">ORD0595</t>
  </si>
  <si>
    <t xml:space="preserve">ORD0596</t>
  </si>
  <si>
    <t xml:space="preserve">ORD0597</t>
  </si>
  <si>
    <t xml:space="preserve">ORD0598</t>
  </si>
  <si>
    <t xml:space="preserve">ORD0599</t>
  </si>
  <si>
    <t xml:space="preserve">ORD0600</t>
  </si>
  <si>
    <t xml:space="preserve">INVENTORY MANAGEMENT LEDGER (100 SKUs)</t>
  </si>
  <si>
    <t xml:space="preserve">Closing Stock = Opening Stock + Stock Received - Units Sold + Units Returned • Automated Stock Status &amp; Reorder Quantity.</t>
  </si>
  <si>
    <t xml:space="preserve">Opening Stock</t>
  </si>
  <si>
    <t xml:space="preserve">Stock Received</t>
  </si>
  <si>
    <t xml:space="preserve">Units Returned</t>
  </si>
  <si>
    <t xml:space="preserve">Minimum Stock Level</t>
  </si>
  <si>
    <t xml:space="preserve">Maximum Stock Level</t>
  </si>
  <si>
    <t xml:space="preserve">Inventory Value</t>
  </si>
  <si>
    <t xml:space="preserve">Reorder Quantity</t>
  </si>
  <si>
    <t xml:space="preserve">SUPPLIER MASTER DATABASE</t>
  </si>
  <si>
    <t xml:space="preserve">25 fictional contracted suppliers • Includes payment terms, lead time (days), quality ratings, and active status dropdowns.</t>
  </si>
  <si>
    <t xml:space="preserve">Contact Person</t>
  </si>
  <si>
    <t xml:space="preserve">Contract Start Date</t>
  </si>
  <si>
    <t xml:space="preserve">Contract End Date</t>
  </si>
  <si>
    <t xml:space="preserve">Payment Terms</t>
  </si>
  <si>
    <t xml:space="preserve">Lead Time</t>
  </si>
  <si>
    <t xml:space="preserve">Supplier Rating</t>
  </si>
  <si>
    <t xml:space="preserve">Supplier Status</t>
  </si>
  <si>
    <t xml:space="preserve">Apex Supplies</t>
  </si>
  <si>
    <t xml:space="preserve">Net 60</t>
  </si>
  <si>
    <t xml:space="preserve">Active</t>
  </si>
  <si>
    <t xml:space="preserve">Bright Distributors</t>
  </si>
  <si>
    <t xml:space="preserve">Core Industries</t>
  </si>
  <si>
    <t xml:space="preserve">Net 45</t>
  </si>
  <si>
    <t xml:space="preserve">Delta Trading Co.</t>
  </si>
  <si>
    <t xml:space="preserve">Ira Joshi</t>
  </si>
  <si>
    <t xml:space="preserve">Net 15</t>
  </si>
  <si>
    <t xml:space="preserve">Ever Logistics</t>
  </si>
  <si>
    <t xml:space="preserve">Net 30</t>
  </si>
  <si>
    <t xml:space="preserve">Frontier Wholesale</t>
  </si>
  <si>
    <t xml:space="preserve">Global Partners</t>
  </si>
  <si>
    <t xml:space="preserve">Horizon Supplies</t>
  </si>
  <si>
    <t xml:space="preserve">Diya Sahu</t>
  </si>
  <si>
    <t xml:space="preserve">Indus Distributors</t>
  </si>
  <si>
    <t xml:space="preserve">Jupiter Industries</t>
  </si>
  <si>
    <t xml:space="preserve">Kinetic Trading Co.</t>
  </si>
  <si>
    <t xml:space="preserve">Lotus Logistics</t>
  </si>
  <si>
    <t xml:space="preserve">Reyansh Patel</t>
  </si>
  <si>
    <t xml:space="preserve">Meridian Wholesale</t>
  </si>
  <si>
    <t xml:space="preserve">Northstar Partners</t>
  </si>
  <si>
    <t xml:space="preserve">Advance</t>
  </si>
  <si>
    <t xml:space="preserve">Orbit Supplies</t>
  </si>
  <si>
    <t xml:space="preserve">Pioneer Distributors</t>
  </si>
  <si>
    <t xml:space="preserve">Quantum Industries</t>
  </si>
  <si>
    <t xml:space="preserve">Riverstone Trading Co.</t>
  </si>
  <si>
    <t xml:space="preserve">Summit Logistics</t>
  </si>
  <si>
    <t xml:space="preserve">Trident Wholesale</t>
  </si>
  <si>
    <t xml:space="preserve">Unity Partners</t>
  </si>
  <si>
    <t xml:space="preserve">On Hold</t>
  </si>
  <si>
    <t xml:space="preserve">Vertex Supplies</t>
  </si>
  <si>
    <t xml:space="preserve">Westline Distributors</t>
  </si>
  <si>
    <t xml:space="preserve">Yugma Industries</t>
  </si>
  <si>
    <t xml:space="preserve">Zenith Trading Co.</t>
  </si>
  <si>
    <t xml:space="preserve">PRODUCT MASTER CATALOG</t>
  </si>
  <si>
    <t xml:space="preserve">100 fictional distribution SKUs across 8 categories • Formula-driven unit profit and profit margin linked to Supplier Database.</t>
  </si>
  <si>
    <t xml:space="preserve">Brand</t>
  </si>
  <si>
    <t xml:space="preserve">Profit per Unit</t>
  </si>
  <si>
    <t xml:space="preserve">Reorder Level</t>
  </si>
  <si>
    <t xml:space="preserve">Product Status</t>
  </si>
  <si>
    <t xml:space="preserve">Everyday Electronics Item 001</t>
  </si>
  <si>
    <t xml:space="preserve">MetroWorks</t>
  </si>
  <si>
    <t xml:space="preserve">Premium Home Item 002</t>
  </si>
  <si>
    <t xml:space="preserve">UrbanNest</t>
  </si>
  <si>
    <t xml:space="preserve">Premium Office Item 003</t>
  </si>
  <si>
    <t xml:space="preserve">DailyEase</t>
  </si>
  <si>
    <t xml:space="preserve">Everyday Personal Item 004</t>
  </si>
  <si>
    <t xml:space="preserve">NovaCore</t>
  </si>
  <si>
    <t xml:space="preserve">Everyday Industrial Item 005</t>
  </si>
  <si>
    <t xml:space="preserve">Pro Packaging Item 006</t>
  </si>
  <si>
    <t xml:space="preserve">PrimeLine</t>
  </si>
  <si>
    <t xml:space="preserve">Everyday Apparel Item 007</t>
  </si>
  <si>
    <t xml:space="preserve">Smart Automotive Item 008</t>
  </si>
  <si>
    <t xml:space="preserve">ApexPro</t>
  </si>
  <si>
    <t xml:space="preserve">Essential Electronics Item 009</t>
  </si>
  <si>
    <t xml:space="preserve">Discontinued</t>
  </si>
  <si>
    <t xml:space="preserve">Essential Home Item 010</t>
  </si>
  <si>
    <t xml:space="preserve">Essential Office Item 011</t>
  </si>
  <si>
    <t xml:space="preserve">Eco Personal Item 012</t>
  </si>
  <si>
    <t xml:space="preserve">Eco Industrial Item 013</t>
  </si>
  <si>
    <t xml:space="preserve">Pro Packaging Item 014</t>
  </si>
  <si>
    <t xml:space="preserve">VoltEdge</t>
  </si>
  <si>
    <t xml:space="preserve">Classic Apparel Item 015</t>
  </si>
  <si>
    <t xml:space="preserve">Pro Automotive Item 016</t>
  </si>
  <si>
    <t xml:space="preserve">Premium Electronics Item 017</t>
  </si>
  <si>
    <t xml:space="preserve">Smart Home Item 018</t>
  </si>
  <si>
    <t xml:space="preserve">Everyday Office Item 019</t>
  </si>
  <si>
    <t xml:space="preserve">Eco Personal Item 020</t>
  </si>
  <si>
    <t xml:space="preserve">Eco Industrial Item 021</t>
  </si>
  <si>
    <t xml:space="preserve">Smart Packaging Item 022</t>
  </si>
  <si>
    <t xml:space="preserve">Eco Apparel Item 023</t>
  </si>
  <si>
    <t xml:space="preserve">Eco Automotive Item 024</t>
  </si>
  <si>
    <t xml:space="preserve">Pro Electronics Item 025</t>
  </si>
  <si>
    <t xml:space="preserve">EcoSphere</t>
  </si>
  <si>
    <t xml:space="preserve">Classic Home Item 026</t>
  </si>
  <si>
    <t xml:space="preserve">Premium Office Item 027</t>
  </si>
  <si>
    <t xml:space="preserve">Pro Personal Item 028</t>
  </si>
  <si>
    <t xml:space="preserve">Eco Industrial Item 029</t>
  </si>
  <si>
    <t xml:space="preserve">Premium Packaging Item 030</t>
  </si>
  <si>
    <t xml:space="preserve">Essential Apparel Item 031</t>
  </si>
  <si>
    <t xml:space="preserve">Smart Automotive Item 032</t>
  </si>
  <si>
    <t xml:space="preserve">Compact Electronics Item 033</t>
  </si>
  <si>
    <t xml:space="preserve">Classic Home Item 034</t>
  </si>
  <si>
    <t xml:space="preserve">Smart Office Item 035</t>
  </si>
  <si>
    <t xml:space="preserve">Pro Personal Item 036</t>
  </si>
  <si>
    <t xml:space="preserve">Pro Industrial Item 037</t>
  </si>
  <si>
    <t xml:space="preserve">Eco Packaging Item 038</t>
  </si>
  <si>
    <t xml:space="preserve">Eco Apparel Item 039</t>
  </si>
  <si>
    <t xml:space="preserve">Smart Automotive Item 040</t>
  </si>
  <si>
    <t xml:space="preserve">Essential Electronics Item 041</t>
  </si>
  <si>
    <t xml:space="preserve">Compact Home Item 042</t>
  </si>
  <si>
    <t xml:space="preserve">Eco Office Item 043</t>
  </si>
  <si>
    <t xml:space="preserve">Essential Personal Item 044</t>
  </si>
  <si>
    <t xml:space="preserve">Essential Industrial Item 045</t>
  </si>
  <si>
    <t xml:space="preserve">Classic Packaging Item 046</t>
  </si>
  <si>
    <t xml:space="preserve">Premium Apparel Item 047</t>
  </si>
  <si>
    <t xml:space="preserve">Eco Automotive Item 048</t>
  </si>
  <si>
    <t xml:space="preserve">Premium Electronics Item 049</t>
  </si>
  <si>
    <t xml:space="preserve">Eco Home Item 050</t>
  </si>
  <si>
    <t xml:space="preserve">Classic Office Item 051</t>
  </si>
  <si>
    <t xml:space="preserve">Compact Personal Item 052</t>
  </si>
  <si>
    <t xml:space="preserve">Classic Industrial Item 053</t>
  </si>
  <si>
    <t xml:space="preserve">Pro Packaging Item 054</t>
  </si>
  <si>
    <t xml:space="preserve">Eco Apparel Item 055</t>
  </si>
  <si>
    <t xml:space="preserve">Smart Automotive Item 056</t>
  </si>
  <si>
    <t xml:space="preserve">Essential Electronics Item 057</t>
  </si>
  <si>
    <t xml:space="preserve">Pro Home Item 058</t>
  </si>
  <si>
    <t xml:space="preserve">Eco Office Item 059</t>
  </si>
  <si>
    <t xml:space="preserve">Smart Personal Item 060</t>
  </si>
  <si>
    <t xml:space="preserve">Pro Industrial Item 061</t>
  </si>
  <si>
    <t xml:space="preserve">Compact Packaging Item 062</t>
  </si>
  <si>
    <t xml:space="preserve">Everyday Apparel Item 063</t>
  </si>
  <si>
    <t xml:space="preserve">Compact Automotive Item 064</t>
  </si>
  <si>
    <t xml:space="preserve">Compact Electronics Item 065</t>
  </si>
  <si>
    <t xml:space="preserve">Classic Home Item 066</t>
  </si>
  <si>
    <t xml:space="preserve">Premium Office Item 067</t>
  </si>
  <si>
    <t xml:space="preserve">Compact Personal Item 068</t>
  </si>
  <si>
    <t xml:space="preserve">Eco Industrial Item 069</t>
  </si>
  <si>
    <t xml:space="preserve">Eco Packaging Item 070</t>
  </si>
  <si>
    <t xml:space="preserve">Pro Apparel Item 071</t>
  </si>
  <si>
    <t xml:space="preserve">Premium Automotive Item 072</t>
  </si>
  <si>
    <t xml:space="preserve">Essential Electronics Item 073</t>
  </si>
  <si>
    <t xml:space="preserve">Pro Home Item 074</t>
  </si>
  <si>
    <t xml:space="preserve">Everyday Office Item 075</t>
  </si>
  <si>
    <t xml:space="preserve">Everyday Personal Item 076</t>
  </si>
  <si>
    <t xml:space="preserve">Everyday Industrial Item 077</t>
  </si>
  <si>
    <t xml:space="preserve">Smart Packaging Item 078</t>
  </si>
  <si>
    <t xml:space="preserve">Essential Apparel Item 079</t>
  </si>
  <si>
    <t xml:space="preserve">Classic Automotive Item 080</t>
  </si>
  <si>
    <t xml:space="preserve">Premium Electronics Item 081</t>
  </si>
  <si>
    <t xml:space="preserve">Compact Home Item 082</t>
  </si>
  <si>
    <t xml:space="preserve">Essential Office Item 083</t>
  </si>
  <si>
    <t xml:space="preserve">Eco Personal Item 084</t>
  </si>
  <si>
    <t xml:space="preserve">Classic Industrial Item 085</t>
  </si>
  <si>
    <t xml:space="preserve">Classic Packaging Item 086</t>
  </si>
  <si>
    <t xml:space="preserve">Compact Apparel Item 087</t>
  </si>
  <si>
    <t xml:space="preserve">Premium Automotive Item 088</t>
  </si>
  <si>
    <t xml:space="preserve">Everyday Electronics Item 089</t>
  </si>
  <si>
    <t xml:space="preserve">Compact Home Item 090</t>
  </si>
  <si>
    <t xml:space="preserve">Premium Office Item 091</t>
  </si>
  <si>
    <t xml:space="preserve">Essential Personal Item 092</t>
  </si>
  <si>
    <t xml:space="preserve">Compact Industrial Item 093</t>
  </si>
  <si>
    <t xml:space="preserve">Classic Packaging Item 094</t>
  </si>
  <si>
    <t xml:space="preserve">Eco Apparel Item 095</t>
  </si>
  <si>
    <t xml:space="preserve">Eco Automotive Item 096</t>
  </si>
  <si>
    <t xml:space="preserve">Smart Electronics Item 097</t>
  </si>
  <si>
    <t xml:space="preserve">Compact Home Item 098</t>
  </si>
  <si>
    <t xml:space="preserve">Eco Office Item 099</t>
  </si>
  <si>
    <t xml:space="preserve">Smart Personal Item 100</t>
  </si>
  <si>
    <t xml:space="preserve">PURCHASE ORDER MANAGEMENT (220 PO RECORDS)</t>
  </si>
  <si>
    <t xml:space="preserve">Procurement ledger • VLOOKUP links Supplier &amp; Product names; formulas compute Total Purchase Value, Pending Qty, and Supplier Delay Days.</t>
  </si>
  <si>
    <t xml:space="preserve">Purchase Order ID</t>
  </si>
  <si>
    <t xml:space="preserve">Purchase Order Date</t>
  </si>
  <si>
    <t xml:space="preserve">Expected Receipt Date</t>
  </si>
  <si>
    <t xml:space="preserve">Actual Receipt Date</t>
  </si>
  <si>
    <t xml:space="preserve">Received Quantity</t>
  </si>
  <si>
    <t xml:space="preserve">Pending Quantity</t>
  </si>
  <si>
    <t xml:space="preserve">Purchase Status</t>
  </si>
  <si>
    <t xml:space="preserve">Supplier Delay Days</t>
  </si>
  <si>
    <t xml:space="preserve">PO0001</t>
  </si>
  <si>
    <t xml:space="preserve">PO0002</t>
  </si>
  <si>
    <t xml:space="preserve">Received</t>
  </si>
  <si>
    <t xml:space="preserve">PO0003</t>
  </si>
  <si>
    <t xml:space="preserve">PO0004</t>
  </si>
  <si>
    <t xml:space="preserve">Partially Received</t>
  </si>
  <si>
    <t xml:space="preserve">PO0005</t>
  </si>
  <si>
    <t xml:space="preserve">PO0006</t>
  </si>
  <si>
    <t xml:space="preserve">PO0007</t>
  </si>
  <si>
    <t xml:space="preserve">PO0008</t>
  </si>
  <si>
    <t xml:space="preserve">PO0009</t>
  </si>
  <si>
    <t xml:space="preserve">PO0010</t>
  </si>
  <si>
    <t xml:space="preserve">PO0011</t>
  </si>
  <si>
    <t xml:space="preserve">PO0012</t>
  </si>
  <si>
    <t xml:space="preserve">PO0013</t>
  </si>
  <si>
    <t xml:space="preserve">PO0014</t>
  </si>
  <si>
    <t xml:space="preserve">Delayed</t>
  </si>
  <si>
    <t xml:space="preserve">PO0015</t>
  </si>
  <si>
    <t xml:space="preserve">PO0016</t>
  </si>
  <si>
    <t xml:space="preserve">PO0017</t>
  </si>
  <si>
    <t xml:space="preserve">PO0018</t>
  </si>
  <si>
    <t xml:space="preserve">PO0019</t>
  </si>
  <si>
    <t xml:space="preserve">PO0020</t>
  </si>
  <si>
    <t xml:space="preserve">PO0021</t>
  </si>
  <si>
    <t xml:space="preserve">PO0022</t>
  </si>
  <si>
    <t xml:space="preserve">PO0023</t>
  </si>
  <si>
    <t xml:space="preserve">PO0024</t>
  </si>
  <si>
    <t xml:space="preserve">PO0025</t>
  </si>
  <si>
    <t xml:space="preserve">PO0026</t>
  </si>
  <si>
    <t xml:space="preserve">PO0027</t>
  </si>
  <si>
    <t xml:space="preserve">PO0028</t>
  </si>
  <si>
    <t xml:space="preserve">PO0029</t>
  </si>
  <si>
    <t xml:space="preserve">PO0030</t>
  </si>
  <si>
    <t xml:space="preserve">PO0031</t>
  </si>
  <si>
    <t xml:space="preserve">PO0032</t>
  </si>
  <si>
    <t xml:space="preserve">PO0033</t>
  </si>
  <si>
    <t xml:space="preserve">PO0034</t>
  </si>
  <si>
    <t xml:space="preserve">PO0035</t>
  </si>
  <si>
    <t xml:space="preserve">PO0036</t>
  </si>
  <si>
    <t xml:space="preserve">PO0037</t>
  </si>
  <si>
    <t xml:space="preserve">PO0038</t>
  </si>
  <si>
    <t xml:space="preserve">PO0039</t>
  </si>
  <si>
    <t xml:space="preserve">PO0040</t>
  </si>
  <si>
    <t xml:space="preserve">PO0041</t>
  </si>
  <si>
    <t xml:space="preserve">PO0042</t>
  </si>
  <si>
    <t xml:space="preserve">PO0043</t>
  </si>
  <si>
    <t xml:space="preserve">PO0044</t>
  </si>
  <si>
    <t xml:space="preserve">PO0045</t>
  </si>
  <si>
    <t xml:space="preserve">PO0046</t>
  </si>
  <si>
    <t xml:space="preserve">PO0047</t>
  </si>
  <si>
    <t xml:space="preserve">PO0048</t>
  </si>
  <si>
    <t xml:space="preserve">PO0049</t>
  </si>
  <si>
    <t xml:space="preserve">PO0050</t>
  </si>
  <si>
    <t xml:space="preserve">PO0051</t>
  </si>
  <si>
    <t xml:space="preserve">PO0052</t>
  </si>
  <si>
    <t xml:space="preserve">PO0053</t>
  </si>
  <si>
    <t xml:space="preserve">PO0054</t>
  </si>
  <si>
    <t xml:space="preserve">PO0055</t>
  </si>
  <si>
    <t xml:space="preserve">PO0056</t>
  </si>
  <si>
    <t xml:space="preserve">PO0057</t>
  </si>
  <si>
    <t xml:space="preserve">PO0058</t>
  </si>
  <si>
    <t xml:space="preserve">PO0059</t>
  </si>
  <si>
    <t xml:space="preserve">PO0060</t>
  </si>
  <si>
    <t xml:space="preserve">PO0061</t>
  </si>
  <si>
    <t xml:space="preserve">PO0062</t>
  </si>
  <si>
    <t xml:space="preserve">PO0063</t>
  </si>
  <si>
    <t xml:space="preserve">PO0064</t>
  </si>
  <si>
    <t xml:space="preserve">PO0065</t>
  </si>
  <si>
    <t xml:space="preserve">PO0066</t>
  </si>
  <si>
    <t xml:space="preserve">PO0067</t>
  </si>
  <si>
    <t xml:space="preserve">PO0068</t>
  </si>
  <si>
    <t xml:space="preserve">PO0069</t>
  </si>
  <si>
    <t xml:space="preserve">PO0070</t>
  </si>
  <si>
    <t xml:space="preserve">PO0071</t>
  </si>
  <si>
    <t xml:space="preserve">PO0072</t>
  </si>
  <si>
    <t xml:space="preserve">PO0073</t>
  </si>
  <si>
    <t xml:space="preserve">PO0074</t>
  </si>
  <si>
    <t xml:space="preserve">PO0075</t>
  </si>
  <si>
    <t xml:space="preserve">PO0076</t>
  </si>
  <si>
    <t xml:space="preserve">PO0077</t>
  </si>
  <si>
    <t xml:space="preserve">PO0078</t>
  </si>
  <si>
    <t xml:space="preserve">PO0079</t>
  </si>
  <si>
    <t xml:space="preserve">PO0080</t>
  </si>
  <si>
    <t xml:space="preserve">PO0081</t>
  </si>
  <si>
    <t xml:space="preserve">PO0082</t>
  </si>
  <si>
    <t xml:space="preserve">PO0083</t>
  </si>
  <si>
    <t xml:space="preserve">PO0084</t>
  </si>
  <si>
    <t xml:space="preserve">PO0085</t>
  </si>
  <si>
    <t xml:space="preserve">PO0086</t>
  </si>
  <si>
    <t xml:space="preserve">PO0087</t>
  </si>
  <si>
    <t xml:space="preserve">PO0088</t>
  </si>
  <si>
    <t xml:space="preserve">PO0089</t>
  </si>
  <si>
    <t xml:space="preserve">PO0090</t>
  </si>
  <si>
    <t xml:space="preserve">PO0091</t>
  </si>
  <si>
    <t xml:space="preserve">PO0092</t>
  </si>
  <si>
    <t xml:space="preserve">PO0093</t>
  </si>
  <si>
    <t xml:space="preserve">PO0094</t>
  </si>
  <si>
    <t xml:space="preserve">PO0095</t>
  </si>
  <si>
    <t xml:space="preserve">PO0096</t>
  </si>
  <si>
    <t xml:space="preserve">PO0097</t>
  </si>
  <si>
    <t xml:space="preserve">PO0098</t>
  </si>
  <si>
    <t xml:space="preserve">PO0099</t>
  </si>
  <si>
    <t xml:space="preserve">PO0100</t>
  </si>
  <si>
    <t xml:space="preserve">PO0101</t>
  </si>
  <si>
    <t xml:space="preserve">PO0102</t>
  </si>
  <si>
    <t xml:space="preserve">PO0103</t>
  </si>
  <si>
    <t xml:space="preserve">PO0104</t>
  </si>
  <si>
    <t xml:space="preserve">PO0105</t>
  </si>
  <si>
    <t xml:space="preserve">PO0106</t>
  </si>
  <si>
    <t xml:space="preserve">PO0107</t>
  </si>
  <si>
    <t xml:space="preserve">PO0108</t>
  </si>
  <si>
    <t xml:space="preserve">PO0109</t>
  </si>
  <si>
    <t xml:space="preserve">PO0110</t>
  </si>
  <si>
    <t xml:space="preserve">PO0111</t>
  </si>
  <si>
    <t xml:space="preserve">PO0112</t>
  </si>
  <si>
    <t xml:space="preserve">PO0113</t>
  </si>
  <si>
    <t xml:space="preserve">PO0114</t>
  </si>
  <si>
    <t xml:space="preserve">PO0115</t>
  </si>
  <si>
    <t xml:space="preserve">PO0116</t>
  </si>
  <si>
    <t xml:space="preserve">PO0117</t>
  </si>
  <si>
    <t xml:space="preserve">PO0118</t>
  </si>
  <si>
    <t xml:space="preserve">PO0119</t>
  </si>
  <si>
    <t xml:space="preserve">PO0120</t>
  </si>
  <si>
    <t xml:space="preserve">PO0121</t>
  </si>
  <si>
    <t xml:space="preserve">PO0122</t>
  </si>
  <si>
    <t xml:space="preserve">PO0123</t>
  </si>
  <si>
    <t xml:space="preserve">PO0124</t>
  </si>
  <si>
    <t xml:space="preserve">PO0125</t>
  </si>
  <si>
    <t xml:space="preserve">PO0126</t>
  </si>
  <si>
    <t xml:space="preserve">PO0127</t>
  </si>
  <si>
    <t xml:space="preserve">PO0128</t>
  </si>
  <si>
    <t xml:space="preserve">PO0129</t>
  </si>
  <si>
    <t xml:space="preserve">PO0130</t>
  </si>
  <si>
    <t xml:space="preserve">PO0131</t>
  </si>
  <si>
    <t xml:space="preserve">PO0132</t>
  </si>
  <si>
    <t xml:space="preserve">PO0133</t>
  </si>
  <si>
    <t xml:space="preserve">PO0134</t>
  </si>
  <si>
    <t xml:space="preserve">PO0135</t>
  </si>
  <si>
    <t xml:space="preserve">PO0136</t>
  </si>
  <si>
    <t xml:space="preserve">PO0137</t>
  </si>
  <si>
    <t xml:space="preserve">PO0138</t>
  </si>
  <si>
    <t xml:space="preserve">PO0139</t>
  </si>
  <si>
    <t xml:space="preserve">PO0140</t>
  </si>
  <si>
    <t xml:space="preserve">PO0141</t>
  </si>
  <si>
    <t xml:space="preserve">PO0142</t>
  </si>
  <si>
    <t xml:space="preserve">PO0143</t>
  </si>
  <si>
    <t xml:space="preserve">PO0144</t>
  </si>
  <si>
    <t xml:space="preserve">PO0145</t>
  </si>
  <si>
    <t xml:space="preserve">PO0146</t>
  </si>
  <si>
    <t xml:space="preserve">PO0147</t>
  </si>
  <si>
    <t xml:space="preserve">PO0148</t>
  </si>
  <si>
    <t xml:space="preserve">PO0149</t>
  </si>
  <si>
    <t xml:space="preserve">PO0150</t>
  </si>
  <si>
    <t xml:space="preserve">PO0151</t>
  </si>
  <si>
    <t xml:space="preserve">PO0152</t>
  </si>
  <si>
    <t xml:space="preserve">PO0153</t>
  </si>
  <si>
    <t xml:space="preserve">PO0154</t>
  </si>
  <si>
    <t xml:space="preserve">PO0155</t>
  </si>
  <si>
    <t xml:space="preserve">PO0156</t>
  </si>
  <si>
    <t xml:space="preserve">PO0157</t>
  </si>
  <si>
    <t xml:space="preserve">PO0158</t>
  </si>
  <si>
    <t xml:space="preserve">PO0159</t>
  </si>
  <si>
    <t xml:space="preserve">PO0160</t>
  </si>
  <si>
    <t xml:space="preserve">PO0161</t>
  </si>
  <si>
    <t xml:space="preserve">PO0162</t>
  </si>
  <si>
    <t xml:space="preserve">PO0163</t>
  </si>
  <si>
    <t xml:space="preserve">PO0164</t>
  </si>
  <si>
    <t xml:space="preserve">PO0165</t>
  </si>
  <si>
    <t xml:space="preserve">PO0166</t>
  </si>
  <si>
    <t xml:space="preserve">PO0167</t>
  </si>
  <si>
    <t xml:space="preserve">PO0168</t>
  </si>
  <si>
    <t xml:space="preserve">PO0169</t>
  </si>
  <si>
    <t xml:space="preserve">PO0170</t>
  </si>
  <si>
    <t xml:space="preserve">PO0171</t>
  </si>
  <si>
    <t xml:space="preserve">PO0172</t>
  </si>
  <si>
    <t xml:space="preserve">PO0173</t>
  </si>
  <si>
    <t xml:space="preserve">PO0174</t>
  </si>
  <si>
    <t xml:space="preserve">PO0175</t>
  </si>
  <si>
    <t xml:space="preserve">PO0176</t>
  </si>
  <si>
    <t xml:space="preserve">PO0177</t>
  </si>
  <si>
    <t xml:space="preserve">PO0178</t>
  </si>
  <si>
    <t xml:space="preserve">PO0179</t>
  </si>
  <si>
    <t xml:space="preserve">PO0180</t>
  </si>
  <si>
    <t xml:space="preserve">PO0181</t>
  </si>
  <si>
    <t xml:space="preserve">PO0182</t>
  </si>
  <si>
    <t xml:space="preserve">PO0183</t>
  </si>
  <si>
    <t xml:space="preserve">PO0184</t>
  </si>
  <si>
    <t xml:space="preserve">PO0185</t>
  </si>
  <si>
    <t xml:space="preserve">PO0186</t>
  </si>
  <si>
    <t xml:space="preserve">PO0187</t>
  </si>
  <si>
    <t xml:space="preserve">PO0188</t>
  </si>
  <si>
    <t xml:space="preserve">PO0189</t>
  </si>
  <si>
    <t xml:space="preserve">PO0190</t>
  </si>
  <si>
    <t xml:space="preserve">PO0191</t>
  </si>
  <si>
    <t xml:space="preserve">PO0192</t>
  </si>
  <si>
    <t xml:space="preserve">PO0193</t>
  </si>
  <si>
    <t xml:space="preserve">PO0194</t>
  </si>
  <si>
    <t xml:space="preserve">PO0195</t>
  </si>
  <si>
    <t xml:space="preserve">PO0196</t>
  </si>
  <si>
    <t xml:space="preserve">PO0197</t>
  </si>
  <si>
    <t xml:space="preserve">PO0198</t>
  </si>
  <si>
    <t xml:space="preserve">PO0199</t>
  </si>
  <si>
    <t xml:space="preserve">PO0200</t>
  </si>
  <si>
    <t xml:space="preserve">PO0201</t>
  </si>
  <si>
    <t xml:space="preserve">PO0202</t>
  </si>
  <si>
    <t xml:space="preserve">PO0203</t>
  </si>
  <si>
    <t xml:space="preserve">PO0204</t>
  </si>
  <si>
    <t xml:space="preserve">PO0205</t>
  </si>
  <si>
    <t xml:space="preserve">PO0206</t>
  </si>
  <si>
    <t xml:space="preserve">PO0207</t>
  </si>
  <si>
    <t xml:space="preserve">PO0208</t>
  </si>
  <si>
    <t xml:space="preserve">PO0209</t>
  </si>
  <si>
    <t xml:space="preserve">PO0210</t>
  </si>
  <si>
    <t xml:space="preserve">PO0211</t>
  </si>
  <si>
    <t xml:space="preserve">PO0212</t>
  </si>
  <si>
    <t xml:space="preserve">PO0213</t>
  </si>
  <si>
    <t xml:space="preserve">PO0214</t>
  </si>
  <si>
    <t xml:space="preserve">PO0215</t>
  </si>
  <si>
    <t xml:space="preserve">PO0216</t>
  </si>
  <si>
    <t xml:space="preserve">PO0217</t>
  </si>
  <si>
    <t xml:space="preserve">PO0218</t>
  </si>
  <si>
    <t xml:space="preserve">PO0219</t>
  </si>
  <si>
    <t xml:space="preserve">PO0220</t>
  </si>
  <si>
    <t xml:space="preserve">DAILY OPERATIONAL MIS REPORT</t>
  </si>
  <si>
    <t xml:space="preserve">Select any reporting date in cell B4 (yellow input cell) to automatically calculate daily order, sales, procurement, and delivery metrics.</t>
  </si>
  <si>
    <t xml:space="preserve">Reporting Date</t>
  </si>
  <si>
    <t xml:space="preserve">Selected Date Operational KPI Summary</t>
  </si>
  <si>
    <t xml:space="preserve">Trailing 7-Day Daily Operational Log (Relative to B4)</t>
  </si>
  <si>
    <t xml:space="preserve">Daily Operational Metric</t>
  </si>
  <si>
    <t xml:space="preserve">Calculated Value</t>
  </si>
  <si>
    <t xml:space="preserve">Metric Definition / Basis</t>
  </si>
  <si>
    <t xml:space="preserve">Date</t>
  </si>
  <si>
    <t xml:space="preserve">Orders Received</t>
  </si>
  <si>
    <t xml:space="preserve">Orders Dispatched</t>
  </si>
  <si>
    <t xml:space="preserve">Daily Sales (₹)</t>
  </si>
  <si>
    <t xml:space="preserve">Orders placed on selected Report Date</t>
  </si>
  <si>
    <t xml:space="preserve">Orders Processed</t>
  </si>
  <si>
    <t xml:space="preserve">Orders from Report Date in Processing status</t>
  </si>
  <si>
    <t xml:space="preserve">Orders dispatched on selected Report Date</t>
  </si>
  <si>
    <t xml:space="preserve">Orders Delivered</t>
  </si>
  <si>
    <t xml:space="preserve">Orders delivered on selected Report Date</t>
  </si>
  <si>
    <t xml:space="preserve">Orders from Report Date in Pending status</t>
  </si>
  <si>
    <t xml:space="preserve">Orders placed/delivered with Delay Days &gt; 0</t>
  </si>
  <si>
    <t xml:space="preserve">Gross sales of orders placed on Report Date</t>
  </si>
  <si>
    <t xml:space="preserve">Purchase Value</t>
  </si>
  <si>
    <t xml:space="preserve">Total value of POs issued on Report Date</t>
  </si>
  <si>
    <t xml:space="preserve">Current warehouse stock valuation (100 SKUs)</t>
  </si>
  <si>
    <t xml:space="preserve">On-Time Delivery Percentage</t>
  </si>
  <si>
    <t xml:space="preserve">Share of deliveries on Report Date with 0 delay</t>
  </si>
  <si>
    <t xml:space="preserve">WEEKLY &amp; MONTHLY MIS PERFORMANCE REPORTS</t>
  </si>
  <si>
    <t xml:space="preserve">Rolling 12-week and 12-month operational summaries, period-over-period comparisons (% change), supplier trends, and delay analysis.</t>
  </si>
  <si>
    <t xml:space="preserve">Weekly Performance Summary (Trailing 12 Weeks, Monday Start)</t>
  </si>
  <si>
    <t xml:space="preserve">Monthly Performance Summary (Trailing 12 Months)</t>
  </si>
  <si>
    <t xml:space="preserve">Week Start</t>
  </si>
  <si>
    <t xml:space="preserve">Pending / Processing</t>
  </si>
  <si>
    <t xml:space="preserve">Fulfillment %</t>
  </si>
  <si>
    <t xml:space="preserve">Weekly Sales (₹)</t>
  </si>
  <si>
    <t xml:space="preserve">Monthly Sales (₹)</t>
  </si>
  <si>
    <t xml:space="preserve">Period-over-Period Comparison (Sep-2026 vs. Aug-2026 Full Month &amp; Latest Weeks)</t>
  </si>
  <si>
    <t xml:space="preserve">Delivery Delay Root-Cause Analysis</t>
  </si>
  <si>
    <t xml:space="preserve">KPI Metric</t>
  </si>
  <si>
    <t xml:space="preserve">Current Full Month (Sep)</t>
  </si>
  <si>
    <t xml:space="preserve">Previous Month (Aug)</t>
  </si>
  <si>
    <t xml:space="preserve">Absolute Change</t>
  </si>
  <si>
    <t xml:space="preserve">% Change</t>
  </si>
  <si>
    <t xml:space="preserve">Direction</t>
  </si>
  <si>
    <t xml:space="preserve">Share of Delays</t>
  </si>
  <si>
    <t xml:space="preserve">Revenue Impacted (₹)</t>
  </si>
  <si>
    <t xml:space="preserve">Monthly Sales Revenue (₹)</t>
  </si>
  <si>
    <t xml:space="preserve">Monthly Delivered Orders</t>
  </si>
  <si>
    <t xml:space="preserve">Monthly Fulfillment Rate</t>
  </si>
  <si>
    <t xml:space="preserve">Latest Complete Week Sales (₹)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</si>
</sst>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₹#,##0.00"/>
    <numFmt numFmtId="167" formatCode="0.0%"/>
    <numFmt numFmtId="168" formatCode="dd\-mmm\-yyyy"/>
    <numFmt numFmtId="169" formatCode="mmm\-yyyy"/>
    <numFmt numFmtId="170" formatCode="0.0"/>
    <numFmt numFmtId="171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1E293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0F17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F172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942"/>
        <bgColor rgb="FF1E293B"/>
      </patternFill>
    </fill>
    <fill>
      <patternFill patternType="solid">
        <fgColor rgb="FFE2E8F0"/>
        <bgColor rgb="FFDBEAFE"/>
      </patternFill>
    </fill>
    <fill>
      <patternFill patternType="solid">
        <fgColor rgb="FF1E3A5F"/>
        <bgColor rgb="FF1B365D"/>
      </patternFill>
    </fill>
    <fill>
      <patternFill patternType="solid">
        <fgColor rgb="FFF8FAFC"/>
        <bgColor rgb="FFF9F9F9"/>
      </patternFill>
    </fill>
    <fill>
      <patternFill patternType="solid">
        <fgColor rgb="FF2C5282"/>
        <bgColor rgb="FF1E40AF"/>
      </patternFill>
    </fill>
    <fill>
      <patternFill patternType="solid">
        <fgColor rgb="FF1B365D"/>
        <bgColor rgb="FF1E3A5F"/>
      </patternFill>
    </fill>
    <fill>
      <patternFill patternType="solid">
        <fgColor rgb="FFFEFCE8"/>
        <bgColor rgb="FFF9F9F9"/>
      </patternFill>
    </fill>
    <fill>
      <patternFill patternType="solid">
        <fgColor rgb="FFF1F5F9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B365D"/>
      </left>
      <right style="thin">
        <color rgb="FF1B365D"/>
      </right>
      <top style="medium">
        <color rgb="FF1B365D"/>
      </top>
      <bottom style="thin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9A3412"/>
        <sz val="10"/>
      </font>
      <fill>
        <patternFill>
          <bgColor rgb="FFFFEDD5"/>
        </patternFill>
      </fill>
    </dxf>
    <dxf>
      <font>
        <name val="Calibri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1E40AF"/>
        <sz val="10"/>
      </font>
      <fill>
        <patternFill>
          <bgColor rgb="FFDBEAFE"/>
        </patternFill>
      </fill>
    </dxf>
    <dxf>
      <fill>
        <patternFill patternType="solid">
          <fgColor rgb="FF1B365D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F172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166534"/>
        </patternFill>
      </fill>
    </dxf>
    <dxf>
      <fill>
        <patternFill patternType="solid">
          <fgColor rgb="FF991B1B"/>
        </patternFill>
      </fill>
    </dxf>
    <dxf>
      <fill>
        <patternFill patternType="solid">
          <fgColor rgb="FF9A3412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1E40A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1E3A5F"/>
      <rgbColor rgb="FF9BBB59"/>
      <rgbColor rgb="FF800080"/>
      <rgbColor rgb="FF008080"/>
      <rgbColor rgb="FFD9D9D9"/>
      <rgbColor rgb="FF878787"/>
      <rgbColor rgb="FF9999FF"/>
      <rgbColor rgb="FFAA433F"/>
      <rgbColor rgb="FFFEFCE8"/>
      <rgbColor rgb="FFDCFCE7"/>
      <rgbColor rgb="FF660066"/>
      <rgbColor rgb="FFFF8080"/>
      <rgbColor rgb="FF2C5282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FEDD5"/>
      <rgbColor rgb="FFF1F5F9"/>
      <rgbColor rgb="FFF9F9F9"/>
      <rgbColor rgb="FFF8FAFC"/>
      <rgbColor rgb="FFFEE2E2"/>
      <rgbColor rgb="FF4A7EBB"/>
      <rgbColor rgb="FF4BACC6"/>
      <rgbColor rgb="FF98B855"/>
      <rgbColor rgb="FFFFCC00"/>
      <rgbColor rgb="FFFF9900"/>
      <rgbColor rgb="FFFF6600"/>
      <rgbColor rgb="FF8064A2"/>
      <rgbColor rgb="FFCC8F8E"/>
      <rgbColor rgb="FF1B365D"/>
      <rgbColor rgb="FF4F81BD"/>
      <rgbColor rgb="FF0F2942"/>
      <rgbColor rgb="FF0F172A"/>
      <rgbColor rgb="FF9A3412"/>
      <rgbColor rgb="FFC0504D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 Dashboard'!B16</c:f>
              <c:strCache>
                <c:ptCount val="1"/>
                <c:pt idx="0">
                  <c:v>Sales Revenue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 Dashboard'!$A$17:$A$28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'Executive Summary Dashboard'!$B$17:$B$28</c:f>
              <c:numCache>
                <c:formatCode>General</c:formatCode>
                <c:ptCount val="12"/>
                <c:pt idx="0">
                  <c:v>3891158.77</c:v>
                </c:pt>
                <c:pt idx="1">
                  <c:v>3173007.35</c:v>
                </c:pt>
                <c:pt idx="2">
                  <c:v>4091315.9</c:v>
                </c:pt>
                <c:pt idx="3">
                  <c:v>2977863.2</c:v>
                </c:pt>
                <c:pt idx="4">
                  <c:v>4855581.03</c:v>
                </c:pt>
                <c:pt idx="5">
                  <c:v>3579994.01</c:v>
                </c:pt>
                <c:pt idx="6">
                  <c:v>4170402.84</c:v>
                </c:pt>
                <c:pt idx="7">
                  <c:v>3324809.03</c:v>
                </c:pt>
                <c:pt idx="8">
                  <c:v>4635139.46</c:v>
                </c:pt>
                <c:pt idx="9">
                  <c:v>4350130.2</c:v>
                </c:pt>
                <c:pt idx="10">
                  <c:v>3937105.05</c:v>
                </c:pt>
                <c:pt idx="11">
                  <c:v>1868047.99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827073"/>
        <c:axId val="4724191"/>
      </c:lineChart>
      <c:catAx>
        <c:axId val="218270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191"/>
        <c:crosses val="autoZero"/>
        <c:auto val="1"/>
        <c:lblAlgn val="ctr"/>
        <c:lblOffset val="100"/>
        <c:noMultiLvlLbl val="0"/>
      </c:catAx>
      <c:valAx>
        <c:axId val="4724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27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 Dashboard'!F16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Summary Dashboard'!$E$17:$E$21</c:f>
              <c:strCache>
                <c:ptCount val="5"/>
                <c:pt idx="0">
                  <c:v>Delivered</c:v>
                </c:pt>
                <c:pt idx="1">
                  <c:v>Pending</c:v>
                </c:pt>
                <c:pt idx="2">
                  <c:v>Processing</c:v>
                </c:pt>
                <c:pt idx="3">
                  <c:v>Dispatched</c:v>
                </c:pt>
                <c:pt idx="4">
                  <c:v>Cancelled</c:v>
                </c:pt>
              </c:strCache>
            </c:strRef>
          </c:cat>
          <c:val>
            <c:numRef>
              <c:f>'Executive Summary Dashboard'!$F$17:$F$21</c:f>
              <c:numCache>
                <c:formatCode>General</c:formatCode>
                <c:ptCount val="5"/>
                <c:pt idx="0">
                  <c:v>349</c:v>
                </c:pt>
                <c:pt idx="1">
                  <c:v>78</c:v>
                </c:pt>
                <c:pt idx="2">
                  <c:v>76</c:v>
                </c:pt>
                <c:pt idx="3">
                  <c:v>56</c:v>
                </c:pt>
                <c:pt idx="4">
                  <c:v>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 Dashboard'!J16</c:f>
              <c:strCache>
                <c:ptCount val="1"/>
                <c:pt idx="0">
                  <c:v>Sales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 Dashboard'!$I$17:$I$24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Personal Care</c:v>
                </c:pt>
                <c:pt idx="4">
                  <c:v>Industrial</c:v>
                </c:pt>
                <c:pt idx="5">
                  <c:v>Packaging</c:v>
                </c:pt>
                <c:pt idx="6">
                  <c:v>Apparel</c:v>
                </c:pt>
                <c:pt idx="7">
                  <c:v>Automotive</c:v>
                </c:pt>
              </c:strCache>
            </c:strRef>
          </c:cat>
          <c:val>
            <c:numRef>
              <c:f>'Executive Summary Dashboard'!$J$17:$J$24</c:f>
              <c:numCache>
                <c:formatCode>General</c:formatCode>
                <c:ptCount val="8"/>
                <c:pt idx="0">
                  <c:v>7418459.07</c:v>
                </c:pt>
                <c:pt idx="1">
                  <c:v>6359299.39</c:v>
                </c:pt>
                <c:pt idx="2">
                  <c:v>5066638.75</c:v>
                </c:pt>
                <c:pt idx="3">
                  <c:v>5583999.64</c:v>
                </c:pt>
                <c:pt idx="4">
                  <c:v>7605893.42</c:v>
                </c:pt>
                <c:pt idx="5">
                  <c:v>6074915.32</c:v>
                </c:pt>
                <c:pt idx="6">
                  <c:v>6042303.93</c:v>
                </c:pt>
                <c:pt idx="7">
                  <c:v>4982635.54</c:v>
                </c:pt>
              </c:numCache>
            </c:numRef>
          </c:val>
        </c:ser>
        <c:gapWidth val="150"/>
        <c:overlap val="0"/>
        <c:axId val="80623330"/>
        <c:axId val="71473729"/>
      </c:barChart>
      <c:catAx>
        <c:axId val="80623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73729"/>
        <c:crosses val="autoZero"/>
        <c:auto val="1"/>
        <c:lblAlgn val="ctr"/>
        <c:lblOffset val="100"/>
        <c:noMultiLvlLbl val="0"/>
      </c:catAx>
      <c:valAx>
        <c:axId val="71473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233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 Dashboard'!B32</c:f>
              <c:strCache>
                <c:ptCount val="1"/>
                <c:pt idx="0">
                  <c:v>Inventory Value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 Dashboard'!$A$33:$A$40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Personal Care</c:v>
                </c:pt>
                <c:pt idx="4">
                  <c:v>Industrial</c:v>
                </c:pt>
                <c:pt idx="5">
                  <c:v>Packaging</c:v>
                </c:pt>
                <c:pt idx="6">
                  <c:v>Apparel</c:v>
                </c:pt>
                <c:pt idx="7">
                  <c:v>Automotive</c:v>
                </c:pt>
              </c:strCache>
            </c:strRef>
          </c:cat>
          <c:val>
            <c:numRef>
              <c:f>'Executive Summary Dashboard'!$B$33:$B$40</c:f>
              <c:numCache>
                <c:formatCode>General</c:formatCode>
                <c:ptCount val="8"/>
                <c:pt idx="0">
                  <c:v>1860258.22</c:v>
                </c:pt>
                <c:pt idx="1">
                  <c:v>7122142.95</c:v>
                </c:pt>
                <c:pt idx="2">
                  <c:v>13365786.18</c:v>
                </c:pt>
                <c:pt idx="3">
                  <c:v>13705602.52</c:v>
                </c:pt>
                <c:pt idx="4">
                  <c:v>19204320.18</c:v>
                </c:pt>
                <c:pt idx="5">
                  <c:v>15464876.63</c:v>
                </c:pt>
                <c:pt idx="6">
                  <c:v>8559432.62</c:v>
                </c:pt>
                <c:pt idx="7">
                  <c:v>19360268.84</c:v>
                </c:pt>
              </c:numCache>
            </c:numRef>
          </c:val>
        </c:ser>
        <c:gapWidth val="150"/>
        <c:overlap val="0"/>
        <c:axId val="83955175"/>
        <c:axId val="14519093"/>
      </c:barChart>
      <c:catAx>
        <c:axId val="83955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9093"/>
        <c:crosses val="autoZero"/>
        <c:auto val="1"/>
        <c:lblAlgn val="ctr"/>
        <c:lblOffset val="100"/>
        <c:noMultiLvlLbl val="0"/>
      </c:catAx>
      <c:valAx>
        <c:axId val="14519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Inventory 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55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Performance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 Dashboard'!F32</c:f>
              <c:strCache>
                <c:ptCount val="1"/>
                <c:pt idx="0">
                  <c:v>Performance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 Dashboard'!$E$33:$E$42</c:f>
              <c:strCache>
                <c:ptCount val="10"/>
                <c:pt idx="0">
                  <c:v>Apex Supplies</c:v>
                </c:pt>
                <c:pt idx="1">
                  <c:v>Bright Distributors</c:v>
                </c:pt>
                <c:pt idx="2">
                  <c:v>Core Industries</c:v>
                </c:pt>
                <c:pt idx="3">
                  <c:v>Delta Trading Co.</c:v>
                </c:pt>
                <c:pt idx="4">
                  <c:v>Ever Logistics</c:v>
                </c:pt>
                <c:pt idx="5">
                  <c:v>Frontier Wholesale</c:v>
                </c:pt>
                <c:pt idx="6">
                  <c:v>Global Partners</c:v>
                </c:pt>
                <c:pt idx="7">
                  <c:v>Horizon Supplies</c:v>
                </c:pt>
                <c:pt idx="8">
                  <c:v>Indus Distributors</c:v>
                </c:pt>
                <c:pt idx="9">
                  <c:v>Jupiter Industries</c:v>
                </c:pt>
              </c:strCache>
            </c:strRef>
          </c:cat>
          <c:val>
            <c:numRef>
              <c:f>'Executive Summary Dashboard'!$F$33:$F$42</c:f>
              <c:numCache>
                <c:formatCode>General</c:formatCode>
                <c:ptCount val="10"/>
                <c:pt idx="0">
                  <c:v>85.9</c:v>
                </c:pt>
                <c:pt idx="1">
                  <c:v>69.8</c:v>
                </c:pt>
                <c:pt idx="2">
                  <c:v>45.5</c:v>
                </c:pt>
                <c:pt idx="3">
                  <c:v>70.2</c:v>
                </c:pt>
                <c:pt idx="4">
                  <c:v>87.6</c:v>
                </c:pt>
                <c:pt idx="5">
                  <c:v>64.1</c:v>
                </c:pt>
                <c:pt idx="6">
                  <c:v>78.7</c:v>
                </c:pt>
                <c:pt idx="7">
                  <c:v>86.3</c:v>
                </c:pt>
                <c:pt idx="8">
                  <c:v>88.1</c:v>
                </c:pt>
                <c:pt idx="9">
                  <c:v>87.6</c:v>
                </c:pt>
              </c:numCache>
            </c:numRef>
          </c:val>
        </c:ser>
        <c:gapWidth val="150"/>
        <c:overlap val="0"/>
        <c:axId val="38855007"/>
        <c:axId val="62551166"/>
      </c:barChart>
      <c:catAx>
        <c:axId val="38855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51166"/>
        <c:crosses val="autoZero"/>
        <c:auto val="1"/>
        <c:lblAlgn val="ctr"/>
        <c:lblOffset val="100"/>
        <c:noMultiLvlLbl val="0"/>
      </c:catAx>
      <c:valAx>
        <c:axId val="62551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55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Fulfillment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 Dashboard'!K32</c:f>
              <c:strCache>
                <c:ptCount val="1"/>
                <c:pt idx="0">
                  <c:v>Fulfillment Rate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 Dashboard'!$I$33:$I$44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'Executive Summary Dashboard'!$K$33:$K$44</c:f>
              <c:numCache>
                <c:formatCode>General</c:formatCode>
                <c:ptCount val="12"/>
                <c:pt idx="0">
                  <c:v>0.46</c:v>
                </c:pt>
                <c:pt idx="1">
                  <c:v>0.487804878048781</c:v>
                </c:pt>
                <c:pt idx="2">
                  <c:v>0.702127659574468</c:v>
                </c:pt>
                <c:pt idx="3">
                  <c:v>0.68421052631579</c:v>
                </c:pt>
                <c:pt idx="4">
                  <c:v>0.698412698412698</c:v>
                </c:pt>
                <c:pt idx="5">
                  <c:v>0.558139534883721</c:v>
                </c:pt>
                <c:pt idx="6">
                  <c:v>0.566037735849057</c:v>
                </c:pt>
                <c:pt idx="7">
                  <c:v>0.512820512820513</c:v>
                </c:pt>
                <c:pt idx="8">
                  <c:v>0.583333333333333</c:v>
                </c:pt>
                <c:pt idx="9">
                  <c:v>0.625</c:v>
                </c:pt>
                <c:pt idx="10">
                  <c:v>0.481481481481481</c:v>
                </c:pt>
                <c:pt idx="11">
                  <c:v>0.470588235294118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518286"/>
        <c:axId val="35410010"/>
      </c:lineChart>
      <c:catAx>
        <c:axId val="81518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10010"/>
        <c:crosses val="autoZero"/>
        <c:auto val="1"/>
        <c:lblAlgn val="ctr"/>
        <c:lblOffset val="100"/>
        <c:noMultiLvlLbl val="0"/>
      </c:catAx>
      <c:valAx>
        <c:axId val="35410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Fulfillment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18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'Inventory Dashboard'!C11</c:f>
              <c:strCache>
                <c:ptCount val="1"/>
                <c:pt idx="0">
                  <c:v>Inventory Value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Dashboard'!$A$12:$A$19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Personal Care</c:v>
                </c:pt>
                <c:pt idx="4">
                  <c:v>Industrial</c:v>
                </c:pt>
                <c:pt idx="5">
                  <c:v>Packaging</c:v>
                </c:pt>
                <c:pt idx="6">
                  <c:v>Apparel</c:v>
                </c:pt>
                <c:pt idx="7">
                  <c:v>Automotive</c:v>
                </c:pt>
              </c:strCache>
            </c:strRef>
          </c:cat>
          <c:val>
            <c:numRef>
              <c:f>'Inventory Dashboard'!$C$12:$C$19</c:f>
              <c:numCache>
                <c:formatCode>General</c:formatCode>
                <c:ptCount val="8"/>
                <c:pt idx="0">
                  <c:v>1860258.22</c:v>
                </c:pt>
                <c:pt idx="1">
                  <c:v>7122142.95</c:v>
                </c:pt>
                <c:pt idx="2">
                  <c:v>13365786.18</c:v>
                </c:pt>
                <c:pt idx="3">
                  <c:v>13705602.52</c:v>
                </c:pt>
                <c:pt idx="4">
                  <c:v>19204320.18</c:v>
                </c:pt>
                <c:pt idx="5">
                  <c:v>15464876.63</c:v>
                </c:pt>
                <c:pt idx="6">
                  <c:v>8559432.62</c:v>
                </c:pt>
                <c:pt idx="7">
                  <c:v>19360268.84</c:v>
                </c:pt>
              </c:numCache>
            </c:numRef>
          </c:val>
        </c:ser>
        <c:gapWidth val="150"/>
        <c:overlap val="0"/>
        <c:axId val="72875432"/>
        <c:axId val="21272723"/>
      </c:barChart>
      <c:catAx>
        <c:axId val="728754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72723"/>
        <c:crosses val="autoZero"/>
        <c:auto val="1"/>
        <c:lblAlgn val="ctr"/>
        <c:lblOffset val="100"/>
        <c:noMultiLvlLbl val="0"/>
      </c:catAx>
      <c:valAx>
        <c:axId val="21272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75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Warehouse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'Inventory Dashboard'!G11</c:f>
              <c:strCache>
                <c:ptCount val="1"/>
                <c:pt idx="0">
                  <c:v>Inventory Value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Dashboard'!$E$12:$E$16</c:f>
              <c:strCache>
                <c:ptCount val="5"/>
                <c:pt idx="0">
                  <c:v>Delhi WH</c:v>
                </c:pt>
                <c:pt idx="1">
                  <c:v>Bengaluru WH</c:v>
                </c:pt>
                <c:pt idx="2">
                  <c:v>Kolkata WH</c:v>
                </c:pt>
                <c:pt idx="3">
                  <c:v>Mumbai WH</c:v>
                </c:pt>
                <c:pt idx="4">
                  <c:v>Raipur WH</c:v>
                </c:pt>
              </c:strCache>
            </c:strRef>
          </c:cat>
          <c:val>
            <c:numRef>
              <c:f>'Inventory Dashboard'!$G$12:$G$16</c:f>
              <c:numCache>
                <c:formatCode>General</c:formatCode>
                <c:ptCount val="5"/>
                <c:pt idx="0">
                  <c:v>20277838.53</c:v>
                </c:pt>
                <c:pt idx="1">
                  <c:v>18027087.97</c:v>
                </c:pt>
                <c:pt idx="2">
                  <c:v>21265259.39</c:v>
                </c:pt>
                <c:pt idx="3">
                  <c:v>25971114.98</c:v>
                </c:pt>
                <c:pt idx="4">
                  <c:v>13101387.27</c:v>
                </c:pt>
              </c:numCache>
            </c:numRef>
          </c:val>
        </c:ser>
        <c:gapWidth val="150"/>
        <c:overlap val="0"/>
        <c:axId val="88100145"/>
        <c:axId val="65113033"/>
      </c:barChart>
      <c:catAx>
        <c:axId val="881001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Warehouse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13033"/>
        <c:crosses val="autoZero"/>
        <c:auto val="1"/>
        <c:lblAlgn val="ctr"/>
        <c:lblOffset val="100"/>
        <c:noMultiLvlLbl val="0"/>
      </c:catAx>
      <c:valAx>
        <c:axId val="6511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00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Stock Movement Trends (Received vs. Sold)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'Inventory Dashboard'!B23</c:f>
              <c:strCache>
                <c:ptCount val="1"/>
                <c:pt idx="0">
                  <c:v>Stock Received (POs)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Dashboard'!$A$24:$A$35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'Inventory Dashboard'!$B$24:$B$35</c:f>
              <c:numCache>
                <c:formatCode>General</c:formatCode>
                <c:ptCount val="12"/>
                <c:pt idx="0">
                  <c:v>2472</c:v>
                </c:pt>
                <c:pt idx="1">
                  <c:v>2670</c:v>
                </c:pt>
                <c:pt idx="2">
                  <c:v>2377</c:v>
                </c:pt>
                <c:pt idx="3">
                  <c:v>1316</c:v>
                </c:pt>
                <c:pt idx="4">
                  <c:v>3722</c:v>
                </c:pt>
                <c:pt idx="5">
                  <c:v>2100</c:v>
                </c:pt>
                <c:pt idx="6">
                  <c:v>5569</c:v>
                </c:pt>
                <c:pt idx="7">
                  <c:v>2339</c:v>
                </c:pt>
                <c:pt idx="8">
                  <c:v>3525</c:v>
                </c:pt>
                <c:pt idx="9">
                  <c:v>3017</c:v>
                </c:pt>
                <c:pt idx="10">
                  <c:v>3388</c:v>
                </c:pt>
                <c:pt idx="11">
                  <c:v>2751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'Inventory Dashboard'!C23</c:f>
              <c:strCache>
                <c:ptCount val="1"/>
                <c:pt idx="0">
                  <c:v>Units Sold (Orders)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Dashboard'!$A$24:$A$35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'Inventory Dashboard'!$C$24:$C$35</c:f>
              <c:numCache>
                <c:formatCode>General</c:formatCode>
                <c:ptCount val="12"/>
                <c:pt idx="0">
                  <c:v>680</c:v>
                </c:pt>
                <c:pt idx="1">
                  <c:v>499</c:v>
                </c:pt>
                <c:pt idx="2">
                  <c:v>581</c:v>
                </c:pt>
                <c:pt idx="3">
                  <c:v>511</c:v>
                </c:pt>
                <c:pt idx="4">
                  <c:v>781</c:v>
                </c:pt>
                <c:pt idx="5">
                  <c:v>516</c:v>
                </c:pt>
                <c:pt idx="6">
                  <c:v>691</c:v>
                </c:pt>
                <c:pt idx="7">
                  <c:v>472</c:v>
                </c:pt>
                <c:pt idx="8">
                  <c:v>634</c:v>
                </c:pt>
                <c:pt idx="9">
                  <c:v>666</c:v>
                </c:pt>
                <c:pt idx="10">
                  <c:v>564</c:v>
                </c:pt>
                <c:pt idx="11">
                  <c:v>235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284752"/>
        <c:axId val="59368345"/>
      </c:lineChart>
      <c:catAx>
        <c:axId val="81284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8345"/>
        <c:crosses val="autoZero"/>
        <c:auto val="1"/>
        <c:lblAlgn val="ctr"/>
        <c:lblOffset val="100"/>
        <c:noMultiLvlLbl val="0"/>
      </c:catAx>
      <c:valAx>
        <c:axId val="59368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84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'Order Management Dashboard'!B11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'Order Management Dashboard'!$A$12:$A$16</c:f>
              <c:strCache>
                <c:ptCount val="5"/>
                <c:pt idx="0">
                  <c:v>Delivered</c:v>
                </c:pt>
                <c:pt idx="1">
                  <c:v>Pending</c:v>
                </c:pt>
                <c:pt idx="2">
                  <c:v>Processing</c:v>
                </c:pt>
                <c:pt idx="3">
                  <c:v>Dispatched</c:v>
                </c:pt>
                <c:pt idx="4">
                  <c:v>Cancelled</c:v>
                </c:pt>
              </c:strCache>
            </c:strRef>
          </c:cat>
          <c:val>
            <c:numRef>
              <c:f>'Order Management Dashboard'!$B$12:$B$16</c:f>
              <c:numCache>
                <c:formatCode>General</c:formatCode>
                <c:ptCount val="5"/>
                <c:pt idx="0">
                  <c:v>349</c:v>
                </c:pt>
                <c:pt idx="1">
                  <c:v>78</c:v>
                </c:pt>
                <c:pt idx="2">
                  <c:v>76</c:v>
                </c:pt>
                <c:pt idx="3">
                  <c:v>56</c:v>
                </c:pt>
                <c:pt idx="4">
                  <c:v>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'Order Management Dashboard'!F11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Management Dashboard'!$E$12:$E$16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'Order Management Dashboard'!$F$12:$F$16</c:f>
              <c:numCache>
                <c:formatCode>General</c:formatCode>
                <c:ptCount val="5"/>
                <c:pt idx="0">
                  <c:v>113</c:v>
                </c:pt>
                <c:pt idx="1">
                  <c:v>109</c:v>
                </c:pt>
                <c:pt idx="2">
                  <c:v>119</c:v>
                </c:pt>
                <c:pt idx="3">
                  <c:v>140</c:v>
                </c:pt>
                <c:pt idx="4">
                  <c:v>119</c:v>
                </c:pt>
              </c:numCache>
            </c:numRef>
          </c:val>
        </c:ser>
        <c:gapWidth val="150"/>
        <c:overlap val="0"/>
        <c:axId val="35872051"/>
        <c:axId val="1528694"/>
      </c:barChart>
      <c:catAx>
        <c:axId val="35872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694"/>
        <c:crosses val="autoZero"/>
        <c:auto val="1"/>
        <c:lblAlgn val="ctr"/>
        <c:lblOffset val="100"/>
        <c:noMultiLvlLbl val="0"/>
      </c:catAx>
      <c:valAx>
        <c:axId val="1528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720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Volume &amp; Delivered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'Order Management Dashboard'!B22</c:f>
              <c:strCache>
                <c:ptCount val="1"/>
                <c:pt idx="0">
                  <c:v>Order Volume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Management Dashboard'!$A$23:$A$34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'Order Management Dashboard'!$B$23:$B$34</c:f>
              <c:numCache>
                <c:formatCode>General</c:formatCode>
                <c:ptCount val="12"/>
                <c:pt idx="0">
                  <c:v>50</c:v>
                </c:pt>
                <c:pt idx="1">
                  <c:v>41</c:v>
                </c:pt>
                <c:pt idx="2">
                  <c:v>47</c:v>
                </c:pt>
                <c:pt idx="3">
                  <c:v>38</c:v>
                </c:pt>
                <c:pt idx="4">
                  <c:v>63</c:v>
                </c:pt>
                <c:pt idx="5">
                  <c:v>43</c:v>
                </c:pt>
                <c:pt idx="6">
                  <c:v>53</c:v>
                </c:pt>
                <c:pt idx="7">
                  <c:v>39</c:v>
                </c:pt>
                <c:pt idx="8">
                  <c:v>48</c:v>
                </c:pt>
                <c:pt idx="9">
                  <c:v>56</c:v>
                </c:pt>
                <c:pt idx="10">
                  <c:v>54</c:v>
                </c:pt>
                <c:pt idx="11">
                  <c:v>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'Order Management Dashboard'!C22</c:f>
              <c:strCache>
                <c:ptCount val="1"/>
                <c:pt idx="0">
                  <c:v>Delivered Orders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Management Dashboard'!$A$23:$A$34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'Order Management Dashboard'!$C$23:$C$34</c:f>
              <c:numCache>
                <c:formatCode>General</c:formatCode>
                <c:ptCount val="12"/>
                <c:pt idx="0">
                  <c:v>23</c:v>
                </c:pt>
                <c:pt idx="1">
                  <c:v>20</c:v>
                </c:pt>
                <c:pt idx="2">
                  <c:v>33</c:v>
                </c:pt>
                <c:pt idx="3">
                  <c:v>26</c:v>
                </c:pt>
                <c:pt idx="4">
                  <c:v>44</c:v>
                </c:pt>
                <c:pt idx="5">
                  <c:v>24</c:v>
                </c:pt>
                <c:pt idx="6">
                  <c:v>30</c:v>
                </c:pt>
                <c:pt idx="7">
                  <c:v>20</c:v>
                </c:pt>
                <c:pt idx="8">
                  <c:v>28</c:v>
                </c:pt>
                <c:pt idx="9">
                  <c:v>35</c:v>
                </c:pt>
                <c:pt idx="10">
                  <c:v>26</c:v>
                </c:pt>
                <c:pt idx="11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10399"/>
        <c:axId val="62202975"/>
      </c:lineChart>
      <c:catAx>
        <c:axId val="412103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2975"/>
        <c:crosses val="autoZero"/>
        <c:auto val="1"/>
        <c:lblAlgn val="ctr"/>
        <c:lblOffset val="100"/>
        <c:noMultiLvlLbl val="0"/>
      </c:catAx>
      <c:valAx>
        <c:axId val="62202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0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Performance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'Order Management Dashboard'!F22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Management Dashboard'!$E$23:$E$27</c:f>
              <c:strCache>
                <c:ptCount val="5"/>
                <c:pt idx="0">
                  <c:v>On-Time Delivered</c:v>
                </c:pt>
                <c:pt idx="1">
                  <c:v>Late Delivered</c:v>
                </c:pt>
                <c:pt idx="2">
                  <c:v>In-Transit (Dispatched)</c:v>
                </c:pt>
                <c:pt idx="3">
                  <c:v>Open Queue (Pending/Processing)</c:v>
                </c:pt>
                <c:pt idx="4">
                  <c:v>Cancelled Orders</c:v>
                </c:pt>
              </c:strCache>
            </c:strRef>
          </c:cat>
          <c:val>
            <c:numRef>
              <c:f>'Order Management Dashboard'!$F$23:$F$27</c:f>
              <c:numCache>
                <c:formatCode>General</c:formatCode>
                <c:ptCount val="5"/>
                <c:pt idx="0">
                  <c:v>208</c:v>
                </c:pt>
                <c:pt idx="1">
                  <c:v>141</c:v>
                </c:pt>
                <c:pt idx="2">
                  <c:v>56</c:v>
                </c:pt>
                <c:pt idx="3">
                  <c:v>154</c:v>
                </c:pt>
                <c:pt idx="4">
                  <c:v>41</c:v>
                </c:pt>
              </c:numCache>
            </c:numRef>
          </c:val>
        </c:ser>
        <c:gapWidth val="150"/>
        <c:overlap val="0"/>
        <c:axId val="50549632"/>
        <c:axId val="67672915"/>
      </c:barChart>
      <c:catAx>
        <c:axId val="50549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72915"/>
        <c:crosses val="autoZero"/>
        <c:auto val="1"/>
        <c:lblAlgn val="ctr"/>
        <c:lblOffset val="100"/>
        <c:noMultiLvlLbl val="0"/>
      </c:catAx>
      <c:valAx>
        <c:axId val="67672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49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Delayed Orders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'Order Management Dashboard'!J11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Management Dashboard'!$I$12:$I$18</c:f>
              <c:strCache>
                <c:ptCount val="7"/>
                <c:pt idx="0">
                  <c:v>Warehouse backlog</c:v>
                </c:pt>
                <c:pt idx="1">
                  <c:v>Awaiting stock</c:v>
                </c:pt>
                <c:pt idx="2">
                  <c:v>Address issue</c:v>
                </c:pt>
                <c:pt idx="3">
                  <c:v>Supplier delay</c:v>
                </c:pt>
                <c:pt idx="4">
                  <c:v>Weather disruption</c:v>
                </c:pt>
                <c:pt idx="5">
                  <c:v>Carrier delay</c:v>
                </c:pt>
                <c:pt idx="6">
                  <c:v>Payment hold</c:v>
                </c:pt>
              </c:strCache>
            </c:strRef>
          </c:cat>
          <c:val>
            <c:numRef>
              <c:f>'Order Management Dashboard'!$J$12:$J$18</c:f>
              <c:numCache>
                <c:formatCode>General</c:formatCode>
                <c:ptCount val="7"/>
                <c:pt idx="0">
                  <c:v>64</c:v>
                </c:pt>
                <c:pt idx="1">
                  <c:v>28</c:v>
                </c:pt>
                <c:pt idx="2">
                  <c:v>30</c:v>
                </c:pt>
                <c:pt idx="3">
                  <c:v>26</c:v>
                </c:pt>
                <c:pt idx="4">
                  <c:v>29</c:v>
                </c:pt>
                <c:pt idx="5">
                  <c:v>45</c:v>
                </c:pt>
                <c:pt idx="6">
                  <c:v>11</c:v>
                </c:pt>
              </c:numCache>
            </c:numRef>
          </c:val>
        </c:ser>
        <c:gapWidth val="150"/>
        <c:overlap val="0"/>
        <c:axId val="92726962"/>
        <c:axId val="21755750"/>
      </c:barChart>
      <c:catAx>
        <c:axId val="9272696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Delayed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55750"/>
        <c:crosses val="autoZero"/>
        <c:auto val="1"/>
        <c:lblAlgn val="ctr"/>
        <c:lblOffset val="100"/>
        <c:noMultiLvlLbl val="0"/>
      </c:catAx>
      <c:valAx>
        <c:axId val="21755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Delay 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26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Performance Score (Top 15 Suppliers)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Performance Dashboard'!K11</c:f>
              <c:strCache>
                <c:ptCount val="1"/>
                <c:pt idx="0">
                  <c:v>Supplier Performance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Performance Dashboard'!$B$12:$B$26</c:f>
              <c:strCache>
                <c:ptCount val="15"/>
                <c:pt idx="0">
                  <c:v>Apex Supplies</c:v>
                </c:pt>
                <c:pt idx="1">
                  <c:v>Bright Distributors</c:v>
                </c:pt>
                <c:pt idx="2">
                  <c:v>Core Industries</c:v>
                </c:pt>
                <c:pt idx="3">
                  <c:v>Delta Trading Co.</c:v>
                </c:pt>
                <c:pt idx="4">
                  <c:v>Ever Logistics</c:v>
                </c:pt>
                <c:pt idx="5">
                  <c:v>Frontier Wholesale</c:v>
                </c:pt>
                <c:pt idx="6">
                  <c:v>Global Partners</c:v>
                </c:pt>
                <c:pt idx="7">
                  <c:v>Horizon Supplies</c:v>
                </c:pt>
                <c:pt idx="8">
                  <c:v>Indus Distributors</c:v>
                </c:pt>
                <c:pt idx="9">
                  <c:v>Jupiter Industries</c:v>
                </c:pt>
                <c:pt idx="10">
                  <c:v>Kinetic Trading Co.</c:v>
                </c:pt>
                <c:pt idx="11">
                  <c:v>Lotus Logistics</c:v>
                </c:pt>
                <c:pt idx="12">
                  <c:v>Meridian Wholesale</c:v>
                </c:pt>
                <c:pt idx="13">
                  <c:v>Northstar Partners</c:v>
                </c:pt>
                <c:pt idx="14">
                  <c:v>Orbit Supplies</c:v>
                </c:pt>
              </c:strCache>
            </c:strRef>
          </c:cat>
          <c:val>
            <c:numRef>
              <c:f>'Supplier Performance Dashboard'!$K$12:$K$26</c:f>
              <c:numCache>
                <c:formatCode>General</c:formatCode>
                <c:ptCount val="15"/>
                <c:pt idx="0">
                  <c:v>85.9</c:v>
                </c:pt>
                <c:pt idx="1">
                  <c:v>69.8</c:v>
                </c:pt>
                <c:pt idx="2">
                  <c:v>45.5</c:v>
                </c:pt>
                <c:pt idx="3">
                  <c:v>70.2</c:v>
                </c:pt>
                <c:pt idx="4">
                  <c:v>87.6</c:v>
                </c:pt>
                <c:pt idx="5">
                  <c:v>64.1</c:v>
                </c:pt>
                <c:pt idx="6">
                  <c:v>78.7</c:v>
                </c:pt>
                <c:pt idx="7">
                  <c:v>86.3</c:v>
                </c:pt>
                <c:pt idx="8">
                  <c:v>88.1</c:v>
                </c:pt>
                <c:pt idx="9">
                  <c:v>87.6</c:v>
                </c:pt>
                <c:pt idx="10">
                  <c:v>73.5</c:v>
                </c:pt>
                <c:pt idx="11">
                  <c:v>84.5</c:v>
                </c:pt>
                <c:pt idx="12">
                  <c:v>59.8</c:v>
                </c:pt>
                <c:pt idx="13">
                  <c:v>76.9</c:v>
                </c:pt>
                <c:pt idx="14">
                  <c:v>52.9</c:v>
                </c:pt>
              </c:numCache>
            </c:numRef>
          </c:val>
        </c:ser>
        <c:gapWidth val="150"/>
        <c:overlap val="0"/>
        <c:axId val="82420862"/>
        <c:axId val="97880985"/>
      </c:barChart>
      <c:catAx>
        <c:axId val="82420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80985"/>
        <c:crosses val="autoZero"/>
        <c:auto val="1"/>
        <c:lblAlgn val="ctr"/>
        <c:lblOffset val="100"/>
        <c:noMultiLvlLbl val="0"/>
      </c:catAx>
      <c:valAx>
        <c:axId val="97880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208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Purchase Value by Supplier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Performance Dashboard'!D11</c:f>
              <c:strCache>
                <c:ptCount val="1"/>
                <c:pt idx="0">
                  <c:v>Total Purchase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Performance Dashboard'!$B$12:$B$26</c:f>
              <c:strCache>
                <c:ptCount val="15"/>
                <c:pt idx="0">
                  <c:v>Apex Supplies</c:v>
                </c:pt>
                <c:pt idx="1">
                  <c:v>Bright Distributors</c:v>
                </c:pt>
                <c:pt idx="2">
                  <c:v>Core Industries</c:v>
                </c:pt>
                <c:pt idx="3">
                  <c:v>Delta Trading Co.</c:v>
                </c:pt>
                <c:pt idx="4">
                  <c:v>Ever Logistics</c:v>
                </c:pt>
                <c:pt idx="5">
                  <c:v>Frontier Wholesale</c:v>
                </c:pt>
                <c:pt idx="6">
                  <c:v>Global Partners</c:v>
                </c:pt>
                <c:pt idx="7">
                  <c:v>Horizon Supplies</c:v>
                </c:pt>
                <c:pt idx="8">
                  <c:v>Indus Distributors</c:v>
                </c:pt>
                <c:pt idx="9">
                  <c:v>Jupiter Industries</c:v>
                </c:pt>
                <c:pt idx="10">
                  <c:v>Kinetic Trading Co.</c:v>
                </c:pt>
                <c:pt idx="11">
                  <c:v>Lotus Logistics</c:v>
                </c:pt>
                <c:pt idx="12">
                  <c:v>Meridian Wholesale</c:v>
                </c:pt>
                <c:pt idx="13">
                  <c:v>Northstar Partners</c:v>
                </c:pt>
                <c:pt idx="14">
                  <c:v>Orbit Supplies</c:v>
                </c:pt>
              </c:strCache>
            </c:strRef>
          </c:cat>
          <c:val>
            <c:numRef>
              <c:f>'Supplier Performance Dashboard'!$D$12:$D$26</c:f>
              <c:numCache>
                <c:formatCode>General</c:formatCode>
                <c:ptCount val="15"/>
                <c:pt idx="0">
                  <c:v>2246214.54</c:v>
                </c:pt>
                <c:pt idx="1">
                  <c:v>7825955.27</c:v>
                </c:pt>
                <c:pt idx="2">
                  <c:v>2086946.9</c:v>
                </c:pt>
                <c:pt idx="3">
                  <c:v>20947982.26</c:v>
                </c:pt>
                <c:pt idx="4">
                  <c:v>11196675.7</c:v>
                </c:pt>
                <c:pt idx="5">
                  <c:v>9951347.41</c:v>
                </c:pt>
                <c:pt idx="6">
                  <c:v>8152619.88</c:v>
                </c:pt>
                <c:pt idx="7">
                  <c:v>8308347.45</c:v>
                </c:pt>
                <c:pt idx="8">
                  <c:v>4328441.47</c:v>
                </c:pt>
                <c:pt idx="9">
                  <c:v>12994659.97</c:v>
                </c:pt>
                <c:pt idx="10">
                  <c:v>9110465.18</c:v>
                </c:pt>
                <c:pt idx="11">
                  <c:v>13330848.33</c:v>
                </c:pt>
                <c:pt idx="12">
                  <c:v>5768775.07</c:v>
                </c:pt>
                <c:pt idx="13">
                  <c:v>5995735.83</c:v>
                </c:pt>
                <c:pt idx="14">
                  <c:v>19263741.26</c:v>
                </c:pt>
              </c:numCache>
            </c:numRef>
          </c:val>
        </c:ser>
        <c:gapWidth val="150"/>
        <c:overlap val="0"/>
        <c:axId val="26099352"/>
        <c:axId val="13994246"/>
      </c:barChart>
      <c:catAx>
        <c:axId val="26099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94246"/>
        <c:crosses val="autoZero"/>
        <c:auto val="1"/>
        <c:lblAlgn val="ctr"/>
        <c:lblOffset val="100"/>
        <c:noMultiLvlLbl val="0"/>
      </c:catAx>
      <c:valAx>
        <c:axId val="13994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Purchase 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99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Gross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Performance Dashboard'!C12</c:f>
              <c:strCache>
                <c:ptCount val="1"/>
                <c:pt idx="0">
                  <c:v>Sales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 Dashboard'!$A$13:$A$20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Personal Care</c:v>
                </c:pt>
                <c:pt idx="4">
                  <c:v>Industrial</c:v>
                </c:pt>
                <c:pt idx="5">
                  <c:v>Packaging</c:v>
                </c:pt>
                <c:pt idx="6">
                  <c:v>Apparel</c:v>
                </c:pt>
                <c:pt idx="7">
                  <c:v>Automotive</c:v>
                </c:pt>
              </c:strCache>
            </c:strRef>
          </c:cat>
          <c:val>
            <c:numRef>
              <c:f>'Product Performance Dashboard'!$C$13:$C$20</c:f>
              <c:numCache>
                <c:formatCode>General</c:formatCode>
                <c:ptCount val="8"/>
                <c:pt idx="0">
                  <c:v>7418459.07</c:v>
                </c:pt>
                <c:pt idx="1">
                  <c:v>6359299.39</c:v>
                </c:pt>
                <c:pt idx="2">
                  <c:v>5066638.75</c:v>
                </c:pt>
                <c:pt idx="3">
                  <c:v>5583999.64</c:v>
                </c:pt>
                <c:pt idx="4">
                  <c:v>7605893.42</c:v>
                </c:pt>
                <c:pt idx="5">
                  <c:v>6074915.32</c:v>
                </c:pt>
                <c:pt idx="6">
                  <c:v>6042303.93</c:v>
                </c:pt>
                <c:pt idx="7">
                  <c:v>4982635.54</c:v>
                </c:pt>
              </c:numCache>
            </c:numRef>
          </c:val>
        </c:ser>
        <c:ser>
          <c:idx val="1"/>
          <c:order val="1"/>
          <c:tx>
            <c:strRef>
              <c:f>'Product Performance Dashboard'!D12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 Dashboard'!$A$13:$A$20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Personal Care</c:v>
                </c:pt>
                <c:pt idx="4">
                  <c:v>Industrial</c:v>
                </c:pt>
                <c:pt idx="5">
                  <c:v>Packaging</c:v>
                </c:pt>
                <c:pt idx="6">
                  <c:v>Apparel</c:v>
                </c:pt>
                <c:pt idx="7">
                  <c:v>Automotive</c:v>
                </c:pt>
              </c:strCache>
            </c:strRef>
          </c:cat>
          <c:val>
            <c:numRef>
              <c:f>'Product Performance Dashboard'!$D$13:$D$20</c:f>
              <c:numCache>
                <c:formatCode>General</c:formatCode>
                <c:ptCount val="8"/>
                <c:pt idx="0">
                  <c:v>2333398.35</c:v>
                </c:pt>
                <c:pt idx="1">
                  <c:v>1600191.73</c:v>
                </c:pt>
                <c:pt idx="2">
                  <c:v>1541791.66</c:v>
                </c:pt>
                <c:pt idx="3">
                  <c:v>1670028.7</c:v>
                </c:pt>
                <c:pt idx="4">
                  <c:v>2207153.59</c:v>
                </c:pt>
                <c:pt idx="5">
                  <c:v>1965801.54</c:v>
                </c:pt>
                <c:pt idx="6">
                  <c:v>1963784.54</c:v>
                </c:pt>
                <c:pt idx="7">
                  <c:v>1295433.64</c:v>
                </c:pt>
              </c:numCache>
            </c:numRef>
          </c:val>
        </c:ser>
        <c:gapWidth val="150"/>
        <c:overlap val="0"/>
        <c:axId val="82239999"/>
        <c:axId val="46069973"/>
      </c:barChart>
      <c:catAx>
        <c:axId val="82239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69973"/>
        <c:crosses val="autoZero"/>
        <c:auto val="1"/>
        <c:lblAlgn val="ctr"/>
        <c:lblOffset val="100"/>
        <c:noMultiLvlLbl val="0"/>
      </c:catAx>
      <c:valAx>
        <c:axId val="46069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9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Revenue by Product (Top 20 Catalog 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Performance Dashboard'!D23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 Dashboard'!$A$24:$A$43</c:f>
              <c:strCache>
                <c:ptCount val="20"/>
                <c:pt idx="0">
                  <c:v>PRD001</c:v>
                </c:pt>
                <c:pt idx="1">
                  <c:v>PRD002</c:v>
                </c:pt>
                <c:pt idx="2">
                  <c:v>PRD003</c:v>
                </c:pt>
                <c:pt idx="3">
                  <c:v>PRD004</c:v>
                </c:pt>
                <c:pt idx="4">
                  <c:v>PRD005</c:v>
                </c:pt>
                <c:pt idx="5">
                  <c:v>PRD006</c:v>
                </c:pt>
                <c:pt idx="6">
                  <c:v>PRD007</c:v>
                </c:pt>
                <c:pt idx="7">
                  <c:v>PRD008</c:v>
                </c:pt>
                <c:pt idx="8">
                  <c:v>PRD009</c:v>
                </c:pt>
                <c:pt idx="9">
                  <c:v>PRD010</c:v>
                </c:pt>
                <c:pt idx="10">
                  <c:v>PRD011</c:v>
                </c:pt>
                <c:pt idx="11">
                  <c:v>PRD012</c:v>
                </c:pt>
                <c:pt idx="12">
                  <c:v>PRD013</c:v>
                </c:pt>
                <c:pt idx="13">
                  <c:v>PRD014</c:v>
                </c:pt>
                <c:pt idx="14">
                  <c:v>PRD015</c:v>
                </c:pt>
                <c:pt idx="15">
                  <c:v>PRD016</c:v>
                </c:pt>
                <c:pt idx="16">
                  <c:v>PRD017</c:v>
                </c:pt>
                <c:pt idx="17">
                  <c:v>PRD018</c:v>
                </c:pt>
                <c:pt idx="18">
                  <c:v>PRD019</c:v>
                </c:pt>
                <c:pt idx="19">
                  <c:v>PRD020</c:v>
                </c:pt>
              </c:strCache>
            </c:strRef>
          </c:cat>
          <c:val>
            <c:numRef>
              <c:f>'Product Performance Dashboard'!$D$24:$D$43</c:f>
              <c:numCache>
                <c:formatCode>General</c:formatCode>
                <c:ptCount val="20"/>
                <c:pt idx="0">
                  <c:v>145620</c:v>
                </c:pt>
                <c:pt idx="1">
                  <c:v>150869.92</c:v>
                </c:pt>
                <c:pt idx="2">
                  <c:v>107454.75</c:v>
                </c:pt>
                <c:pt idx="3">
                  <c:v>146952.63</c:v>
                </c:pt>
                <c:pt idx="4">
                  <c:v>136911.03</c:v>
                </c:pt>
                <c:pt idx="5">
                  <c:v>175509.28</c:v>
                </c:pt>
                <c:pt idx="6">
                  <c:v>381168.82</c:v>
                </c:pt>
                <c:pt idx="7">
                  <c:v>1264863.98</c:v>
                </c:pt>
                <c:pt idx="8">
                  <c:v>462276.8</c:v>
                </c:pt>
                <c:pt idx="9">
                  <c:v>1086146.25</c:v>
                </c:pt>
                <c:pt idx="10">
                  <c:v>23527.19</c:v>
                </c:pt>
                <c:pt idx="11">
                  <c:v>1145138.01</c:v>
                </c:pt>
                <c:pt idx="12">
                  <c:v>609015.19</c:v>
                </c:pt>
                <c:pt idx="13">
                  <c:v>253621.8</c:v>
                </c:pt>
                <c:pt idx="14">
                  <c:v>106015</c:v>
                </c:pt>
                <c:pt idx="15">
                  <c:v>663235.02</c:v>
                </c:pt>
                <c:pt idx="16">
                  <c:v>126972.72</c:v>
                </c:pt>
                <c:pt idx="17">
                  <c:v>637684.32</c:v>
                </c:pt>
                <c:pt idx="18">
                  <c:v>218052.9</c:v>
                </c:pt>
                <c:pt idx="19">
                  <c:v>359974.23</c:v>
                </c:pt>
              </c:numCache>
            </c:numRef>
          </c:val>
        </c:ser>
        <c:gapWidth val="150"/>
        <c:overlap val="0"/>
        <c:axId val="66544353"/>
        <c:axId val="55103675"/>
      </c:barChart>
      <c:catAx>
        <c:axId val="665443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03675"/>
        <c:crosses val="autoZero"/>
        <c:auto val="1"/>
        <c:lblAlgn val="ctr"/>
        <c:lblOffset val="100"/>
        <c:noMultiLvlLbl val="0"/>
      </c:catAx>
      <c:valAx>
        <c:axId val="55103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44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Trailing 7-Day Daily Sales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MIS Report'!H7</c:f>
              <c:strCache>
                <c:ptCount val="1"/>
                <c:pt idx="0">
                  <c:v>Daily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MIS Report'!$E$8:$E$14</c:f>
              <c:strCache>
                <c:ptCount val="7"/>
                <c:pt idx="0">
                  <c:v>13-Oct-2026</c:v>
                </c:pt>
                <c:pt idx="1">
                  <c:v>14-Oct-2026</c:v>
                </c:pt>
                <c:pt idx="2">
                  <c:v>15-Oct-2026</c:v>
                </c:pt>
                <c:pt idx="3">
                  <c:v>16-Oct-2026</c:v>
                </c:pt>
                <c:pt idx="4">
                  <c:v>17-Oct-2026</c:v>
                </c:pt>
                <c:pt idx="5">
                  <c:v>18-Oct-2026</c:v>
                </c:pt>
                <c:pt idx="6">
                  <c:v>19-Oct-2026</c:v>
                </c:pt>
              </c:strCache>
            </c:strRef>
          </c:cat>
          <c:val>
            <c:numRef>
              <c:f>'Daily MIS Report'!$H$8:$H$14</c:f>
              <c:numCache>
                <c:formatCode>General</c:formatCode>
                <c:ptCount val="7"/>
                <c:pt idx="0">
                  <c:v>214616.8</c:v>
                </c:pt>
                <c:pt idx="1">
                  <c:v>160479.25</c:v>
                </c:pt>
                <c:pt idx="2">
                  <c:v>138979.19</c:v>
                </c:pt>
                <c:pt idx="3">
                  <c:v>141701.78</c:v>
                </c:pt>
                <c:pt idx="4">
                  <c:v>79573.92</c:v>
                </c:pt>
                <c:pt idx="5">
                  <c:v>227112.82</c:v>
                </c:pt>
                <c:pt idx="6">
                  <c:v>616977.88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61651"/>
        <c:axId val="67723610"/>
      </c:lineChart>
      <c:catAx>
        <c:axId val="26616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23610"/>
        <c:crosses val="autoZero"/>
        <c:auto val="1"/>
        <c:lblAlgn val="ctr"/>
        <c:lblOffset val="100"/>
        <c:noMultiLvlLbl val="0"/>
      </c:catAx>
      <c:valAx>
        <c:axId val="67723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1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Comparison (12-Month Trend)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&amp; Monthly MIS Reports'!J5</c:f>
              <c:strCache>
                <c:ptCount val="1"/>
                <c:pt idx="0">
                  <c:v>Monthly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Monthly MIS Reports'!$H$6:$H$17</c:f>
              <c:strCache>
                <c:ptCount val="12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  <c:pt idx="6">
                  <c:v>May-2026</c:v>
                </c:pt>
                <c:pt idx="7">
                  <c:v>Jun-2026</c:v>
                </c:pt>
                <c:pt idx="8">
                  <c:v>Jul-2026</c:v>
                </c:pt>
                <c:pt idx="9">
                  <c:v>Aug-2026</c:v>
                </c:pt>
                <c:pt idx="10">
                  <c:v>Sep-2026</c:v>
                </c:pt>
                <c:pt idx="11">
                  <c:v>Oct-2026</c:v>
                </c:pt>
              </c:strCache>
            </c:strRef>
          </c:cat>
          <c:val>
            <c:numRef>
              <c:f>'Weekly &amp; Monthly MIS Reports'!$J$6:$J$17</c:f>
              <c:numCache>
                <c:formatCode>General</c:formatCode>
                <c:ptCount val="12"/>
                <c:pt idx="0">
                  <c:v>3891158.77</c:v>
                </c:pt>
                <c:pt idx="1">
                  <c:v>3173007.35</c:v>
                </c:pt>
                <c:pt idx="2">
                  <c:v>4091315.9</c:v>
                </c:pt>
                <c:pt idx="3">
                  <c:v>2977863.2</c:v>
                </c:pt>
                <c:pt idx="4">
                  <c:v>4855581.03</c:v>
                </c:pt>
                <c:pt idx="5">
                  <c:v>3579994.01</c:v>
                </c:pt>
                <c:pt idx="6">
                  <c:v>4170402.84</c:v>
                </c:pt>
                <c:pt idx="7">
                  <c:v>3324809.03</c:v>
                </c:pt>
                <c:pt idx="8">
                  <c:v>4635139.46</c:v>
                </c:pt>
                <c:pt idx="9">
                  <c:v>4350130.2</c:v>
                </c:pt>
                <c:pt idx="10">
                  <c:v>3937105.05</c:v>
                </c:pt>
                <c:pt idx="11">
                  <c:v>1868047.99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636714"/>
        <c:axId val="65077503"/>
      </c:lineChart>
      <c:catAx>
        <c:axId val="39636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77503"/>
        <c:crosses val="autoZero"/>
        <c:auto val="1"/>
        <c:lblAlgn val="ctr"/>
        <c:lblOffset val="100"/>
        <c:noMultiLvlLbl val="0"/>
      </c:catAx>
      <c:valAx>
        <c:axId val="65077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6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Order Volume &amp; Delivered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&amp; Monthly MIS Reports'!B5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Monthly MIS Reports'!$A$6:$A$17</c:f>
              <c:strCache>
                <c:ptCount val="12"/>
                <c:pt idx="0">
                  <c:v>03-Aug-2026</c:v>
                </c:pt>
                <c:pt idx="1">
                  <c:v>10-Aug-2026</c:v>
                </c:pt>
                <c:pt idx="2">
                  <c:v>17-Aug-2026</c:v>
                </c:pt>
                <c:pt idx="3">
                  <c:v>24-Aug-2026</c:v>
                </c:pt>
                <c:pt idx="4">
                  <c:v>31-Aug-2026</c:v>
                </c:pt>
                <c:pt idx="5">
                  <c:v>07-Sep-2026</c:v>
                </c:pt>
                <c:pt idx="6">
                  <c:v>14-Sep-2026</c:v>
                </c:pt>
                <c:pt idx="7">
                  <c:v>21-Sep-2026</c:v>
                </c:pt>
                <c:pt idx="8">
                  <c:v>28-Sep-2026</c:v>
                </c:pt>
                <c:pt idx="9">
                  <c:v>05-Oct-2026</c:v>
                </c:pt>
                <c:pt idx="10">
                  <c:v>12-Oct-2026</c:v>
                </c:pt>
                <c:pt idx="11">
                  <c:v>19-Oct-2026</c:v>
                </c:pt>
              </c:strCache>
            </c:strRef>
          </c:cat>
          <c:val>
            <c:numRef>
              <c:f>'Weekly &amp; Monthly MIS Reports'!$B$6:$B$17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5</c:v>
                </c:pt>
                <c:pt idx="9">
                  <c:v>2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'Weekly &amp; Monthly MIS Reports'!C5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Monthly MIS Reports'!$A$6:$A$17</c:f>
              <c:strCache>
                <c:ptCount val="12"/>
                <c:pt idx="0">
                  <c:v>03-Aug-2026</c:v>
                </c:pt>
                <c:pt idx="1">
                  <c:v>10-Aug-2026</c:v>
                </c:pt>
                <c:pt idx="2">
                  <c:v>17-Aug-2026</c:v>
                </c:pt>
                <c:pt idx="3">
                  <c:v>24-Aug-2026</c:v>
                </c:pt>
                <c:pt idx="4">
                  <c:v>31-Aug-2026</c:v>
                </c:pt>
                <c:pt idx="5">
                  <c:v>07-Sep-2026</c:v>
                </c:pt>
                <c:pt idx="6">
                  <c:v>14-Sep-2026</c:v>
                </c:pt>
                <c:pt idx="7">
                  <c:v>21-Sep-2026</c:v>
                </c:pt>
                <c:pt idx="8">
                  <c:v>28-Sep-2026</c:v>
                </c:pt>
                <c:pt idx="9">
                  <c:v>05-Oct-2026</c:v>
                </c:pt>
                <c:pt idx="10">
                  <c:v>12-Oct-2026</c:v>
                </c:pt>
                <c:pt idx="11">
                  <c:v>19-Oct-2026</c:v>
                </c:pt>
              </c:strCache>
            </c:strRef>
          </c:cat>
          <c:val>
            <c:numRef>
              <c:f>'Weekly &amp; Monthly MIS Reports'!$C$6:$C$17</c:f>
              <c:numCache>
                <c:formatCode>General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6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7247"/>
        <c:axId val="46726037"/>
      </c:lineChart>
      <c:catAx>
        <c:axId val="30272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26037"/>
        <c:crosses val="autoZero"/>
        <c:auto val="1"/>
        <c:lblAlgn val="ctr"/>
        <c:lblOffset val="100"/>
        <c:noMultiLvlLbl val="0"/>
      </c:catAx>
      <c:valAx>
        <c:axId val="46726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7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270720</xdr:colOff>
      <xdr:row>13</xdr:row>
      <xdr:rowOff>124560</xdr:rowOff>
    </xdr:to>
    <xdr:graphicFrame>
      <xdr:nvGraphicFramePr>
        <xdr:cNvPr id="0" name="Chart 1"/>
        <xdr:cNvGraphicFramePr/>
      </xdr:nvGraphicFramePr>
      <xdr:xfrm>
        <a:off x="19454040" y="7239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3</xdr:row>
      <xdr:rowOff>0</xdr:rowOff>
    </xdr:from>
    <xdr:to>
      <xdr:col>23</xdr:col>
      <xdr:colOff>270720</xdr:colOff>
      <xdr:row>13</xdr:row>
      <xdr:rowOff>124560</xdr:rowOff>
    </xdr:to>
    <xdr:graphicFrame>
      <xdr:nvGraphicFramePr>
        <xdr:cNvPr id="1" name="Chart 2"/>
        <xdr:cNvGraphicFramePr/>
      </xdr:nvGraphicFramePr>
      <xdr:xfrm>
        <a:off x="24528960" y="7239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17</xdr:col>
      <xdr:colOff>270720</xdr:colOff>
      <xdr:row>31</xdr:row>
      <xdr:rowOff>219960</xdr:rowOff>
    </xdr:to>
    <xdr:graphicFrame>
      <xdr:nvGraphicFramePr>
        <xdr:cNvPr id="2" name="Chart 3"/>
        <xdr:cNvGraphicFramePr/>
      </xdr:nvGraphicFramePr>
      <xdr:xfrm>
        <a:off x="19454040" y="45338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23</xdr:col>
      <xdr:colOff>270720</xdr:colOff>
      <xdr:row>31</xdr:row>
      <xdr:rowOff>219960</xdr:rowOff>
    </xdr:to>
    <xdr:graphicFrame>
      <xdr:nvGraphicFramePr>
        <xdr:cNvPr id="3" name="Chart 4"/>
        <xdr:cNvGraphicFramePr/>
      </xdr:nvGraphicFramePr>
      <xdr:xfrm>
        <a:off x="24528960" y="45338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17</xdr:col>
      <xdr:colOff>270720</xdr:colOff>
      <xdr:row>47</xdr:row>
      <xdr:rowOff>219600</xdr:rowOff>
    </xdr:to>
    <xdr:graphicFrame>
      <xdr:nvGraphicFramePr>
        <xdr:cNvPr id="4" name="Chart 5"/>
        <xdr:cNvGraphicFramePr/>
      </xdr:nvGraphicFramePr>
      <xdr:xfrm>
        <a:off x="19454040" y="77817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35</xdr:row>
      <xdr:rowOff>0</xdr:rowOff>
    </xdr:from>
    <xdr:to>
      <xdr:col>23</xdr:col>
      <xdr:colOff>270720</xdr:colOff>
      <xdr:row>47</xdr:row>
      <xdr:rowOff>219600</xdr:rowOff>
    </xdr:to>
    <xdr:graphicFrame>
      <xdr:nvGraphicFramePr>
        <xdr:cNvPr id="5" name="Chart 6"/>
        <xdr:cNvGraphicFramePr/>
      </xdr:nvGraphicFramePr>
      <xdr:xfrm>
        <a:off x="24528960" y="77817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14</xdr:col>
      <xdr:colOff>810720</xdr:colOff>
      <xdr:row>14</xdr:row>
      <xdr:rowOff>42120</xdr:rowOff>
    </xdr:to>
    <xdr:graphicFrame>
      <xdr:nvGraphicFramePr>
        <xdr:cNvPr id="6" name="Chart 1"/>
        <xdr:cNvGraphicFramePr/>
      </xdr:nvGraphicFramePr>
      <xdr:xfrm>
        <a:off x="12546360" y="7239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14</xdr:col>
      <xdr:colOff>810720</xdr:colOff>
      <xdr:row>32</xdr:row>
      <xdr:rowOff>23400</xdr:rowOff>
    </xdr:to>
    <xdr:graphicFrame>
      <xdr:nvGraphicFramePr>
        <xdr:cNvPr id="7" name="Chart 2"/>
        <xdr:cNvGraphicFramePr/>
      </xdr:nvGraphicFramePr>
      <xdr:xfrm>
        <a:off x="12546360" y="43340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14</xdr:col>
      <xdr:colOff>810720</xdr:colOff>
      <xdr:row>49</xdr:row>
      <xdr:rowOff>12600</xdr:rowOff>
    </xdr:to>
    <xdr:graphicFrame>
      <xdr:nvGraphicFramePr>
        <xdr:cNvPr id="8" name="Chart 3"/>
        <xdr:cNvGraphicFramePr/>
      </xdr:nvGraphicFramePr>
      <xdr:xfrm>
        <a:off x="12546360" y="75819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270360</xdr:colOff>
      <xdr:row>13</xdr:row>
      <xdr:rowOff>124560</xdr:rowOff>
    </xdr:to>
    <xdr:graphicFrame>
      <xdr:nvGraphicFramePr>
        <xdr:cNvPr id="9" name="Chart 1"/>
        <xdr:cNvGraphicFramePr/>
      </xdr:nvGraphicFramePr>
      <xdr:xfrm>
        <a:off x="15154200" y="7239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3</xdr:row>
      <xdr:rowOff>0</xdr:rowOff>
    </xdr:from>
    <xdr:to>
      <xdr:col>23</xdr:col>
      <xdr:colOff>270360</xdr:colOff>
      <xdr:row>13</xdr:row>
      <xdr:rowOff>124560</xdr:rowOff>
    </xdr:to>
    <xdr:graphicFrame>
      <xdr:nvGraphicFramePr>
        <xdr:cNvPr id="10" name="Chart 2"/>
        <xdr:cNvGraphicFramePr/>
      </xdr:nvGraphicFramePr>
      <xdr:xfrm>
        <a:off x="20229120" y="7239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17</xdr:col>
      <xdr:colOff>270360</xdr:colOff>
      <xdr:row>31</xdr:row>
      <xdr:rowOff>105840</xdr:rowOff>
    </xdr:to>
    <xdr:graphicFrame>
      <xdr:nvGraphicFramePr>
        <xdr:cNvPr id="11" name="Chart 3"/>
        <xdr:cNvGraphicFramePr/>
      </xdr:nvGraphicFramePr>
      <xdr:xfrm>
        <a:off x="15154200" y="43340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23</xdr:col>
      <xdr:colOff>270360</xdr:colOff>
      <xdr:row>31</xdr:row>
      <xdr:rowOff>105840</xdr:rowOff>
    </xdr:to>
    <xdr:graphicFrame>
      <xdr:nvGraphicFramePr>
        <xdr:cNvPr id="12" name="Chart 4"/>
        <xdr:cNvGraphicFramePr/>
      </xdr:nvGraphicFramePr>
      <xdr:xfrm>
        <a:off x="20229120" y="43340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22</xdr:col>
      <xdr:colOff>541440</xdr:colOff>
      <xdr:row>48</xdr:row>
      <xdr:rowOff>23040</xdr:rowOff>
    </xdr:to>
    <xdr:graphicFrame>
      <xdr:nvGraphicFramePr>
        <xdr:cNvPr id="13" name="Chart 5"/>
        <xdr:cNvGraphicFramePr/>
      </xdr:nvGraphicFramePr>
      <xdr:xfrm>
        <a:off x="15154200" y="7581960"/>
        <a:ext cx="89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19</xdr:col>
      <xdr:colOff>684720</xdr:colOff>
      <xdr:row>15</xdr:row>
      <xdr:rowOff>31680</xdr:rowOff>
    </xdr:to>
    <xdr:graphicFrame>
      <xdr:nvGraphicFramePr>
        <xdr:cNvPr id="14" name="Chart 1"/>
        <xdr:cNvGraphicFramePr/>
      </xdr:nvGraphicFramePr>
      <xdr:xfrm>
        <a:off x="18889920" y="723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0</xdr:rowOff>
    </xdr:from>
    <xdr:to>
      <xdr:col>19</xdr:col>
      <xdr:colOff>684720</xdr:colOff>
      <xdr:row>35</xdr:row>
      <xdr:rowOff>22320</xdr:rowOff>
    </xdr:to>
    <xdr:graphicFrame>
      <xdr:nvGraphicFramePr>
        <xdr:cNvPr id="15" name="Chart 2"/>
        <xdr:cNvGraphicFramePr/>
      </xdr:nvGraphicFramePr>
      <xdr:xfrm>
        <a:off x="18889920" y="4524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810360</xdr:colOff>
      <xdr:row>16</xdr:row>
      <xdr:rowOff>21240</xdr:rowOff>
    </xdr:to>
    <xdr:graphicFrame>
      <xdr:nvGraphicFramePr>
        <xdr:cNvPr id="16" name="Chart 1"/>
        <xdr:cNvGraphicFramePr/>
      </xdr:nvGraphicFramePr>
      <xdr:xfrm>
        <a:off x="16563960" y="7239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17</xdr:col>
      <xdr:colOff>810360</xdr:colOff>
      <xdr:row>36</xdr:row>
      <xdr:rowOff>182160</xdr:rowOff>
    </xdr:to>
    <xdr:graphicFrame>
      <xdr:nvGraphicFramePr>
        <xdr:cNvPr id="17" name="Chart 2"/>
        <xdr:cNvGraphicFramePr/>
      </xdr:nvGraphicFramePr>
      <xdr:xfrm>
        <a:off x="16563960" y="4714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0</xdr:rowOff>
    </xdr:from>
    <xdr:to>
      <xdr:col>14</xdr:col>
      <xdr:colOff>810360</xdr:colOff>
      <xdr:row>19</xdr:row>
      <xdr:rowOff>12600</xdr:rowOff>
    </xdr:to>
    <xdr:graphicFrame>
      <xdr:nvGraphicFramePr>
        <xdr:cNvPr id="18" name="Chart 1"/>
        <xdr:cNvGraphicFramePr/>
      </xdr:nvGraphicFramePr>
      <xdr:xfrm>
        <a:off x="13392000" y="1219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19</xdr:col>
      <xdr:colOff>630360</xdr:colOff>
      <xdr:row>16</xdr:row>
      <xdr:rowOff>23040</xdr:rowOff>
    </xdr:to>
    <xdr:graphicFrame>
      <xdr:nvGraphicFramePr>
        <xdr:cNvPr id="19" name="Chart 1"/>
        <xdr:cNvGraphicFramePr/>
      </xdr:nvGraphicFramePr>
      <xdr:xfrm>
        <a:off x="20934000" y="7239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19</xdr:col>
      <xdr:colOff>630360</xdr:colOff>
      <xdr:row>32</xdr:row>
      <xdr:rowOff>23040</xdr:rowOff>
    </xdr:to>
    <xdr:graphicFrame>
      <xdr:nvGraphicFramePr>
        <xdr:cNvPr id="20" name="Chart 2"/>
        <xdr:cNvGraphicFramePr/>
      </xdr:nvGraphicFramePr>
      <xdr:xfrm>
        <a:off x="20934000" y="39718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oryTable" displayName="InventoryTable" ref="A4:Q104" headerRowCount="1" totalsRowCount="0" totalsRowShown="0">
  <autoFilter ref="A4:Q104"/>
  <tableColumns count="17">
    <tableColumn id="1" name="Product ID"/>
    <tableColumn id="2" name="Product Name"/>
    <tableColumn id="3" name="Category"/>
    <tableColumn id="4" name="Supplier ID"/>
    <tableColumn id="5" name="Supplier Name"/>
    <tableColumn id="6" name="Warehouse"/>
    <tableColumn id="7" name="Opening Stock"/>
    <tableColumn id="8" name="Stock Received"/>
    <tableColumn id="9" name="Units Sold"/>
    <tableColumn id="10" name="Units Returned"/>
    <tableColumn id="11" name="Closing Stock"/>
    <tableColumn id="12" name="Minimum Stock Level"/>
    <tableColumn id="13" name="Maximum Stock Level"/>
    <tableColumn id="14" name="Unit Cost"/>
    <tableColumn id="15" name="Inventory Value"/>
    <tableColumn id="16" name="Stock Status"/>
    <tableColumn id="17" name="Reorder 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Table" displayName="OrderTable" ref="A4:T604" headerRowCount="1" totalsRowCount="0" totalsRowShown="0">
  <autoFilter ref="A4:T604"/>
  <tableColumns count="20">
    <tableColumn id="1" name="Order ID"/>
    <tableColumn id="2" name="Order Date"/>
    <tableColumn id="3" name="Customer ID"/>
    <tableColumn id="4" name="Customer Name"/>
    <tableColumn id="5" name="Region"/>
    <tableColumn id="6" name="Warehouse"/>
    <tableColumn id="7" name="Product ID"/>
    <tableColumn id="8" name="Product Name"/>
    <tableColumn id="9" name="Product Category"/>
    <tableColumn id="10" name="Quantity Ordered"/>
    <tableColumn id="11" name="Unit Price"/>
    <tableColumn id="12" name="Order Value"/>
    <tableColumn id="13" name="Order Status"/>
    <tableColumn id="14" name="Dispatch Date"/>
    <tableColumn id="15" name="Expected Delivery Date"/>
    <tableColumn id="16" name="Actual Delivery Date"/>
    <tableColumn id="17" name="Delivery TAT"/>
    <tableColumn id="18" name="Delay Days"/>
    <tableColumn id="19" name="Payment Status"/>
    <tableColumn id="20" name="Delay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Table" displayName="ProductTable" ref="A4:K104" headerRowCount="1" totalsRowCount="0" totalsRowShown="0">
  <autoFilter ref="A4:K104"/>
  <tableColumns count="11">
    <tableColumn id="1" name="Product ID"/>
    <tableColumn id="2" name="Product Name"/>
    <tableColumn id="3" name="Product Category"/>
    <tableColumn id="4" name="Brand"/>
    <tableColumn id="5" name="Unit Cost"/>
    <tableColumn id="6" name="Selling Price"/>
    <tableColumn id="7" name="Profit per Unit"/>
    <tableColumn id="8" name="Profit Margin"/>
    <tableColumn id="9" name="Supplier ID"/>
    <tableColumn id="10" name="Reorder Level"/>
    <tableColumn id="11" name="Produc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urchaseTable" displayName="PurchaseTable" ref="A4:O224" headerRowCount="1" totalsRowCount="0" totalsRowShown="0">
  <autoFilter ref="A4:O224"/>
  <tableColumns count="15">
    <tableColumn id="1" name="Purchase Order ID"/>
    <tableColumn id="2" name="Purchase Order Date"/>
    <tableColumn id="3" name="Supplier ID"/>
    <tableColumn id="4" name="Supplier Name"/>
    <tableColumn id="5" name="Product ID"/>
    <tableColumn id="6" name="Product Name"/>
    <tableColumn id="7" name="Quantity Ordered"/>
    <tableColumn id="8" name="Unit Cost"/>
    <tableColumn id="9" name="Total Purchase Value"/>
    <tableColumn id="10" name="Expected Receipt Date"/>
    <tableColumn id="11" name="Actual Receipt Date"/>
    <tableColumn id="12" name="Received Quantity"/>
    <tableColumn id="13" name="Pending Quantity"/>
    <tableColumn id="14" name="Purchase Status"/>
    <tableColumn id="15" name="Supplier Delay Da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pplierTable" displayName="SupplierTable" ref="A4:K29" headerRowCount="1" totalsRowCount="0" totalsRowShown="0">
  <autoFilter ref="A4:K29"/>
  <tableColumns count="11">
    <tableColumn id="1" name="Supplier ID"/>
    <tableColumn id="2" name="Supplier Name"/>
    <tableColumn id="3" name="Contact Person"/>
    <tableColumn id="4" name="Region"/>
    <tableColumn id="5" name="Product Category"/>
    <tableColumn id="6" name="Contract Start Date"/>
    <tableColumn id="7" name="Contract End Date"/>
    <tableColumn id="8" name="Payment Terms"/>
    <tableColumn id="9" name="Lead Time"/>
    <tableColumn id="10" name="Supplier Rating"/>
    <tableColumn id="11" name="Supplier Status"/>
  </tableColumns>
  <tableStyleInfo name="TableStyleMedium2" showFirstColumn="0" showLastColumn="0" showRowStripes="1" showColumnStripes="0"/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18"/>
    <col collapsed="false" customWidth="true" hidden="false" outlineLevel="0" max="4" min="4" style="0" width="31"/>
    <col collapsed="false" customWidth="true" hidden="false" outlineLevel="0" max="5" min="5" style="0" width="24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9" min="8" style="0" width="22"/>
    <col collapsed="false" customWidth="true" hidden="false" outlineLevel="0" max="10" min="10" style="0" width="26"/>
    <col collapsed="false" customWidth="true" hidden="false" outlineLevel="0" max="11" min="11" style="0" width="34"/>
    <col collapsed="false" customWidth="true" hidden="false" outlineLevel="0" max="24" min="12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9.75" hidden="false" customHeight="true" outlineLevel="0" collapsed="false"/>
    <row r="4" customFormat="false" ht="18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25.5" hidden="false" customHeight="true" outlineLevel="0" collapsed="false">
      <c r="A5" s="4" t="n">
        <f aca="false">COUNTA('Order Tracking'!$A$5:$A$604)</f>
        <v>600</v>
      </c>
      <c r="B5" s="4"/>
      <c r="C5" s="5" t="n">
        <f aca="false">SUM('Order Tracking'!$L$5:$L$604)</f>
        <v>49134145.06</v>
      </c>
      <c r="D5" s="5"/>
      <c r="E5" s="5" t="n">
        <f aca="false">SUM('Purchase Management'!$I$5:$I$224)</f>
        <v>238103731.88</v>
      </c>
      <c r="F5" s="5"/>
      <c r="G5" s="5" t="n">
        <f aca="false">SUM('Inventory Management'!$O$5:$O$104)</f>
        <v>98642688.14</v>
      </c>
      <c r="H5" s="5"/>
      <c r="I5" s="4" t="n">
        <f aca="false">COUNTA('Supplier Database'!$A$5:$A$29)</f>
        <v>25</v>
      </c>
      <c r="J5" s="4"/>
    </row>
    <row r="7" customFormat="false" ht="18.75" hidden="false" customHeight="true" outlineLevel="0" collapsed="false">
      <c r="A7" s="3" t="s">
        <v>7</v>
      </c>
      <c r="B7" s="3"/>
      <c r="C7" s="3" t="s">
        <v>8</v>
      </c>
      <c r="D7" s="3"/>
      <c r="E7" s="3" t="s">
        <v>9</v>
      </c>
      <c r="F7" s="3"/>
      <c r="G7" s="3" t="s">
        <v>10</v>
      </c>
      <c r="H7" s="3"/>
      <c r="I7" s="3" t="s">
        <v>11</v>
      </c>
      <c r="J7" s="3"/>
    </row>
    <row r="8" customFormat="false" ht="25.5" hidden="false" customHeight="true" outlineLevel="0" collapsed="false">
      <c r="A8" s="4" t="n">
        <f aca="false">COUNTA('Product Master'!$A$5:$A$104)</f>
        <v>100</v>
      </c>
      <c r="B8" s="4"/>
      <c r="C8" s="4" t="n">
        <f aca="false">COUNTIF('Order Tracking'!$M$5:$M$604,"Pending")</f>
        <v>78</v>
      </c>
      <c r="D8" s="4"/>
      <c r="E8" s="4" t="n">
        <f aca="false">COUNTIF('Order Tracking'!$R$5:$R$604,"&gt;0")</f>
        <v>233</v>
      </c>
      <c r="F8" s="4"/>
      <c r="G8" s="6" t="n">
        <f aca="false">IFERROR(COUNTIF('Order Tracking'!$M$5:$M$604,"Delivered")/COUNTA('Order Tracking'!$A$5:$A$604),0)</f>
        <v>0.581666666666667</v>
      </c>
      <c r="H8" s="6"/>
      <c r="I8" s="6" t="n">
        <f aca="false">IFERROR(COUNTIFS('Order Tracking'!$M$5:$M$604,"Delivered",'Order Tracking'!$R$5:$R$604,0)/COUNTIF('Order Tracking'!$M$5:$M$604,"Delivered"),0)</f>
        <v>0.595988538681949</v>
      </c>
      <c r="J8" s="6"/>
    </row>
    <row r="10" customFormat="false" ht="21.75" hidden="false" customHeight="true" outlineLevel="0" collapsed="false">
      <c r="A10" s="7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24" hidden="false" customHeight="true" outlineLevel="0" collapsed="false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  <c r="H11" s="8" t="s">
        <v>20</v>
      </c>
      <c r="I11" s="8" t="s">
        <v>21</v>
      </c>
      <c r="J11" s="8" t="s">
        <v>22</v>
      </c>
      <c r="K11" s="8" t="s">
        <v>23</v>
      </c>
    </row>
    <row r="12" customFormat="false" ht="15" hidden="false" customHeight="false" outlineLevel="0" collapsed="false">
      <c r="A12" s="9" t="n">
        <v>45931</v>
      </c>
      <c r="B12" s="9" t="n">
        <v>46326</v>
      </c>
      <c r="C12" s="10" t="s">
        <v>24</v>
      </c>
      <c r="D12" s="10" t="s">
        <v>24</v>
      </c>
      <c r="E12" s="10" t="s">
        <v>24</v>
      </c>
      <c r="F12" s="10" t="s">
        <v>24</v>
      </c>
      <c r="G12" s="11" t="n">
        <f aca="false">COUNTIFS('Order Tracking'!$B$5:$B$604,"&gt;="&amp;A12,'Order Tracking'!$B$5:$B$604,"&lt;="&amp;B12,'Order Tracking'!$E$5:$E$604,IF(C12="All","*",C12),'Order Tracking'!$I$5:$I$604,IF(D12="All","*",D12),'Order Tracking'!$M$5:$M$604,IF(E12="All","*",E12))</f>
        <v>600</v>
      </c>
      <c r="H12" s="12" t="n">
        <f aca="false">SUMIFS('Order Tracking'!$L$5:$L$604,'Order Tracking'!$B$5:$B$604,"&gt;="&amp;A12,'Order Tracking'!$B$5:$B$604,"&lt;="&amp;B12,'Order Tracking'!$E$5:$E$604,IF(C12="All","*",C12),'Order Tracking'!$I$5:$I$604,IF(D12="All","*",D12),'Order Tracking'!$M$5:$M$604,IF(E12="All","*",E12))</f>
        <v>49134145.06</v>
      </c>
      <c r="I12" s="11" t="n">
        <f aca="false">COUNTIFS('Order Tracking'!$B$5:$B$604,"&gt;="&amp;A12,'Order Tracking'!$B$5:$B$604,"&lt;="&amp;B12,'Order Tracking'!$E$5:$E$604,IF(C12="All","*",C12),'Order Tracking'!$I$5:$I$604,IF(D12="All","*",D12),'Order Tracking'!$M$5:$M$604,"Delivered")</f>
        <v>349</v>
      </c>
      <c r="J12" s="13" t="n">
        <f aca="false">IFERROR(I12/G12,0)</f>
        <v>0.581666666666667</v>
      </c>
      <c r="K12" s="12" t="n">
        <f aca="false">SUMIFS('Purchase Management'!$I$5:$I$224,'Purchase Management'!$B$5:$B$224,"&gt;="&amp;A12,'Purchase Management'!$B$5:$B$224,"&lt;="&amp;B12,'Purchase Management'!$C$5:$C$224,IF(F12="All","*",F12))</f>
        <v>238103731.88</v>
      </c>
    </row>
    <row r="15" customFormat="false" ht="21.75" hidden="false" customHeight="true" outlineLevel="0" collapsed="false">
      <c r="A15" s="7" t="s">
        <v>25</v>
      </c>
      <c r="B15" s="7"/>
      <c r="C15" s="7"/>
      <c r="E15" s="7" t="s">
        <v>26</v>
      </c>
      <c r="F15" s="7"/>
      <c r="G15" s="7"/>
      <c r="I15" s="7" t="s">
        <v>27</v>
      </c>
      <c r="J15" s="7"/>
      <c r="K15" s="7"/>
    </row>
    <row r="16" customFormat="false" ht="24" hidden="false" customHeight="true" outlineLevel="0" collapsed="false">
      <c r="A16" s="8" t="s">
        <v>28</v>
      </c>
      <c r="B16" s="8" t="s">
        <v>29</v>
      </c>
      <c r="C16" s="8" t="s">
        <v>30</v>
      </c>
      <c r="E16" s="8" t="s">
        <v>31</v>
      </c>
      <c r="F16" s="8" t="s">
        <v>30</v>
      </c>
      <c r="G16" s="8" t="s">
        <v>32</v>
      </c>
      <c r="I16" s="14" t="s">
        <v>33</v>
      </c>
      <c r="J16" s="8" t="s">
        <v>29</v>
      </c>
      <c r="K16" s="8" t="s">
        <v>34</v>
      </c>
    </row>
    <row r="17" customFormat="false" ht="15" hidden="false" customHeight="false" outlineLevel="0" collapsed="false">
      <c r="A17" s="15" t="n">
        <v>45962</v>
      </c>
      <c r="B17" s="16" t="n">
        <f aca="false">SUMIFS('Order Tracking'!$L$5:$L$604,'Order Tracking'!$B$5:$B$604,"&gt;="&amp;A17,'Order Tracking'!$B$5:$B$604,"&lt;"&amp;EDATE(A17,1))</f>
        <v>3891158.77</v>
      </c>
      <c r="C17" s="17" t="n">
        <f aca="false">COUNTIFS('Order Tracking'!$B$5:$B$604,"&gt;="&amp;A17,'Order Tracking'!$B$5:$B$604,"&lt;"&amp;EDATE(A17,1))</f>
        <v>50</v>
      </c>
      <c r="E17" s="18" t="s">
        <v>35</v>
      </c>
      <c r="F17" s="17" t="n">
        <f aca="false">COUNTIF('Order Tracking'!$M$5:$M$604,E17)</f>
        <v>349</v>
      </c>
      <c r="G17" s="19" t="n">
        <f aca="false">IFERROR(F17/$A$5,0)</f>
        <v>0.581666666666667</v>
      </c>
      <c r="I17" s="20" t="s">
        <v>36</v>
      </c>
      <c r="J17" s="16" t="n">
        <f aca="false">SUMIFS('Order Tracking'!$L$5:$L$604,'Order Tracking'!$I$5:$I$604,I17)</f>
        <v>7418459.07</v>
      </c>
      <c r="K17" s="17" t="n">
        <f aca="false">SUMIFS('Order Tracking'!$J$5:$J$604,'Order Tracking'!$I$5:$I$604,I17)</f>
        <v>1026</v>
      </c>
    </row>
    <row r="18" customFormat="false" ht="15" hidden="false" customHeight="false" outlineLevel="0" collapsed="false">
      <c r="A18" s="15" t="n">
        <v>45992</v>
      </c>
      <c r="B18" s="16" t="n">
        <f aca="false">SUMIFS('Order Tracking'!$L$5:$L$604,'Order Tracking'!$B$5:$B$604,"&gt;="&amp;A18,'Order Tracking'!$B$5:$B$604,"&lt;"&amp;EDATE(A18,1))</f>
        <v>3173007.35</v>
      </c>
      <c r="C18" s="17" t="n">
        <f aca="false">COUNTIFS('Order Tracking'!$B$5:$B$604,"&gt;="&amp;A18,'Order Tracking'!$B$5:$B$604,"&lt;"&amp;EDATE(A18,1))</f>
        <v>41</v>
      </c>
      <c r="E18" s="18" t="s">
        <v>37</v>
      </c>
      <c r="F18" s="17" t="n">
        <f aca="false">COUNTIF('Order Tracking'!$M$5:$M$604,E18)</f>
        <v>78</v>
      </c>
      <c r="G18" s="19" t="n">
        <f aca="false">IFERROR(F18/$A$5,0)</f>
        <v>0.13</v>
      </c>
      <c r="I18" s="20" t="s">
        <v>38</v>
      </c>
      <c r="J18" s="16" t="n">
        <f aca="false">SUMIFS('Order Tracking'!$L$5:$L$604,'Order Tracking'!$I$5:$I$604,I18)</f>
        <v>6359299.39</v>
      </c>
      <c r="K18" s="17" t="n">
        <f aca="false">SUMIFS('Order Tracking'!$J$5:$J$604,'Order Tracking'!$I$5:$I$604,I18)</f>
        <v>995</v>
      </c>
    </row>
    <row r="19" customFormat="false" ht="15" hidden="false" customHeight="false" outlineLevel="0" collapsed="false">
      <c r="A19" s="15" t="n">
        <v>46023</v>
      </c>
      <c r="B19" s="16" t="n">
        <f aca="false">SUMIFS('Order Tracking'!$L$5:$L$604,'Order Tracking'!$B$5:$B$604,"&gt;="&amp;A19,'Order Tracking'!$B$5:$B$604,"&lt;"&amp;EDATE(A19,1))</f>
        <v>4091315.9</v>
      </c>
      <c r="C19" s="17" t="n">
        <f aca="false">COUNTIFS('Order Tracking'!$B$5:$B$604,"&gt;="&amp;A19,'Order Tracking'!$B$5:$B$604,"&lt;"&amp;EDATE(A19,1))</f>
        <v>47</v>
      </c>
      <c r="E19" s="18" t="s">
        <v>39</v>
      </c>
      <c r="F19" s="17" t="n">
        <f aca="false">COUNTIF('Order Tracking'!$M$5:$M$604,E19)</f>
        <v>76</v>
      </c>
      <c r="G19" s="19" t="n">
        <f aca="false">IFERROR(F19/$A$5,0)</f>
        <v>0.126666666666667</v>
      </c>
      <c r="I19" s="20" t="s">
        <v>40</v>
      </c>
      <c r="J19" s="16" t="n">
        <f aca="false">SUMIFS('Order Tracking'!$L$5:$L$604,'Order Tracking'!$I$5:$I$604,I19)</f>
        <v>5066638.75</v>
      </c>
      <c r="K19" s="17" t="n">
        <f aca="false">SUMIFS('Order Tracking'!$J$5:$J$604,'Order Tracking'!$I$5:$I$604,I19)</f>
        <v>1140</v>
      </c>
    </row>
    <row r="20" customFormat="false" ht="15" hidden="false" customHeight="false" outlineLevel="0" collapsed="false">
      <c r="A20" s="15" t="n">
        <v>46054</v>
      </c>
      <c r="B20" s="16" t="n">
        <f aca="false">SUMIFS('Order Tracking'!$L$5:$L$604,'Order Tracking'!$B$5:$B$604,"&gt;="&amp;A20,'Order Tracking'!$B$5:$B$604,"&lt;"&amp;EDATE(A20,1))</f>
        <v>2977863.2</v>
      </c>
      <c r="C20" s="17" t="n">
        <f aca="false">COUNTIFS('Order Tracking'!$B$5:$B$604,"&gt;="&amp;A20,'Order Tracking'!$B$5:$B$604,"&lt;"&amp;EDATE(A20,1))</f>
        <v>38</v>
      </c>
      <c r="E20" s="18" t="s">
        <v>41</v>
      </c>
      <c r="F20" s="17" t="n">
        <f aca="false">COUNTIF('Order Tracking'!$M$5:$M$604,E20)</f>
        <v>56</v>
      </c>
      <c r="G20" s="19" t="n">
        <f aca="false">IFERROR(F20/$A$5,0)</f>
        <v>0.0933333333333333</v>
      </c>
      <c r="I20" s="20" t="s">
        <v>42</v>
      </c>
      <c r="J20" s="16" t="n">
        <f aca="false">SUMIFS('Order Tracking'!$L$5:$L$604,'Order Tracking'!$I$5:$I$604,I20)</f>
        <v>5583999.64</v>
      </c>
      <c r="K20" s="17" t="n">
        <f aca="false">SUMIFS('Order Tracking'!$J$5:$J$604,'Order Tracking'!$I$5:$I$604,I20)</f>
        <v>886</v>
      </c>
    </row>
    <row r="21" customFormat="false" ht="15" hidden="false" customHeight="false" outlineLevel="0" collapsed="false">
      <c r="A21" s="15" t="n">
        <v>46082</v>
      </c>
      <c r="B21" s="16" t="n">
        <f aca="false">SUMIFS('Order Tracking'!$L$5:$L$604,'Order Tracking'!$B$5:$B$604,"&gt;="&amp;A21,'Order Tracking'!$B$5:$B$604,"&lt;"&amp;EDATE(A21,1))</f>
        <v>4855581.03</v>
      </c>
      <c r="C21" s="17" t="n">
        <f aca="false">COUNTIFS('Order Tracking'!$B$5:$B$604,"&gt;="&amp;A21,'Order Tracking'!$B$5:$B$604,"&lt;"&amp;EDATE(A21,1))</f>
        <v>63</v>
      </c>
      <c r="E21" s="18" t="s">
        <v>43</v>
      </c>
      <c r="F21" s="17" t="n">
        <f aca="false">COUNTIF('Order Tracking'!$M$5:$M$604,E21)</f>
        <v>41</v>
      </c>
      <c r="G21" s="19" t="n">
        <f aca="false">IFERROR(F21/$A$5,0)</f>
        <v>0.0683333333333333</v>
      </c>
      <c r="I21" s="20" t="s">
        <v>44</v>
      </c>
      <c r="J21" s="16" t="n">
        <f aca="false">SUMIFS('Order Tracking'!$L$5:$L$604,'Order Tracking'!$I$5:$I$604,I21)</f>
        <v>7605893.42</v>
      </c>
      <c r="K21" s="17" t="n">
        <f aca="false">SUMIFS('Order Tracking'!$J$5:$J$604,'Order Tracking'!$I$5:$I$604,I21)</f>
        <v>1139</v>
      </c>
    </row>
    <row r="22" customFormat="false" ht="15" hidden="false" customHeight="false" outlineLevel="0" collapsed="false">
      <c r="A22" s="15" t="n">
        <v>46113</v>
      </c>
      <c r="B22" s="16" t="n">
        <f aca="false">SUMIFS('Order Tracking'!$L$5:$L$604,'Order Tracking'!$B$5:$B$604,"&gt;="&amp;A22,'Order Tracking'!$B$5:$B$604,"&lt;"&amp;EDATE(A22,1))</f>
        <v>3579994.01</v>
      </c>
      <c r="C22" s="17" t="n">
        <f aca="false">COUNTIFS('Order Tracking'!$B$5:$B$604,"&gt;="&amp;A22,'Order Tracking'!$B$5:$B$604,"&lt;"&amp;EDATE(A22,1))</f>
        <v>43</v>
      </c>
      <c r="I22" s="20" t="s">
        <v>45</v>
      </c>
      <c r="J22" s="16" t="n">
        <f aca="false">SUMIFS('Order Tracking'!$L$5:$L$604,'Order Tracking'!$I$5:$I$604,I22)</f>
        <v>6074915.32</v>
      </c>
      <c r="K22" s="17" t="n">
        <f aca="false">SUMIFS('Order Tracking'!$J$5:$J$604,'Order Tracking'!$I$5:$I$604,I22)</f>
        <v>992</v>
      </c>
    </row>
    <row r="23" customFormat="false" ht="15" hidden="false" customHeight="false" outlineLevel="0" collapsed="false">
      <c r="A23" s="15" t="n">
        <v>46143</v>
      </c>
      <c r="B23" s="16" t="n">
        <f aca="false">SUMIFS('Order Tracking'!$L$5:$L$604,'Order Tracking'!$B$5:$B$604,"&gt;="&amp;A23,'Order Tracking'!$B$5:$B$604,"&lt;"&amp;EDATE(A23,1))</f>
        <v>4170402.84</v>
      </c>
      <c r="C23" s="17" t="n">
        <f aca="false">COUNTIFS('Order Tracking'!$B$5:$B$604,"&gt;="&amp;A23,'Order Tracking'!$B$5:$B$604,"&lt;"&amp;EDATE(A23,1))</f>
        <v>53</v>
      </c>
      <c r="I23" s="20" t="s">
        <v>46</v>
      </c>
      <c r="J23" s="16" t="n">
        <f aca="false">SUMIFS('Order Tracking'!$L$5:$L$604,'Order Tracking'!$I$5:$I$604,I23)</f>
        <v>6042303.93</v>
      </c>
      <c r="K23" s="17" t="n">
        <f aca="false">SUMIFS('Order Tracking'!$J$5:$J$604,'Order Tracking'!$I$5:$I$604,I23)</f>
        <v>919</v>
      </c>
    </row>
    <row r="24" customFormat="false" ht="15" hidden="false" customHeight="false" outlineLevel="0" collapsed="false">
      <c r="A24" s="15" t="n">
        <v>46174</v>
      </c>
      <c r="B24" s="16" t="n">
        <f aca="false">SUMIFS('Order Tracking'!$L$5:$L$604,'Order Tracking'!$B$5:$B$604,"&gt;="&amp;A24,'Order Tracking'!$B$5:$B$604,"&lt;"&amp;EDATE(A24,1))</f>
        <v>3324809.03</v>
      </c>
      <c r="C24" s="17" t="n">
        <f aca="false">COUNTIFS('Order Tracking'!$B$5:$B$604,"&gt;="&amp;A24,'Order Tracking'!$B$5:$B$604,"&lt;"&amp;EDATE(A24,1))</f>
        <v>39</v>
      </c>
      <c r="I24" s="20" t="s">
        <v>47</v>
      </c>
      <c r="J24" s="16" t="n">
        <f aca="false">SUMIFS('Order Tracking'!$L$5:$L$604,'Order Tracking'!$I$5:$I$604,I24)</f>
        <v>4982635.54</v>
      </c>
      <c r="K24" s="17" t="n">
        <f aca="false">SUMIFS('Order Tracking'!$J$5:$J$604,'Order Tracking'!$I$5:$I$604,I24)</f>
        <v>937</v>
      </c>
    </row>
    <row r="25" customFormat="false" ht="15" hidden="false" customHeight="false" outlineLevel="0" collapsed="false">
      <c r="A25" s="15" t="n">
        <v>46204</v>
      </c>
      <c r="B25" s="16" t="n">
        <f aca="false">SUMIFS('Order Tracking'!$L$5:$L$604,'Order Tracking'!$B$5:$B$604,"&gt;="&amp;A25,'Order Tracking'!$B$5:$B$604,"&lt;"&amp;EDATE(A25,1))</f>
        <v>4635139.46</v>
      </c>
      <c r="C25" s="17" t="n">
        <f aca="false">COUNTIFS('Order Tracking'!$B$5:$B$604,"&gt;="&amp;A25,'Order Tracking'!$B$5:$B$604,"&lt;"&amp;EDATE(A25,1))</f>
        <v>48</v>
      </c>
    </row>
    <row r="26" customFormat="false" ht="15" hidden="false" customHeight="false" outlineLevel="0" collapsed="false">
      <c r="A26" s="15" t="n">
        <v>46235</v>
      </c>
      <c r="B26" s="16" t="n">
        <f aca="false">SUMIFS('Order Tracking'!$L$5:$L$604,'Order Tracking'!$B$5:$B$604,"&gt;="&amp;A26,'Order Tracking'!$B$5:$B$604,"&lt;"&amp;EDATE(A26,1))</f>
        <v>4350130.2</v>
      </c>
      <c r="C26" s="17" t="n">
        <f aca="false">COUNTIFS('Order Tracking'!$B$5:$B$604,"&gt;="&amp;A26,'Order Tracking'!$B$5:$B$604,"&lt;"&amp;EDATE(A26,1))</f>
        <v>56</v>
      </c>
    </row>
    <row r="27" customFormat="false" ht="15" hidden="false" customHeight="false" outlineLevel="0" collapsed="false">
      <c r="A27" s="15" t="n">
        <v>46266</v>
      </c>
      <c r="B27" s="16" t="n">
        <f aca="false">SUMIFS('Order Tracking'!$L$5:$L$604,'Order Tracking'!$B$5:$B$604,"&gt;="&amp;A27,'Order Tracking'!$B$5:$B$604,"&lt;"&amp;EDATE(A27,1))</f>
        <v>3937105.05</v>
      </c>
      <c r="C27" s="17" t="n">
        <f aca="false">COUNTIFS('Order Tracking'!$B$5:$B$604,"&gt;="&amp;A27,'Order Tracking'!$B$5:$B$604,"&lt;"&amp;EDATE(A27,1))</f>
        <v>54</v>
      </c>
    </row>
    <row r="28" customFormat="false" ht="15" hidden="false" customHeight="false" outlineLevel="0" collapsed="false">
      <c r="A28" s="15" t="n">
        <v>46296</v>
      </c>
      <c r="B28" s="16" t="n">
        <f aca="false">SUMIFS('Order Tracking'!$L$5:$L$604,'Order Tracking'!$B$5:$B$604,"&gt;="&amp;A28,'Order Tracking'!$B$5:$B$604,"&lt;"&amp;EDATE(A28,1))</f>
        <v>1868047.99</v>
      </c>
      <c r="C28" s="17" t="n">
        <f aca="false">COUNTIFS('Order Tracking'!$B$5:$B$604,"&gt;="&amp;A28,'Order Tracking'!$B$5:$B$604,"&lt;"&amp;EDATE(A28,1))</f>
        <v>17</v>
      </c>
    </row>
    <row r="31" customFormat="false" ht="21.75" hidden="false" customHeight="true" outlineLevel="0" collapsed="false">
      <c r="A31" s="7" t="s">
        <v>48</v>
      </c>
      <c r="B31" s="7"/>
      <c r="C31" s="7"/>
      <c r="E31" s="7" t="s">
        <v>49</v>
      </c>
      <c r="F31" s="7"/>
      <c r="G31" s="7"/>
      <c r="I31" s="7" t="s">
        <v>50</v>
      </c>
      <c r="J31" s="7"/>
      <c r="K31" s="7"/>
    </row>
    <row r="32" customFormat="false" ht="24" hidden="false" customHeight="true" outlineLevel="0" collapsed="false">
      <c r="A32" s="14" t="s">
        <v>33</v>
      </c>
      <c r="B32" s="8" t="s">
        <v>51</v>
      </c>
      <c r="C32" s="8" t="s">
        <v>52</v>
      </c>
      <c r="E32" s="14" t="s">
        <v>53</v>
      </c>
      <c r="F32" s="8" t="s">
        <v>54</v>
      </c>
      <c r="G32" s="8" t="s">
        <v>55</v>
      </c>
      <c r="I32" s="8" t="s">
        <v>28</v>
      </c>
      <c r="J32" s="8" t="s">
        <v>56</v>
      </c>
      <c r="K32" s="8" t="s">
        <v>57</v>
      </c>
    </row>
    <row r="33" customFormat="false" ht="15" hidden="false" customHeight="false" outlineLevel="0" collapsed="false">
      <c r="A33" s="20" t="s">
        <v>36</v>
      </c>
      <c r="B33" s="16" t="n">
        <f aca="false">SUMIFS('Inventory Management'!$O$5:$O$104,'Inventory Management'!$C$5:$C$104,A33)</f>
        <v>1860258.22</v>
      </c>
      <c r="C33" s="17" t="n">
        <f aca="false">SUMIFS('Inventory Management'!$K$5:$K$104,'Inventory Management'!$C$5:$C$104,A33)</f>
        <v>794</v>
      </c>
      <c r="E33" s="20" t="str">
        <f aca="false">'Supplier Performance Dashboard'!B12</f>
        <v>Apex Supplies</v>
      </c>
      <c r="F33" s="21" t="n">
        <f aca="false">'Supplier Performance Dashboard'!K12</f>
        <v>85.9</v>
      </c>
      <c r="G33" s="19" t="n">
        <f aca="false">'Supplier Performance Dashboard'!J12</f>
        <v>0.75</v>
      </c>
      <c r="I33" s="15" t="n">
        <v>45962</v>
      </c>
      <c r="J33" s="17" t="n">
        <f aca="false">COUNTIFS('Order Tracking'!$B$5:$B$604,"&gt;="&amp;I33,'Order Tracking'!$B$5:$B$604,"&lt;"&amp;EDATE(I33,1),'Order Tracking'!$M$5:$M$604,"Delivered")</f>
        <v>23</v>
      </c>
      <c r="K33" s="19" t="n">
        <f aca="false">IFERROR(J33/COUNTIFS('Order Tracking'!$B$5:$B$604,"&gt;="&amp;I33,'Order Tracking'!$B$5:$B$604,"&lt;"&amp;EDATE(I33,1)),0)</f>
        <v>0.46</v>
      </c>
    </row>
    <row r="34" customFormat="false" ht="15" hidden="false" customHeight="false" outlineLevel="0" collapsed="false">
      <c r="A34" s="20" t="s">
        <v>38</v>
      </c>
      <c r="B34" s="16" t="n">
        <f aca="false">SUMIFS('Inventory Management'!$O$5:$O$104,'Inventory Management'!$C$5:$C$104,A34)</f>
        <v>7122142.95</v>
      </c>
      <c r="C34" s="17" t="n">
        <f aca="false">SUMIFS('Inventory Management'!$K$5:$K$104,'Inventory Management'!$C$5:$C$104,A34)</f>
        <v>1310</v>
      </c>
      <c r="E34" s="20" t="str">
        <f aca="false">'Supplier Performance Dashboard'!B13</f>
        <v>Bright Distributors</v>
      </c>
      <c r="F34" s="21" t="n">
        <f aca="false">'Supplier Performance Dashboard'!K13</f>
        <v>69.8</v>
      </c>
      <c r="G34" s="19" t="n">
        <f aca="false">'Supplier Performance Dashboard'!J13</f>
        <v>0.5</v>
      </c>
      <c r="I34" s="15" t="n">
        <v>45992</v>
      </c>
      <c r="J34" s="17" t="n">
        <f aca="false">COUNTIFS('Order Tracking'!$B$5:$B$604,"&gt;="&amp;I34,'Order Tracking'!$B$5:$B$604,"&lt;"&amp;EDATE(I34,1),'Order Tracking'!$M$5:$M$604,"Delivered")</f>
        <v>20</v>
      </c>
      <c r="K34" s="19" t="n">
        <f aca="false">IFERROR(J34/COUNTIFS('Order Tracking'!$B$5:$B$604,"&gt;="&amp;I34,'Order Tracking'!$B$5:$B$604,"&lt;"&amp;EDATE(I34,1)),0)</f>
        <v>0.487804878048781</v>
      </c>
    </row>
    <row r="35" customFormat="false" ht="15" hidden="false" customHeight="false" outlineLevel="0" collapsed="false">
      <c r="A35" s="20" t="s">
        <v>40</v>
      </c>
      <c r="B35" s="16" t="n">
        <f aca="false">SUMIFS('Inventory Management'!$O$5:$O$104,'Inventory Management'!$C$5:$C$104,A35)</f>
        <v>13365786.18</v>
      </c>
      <c r="C35" s="17" t="n">
        <f aca="false">SUMIFS('Inventory Management'!$K$5:$K$104,'Inventory Management'!$C$5:$C$104,A35)</f>
        <v>4891</v>
      </c>
      <c r="E35" s="20" t="str">
        <f aca="false">'Supplier Performance Dashboard'!B14</f>
        <v>Core Industries</v>
      </c>
      <c r="F35" s="21" t="n">
        <f aca="false">'Supplier Performance Dashboard'!K14</f>
        <v>45.5</v>
      </c>
      <c r="G35" s="19" t="n">
        <f aca="false">'Supplier Performance Dashboard'!J14</f>
        <v>0</v>
      </c>
      <c r="I35" s="15" t="n">
        <v>46023</v>
      </c>
      <c r="J35" s="17" t="n">
        <f aca="false">COUNTIFS('Order Tracking'!$B$5:$B$604,"&gt;="&amp;I35,'Order Tracking'!$B$5:$B$604,"&lt;"&amp;EDATE(I35,1),'Order Tracking'!$M$5:$M$604,"Delivered")</f>
        <v>33</v>
      </c>
      <c r="K35" s="19" t="n">
        <f aca="false">IFERROR(J35/COUNTIFS('Order Tracking'!$B$5:$B$604,"&gt;="&amp;I35,'Order Tracking'!$B$5:$B$604,"&lt;"&amp;EDATE(I35,1)),0)</f>
        <v>0.702127659574468</v>
      </c>
    </row>
    <row r="36" customFormat="false" ht="15" hidden="false" customHeight="false" outlineLevel="0" collapsed="false">
      <c r="A36" s="20" t="s">
        <v>42</v>
      </c>
      <c r="B36" s="16" t="n">
        <f aca="false">SUMIFS('Inventory Management'!$O$5:$O$104,'Inventory Management'!$C$5:$C$104,A36)</f>
        <v>13705602.52</v>
      </c>
      <c r="C36" s="17" t="n">
        <f aca="false">SUMIFS('Inventory Management'!$K$5:$K$104,'Inventory Management'!$C$5:$C$104,A36)</f>
        <v>3350</v>
      </c>
      <c r="E36" s="20" t="str">
        <f aca="false">'Supplier Performance Dashboard'!B15</f>
        <v>Delta Trading Co.</v>
      </c>
      <c r="F36" s="21" t="n">
        <f aca="false">'Supplier Performance Dashboard'!K15</f>
        <v>70.2</v>
      </c>
      <c r="G36" s="19" t="n">
        <f aca="false">'Supplier Performance Dashboard'!J15</f>
        <v>0.5</v>
      </c>
      <c r="I36" s="15" t="n">
        <v>46054</v>
      </c>
      <c r="J36" s="17" t="n">
        <f aca="false">COUNTIFS('Order Tracking'!$B$5:$B$604,"&gt;="&amp;I36,'Order Tracking'!$B$5:$B$604,"&lt;"&amp;EDATE(I36,1),'Order Tracking'!$M$5:$M$604,"Delivered")</f>
        <v>26</v>
      </c>
      <c r="K36" s="19" t="n">
        <f aca="false">IFERROR(J36/COUNTIFS('Order Tracking'!$B$5:$B$604,"&gt;="&amp;I36,'Order Tracking'!$B$5:$B$604,"&lt;"&amp;EDATE(I36,1)),0)</f>
        <v>0.68421052631579</v>
      </c>
    </row>
    <row r="37" customFormat="false" ht="15" hidden="false" customHeight="false" outlineLevel="0" collapsed="false">
      <c r="A37" s="20" t="s">
        <v>44</v>
      </c>
      <c r="B37" s="16" t="n">
        <f aca="false">SUMIFS('Inventory Management'!$O$5:$O$104,'Inventory Management'!$C$5:$C$104,A37)</f>
        <v>19204320.18</v>
      </c>
      <c r="C37" s="17" t="n">
        <f aca="false">SUMIFS('Inventory Management'!$K$5:$K$104,'Inventory Management'!$C$5:$C$104,A37)</f>
        <v>3387</v>
      </c>
      <c r="E37" s="20" t="str">
        <f aca="false">'Supplier Performance Dashboard'!B16</f>
        <v>Ever Logistics</v>
      </c>
      <c r="F37" s="21" t="n">
        <f aca="false">'Supplier Performance Dashboard'!K16</f>
        <v>87.6</v>
      </c>
      <c r="G37" s="19" t="n">
        <f aca="false">'Supplier Performance Dashboard'!J16</f>
        <v>0.777777777777778</v>
      </c>
      <c r="I37" s="15" t="n">
        <v>46082</v>
      </c>
      <c r="J37" s="17" t="n">
        <f aca="false">COUNTIFS('Order Tracking'!$B$5:$B$604,"&gt;="&amp;I37,'Order Tracking'!$B$5:$B$604,"&lt;"&amp;EDATE(I37,1),'Order Tracking'!$M$5:$M$604,"Delivered")</f>
        <v>44</v>
      </c>
      <c r="K37" s="19" t="n">
        <f aca="false">IFERROR(J37/COUNTIFS('Order Tracking'!$B$5:$B$604,"&gt;="&amp;I37,'Order Tracking'!$B$5:$B$604,"&lt;"&amp;EDATE(I37,1)),0)</f>
        <v>0.698412698412698</v>
      </c>
    </row>
    <row r="38" customFormat="false" ht="15" hidden="false" customHeight="false" outlineLevel="0" collapsed="false">
      <c r="A38" s="20" t="s">
        <v>45</v>
      </c>
      <c r="B38" s="16" t="n">
        <f aca="false">SUMIFS('Inventory Management'!$O$5:$O$104,'Inventory Management'!$C$5:$C$104,A38)</f>
        <v>15464876.63</v>
      </c>
      <c r="C38" s="17" t="n">
        <f aca="false">SUMIFS('Inventory Management'!$K$5:$K$104,'Inventory Management'!$C$5:$C$104,A38)</f>
        <v>3682</v>
      </c>
      <c r="E38" s="20" t="str">
        <f aca="false">'Supplier Performance Dashboard'!B17</f>
        <v>Frontier Wholesale</v>
      </c>
      <c r="F38" s="21" t="n">
        <f aca="false">'Supplier Performance Dashboard'!K17</f>
        <v>64.1</v>
      </c>
      <c r="G38" s="19" t="n">
        <f aca="false">'Supplier Performance Dashboard'!J17</f>
        <v>0.285714285714286</v>
      </c>
      <c r="I38" s="15" t="n">
        <v>46113</v>
      </c>
      <c r="J38" s="17" t="n">
        <f aca="false">COUNTIFS('Order Tracking'!$B$5:$B$604,"&gt;="&amp;I38,'Order Tracking'!$B$5:$B$604,"&lt;"&amp;EDATE(I38,1),'Order Tracking'!$M$5:$M$604,"Delivered")</f>
        <v>24</v>
      </c>
      <c r="K38" s="19" t="n">
        <f aca="false">IFERROR(J38/COUNTIFS('Order Tracking'!$B$5:$B$604,"&gt;="&amp;I38,'Order Tracking'!$B$5:$B$604,"&lt;"&amp;EDATE(I38,1)),0)</f>
        <v>0.558139534883721</v>
      </c>
    </row>
    <row r="39" customFormat="false" ht="15" hidden="false" customHeight="false" outlineLevel="0" collapsed="false">
      <c r="A39" s="20" t="s">
        <v>46</v>
      </c>
      <c r="B39" s="16" t="n">
        <f aca="false">SUMIFS('Inventory Management'!$O$5:$O$104,'Inventory Management'!$C$5:$C$104,A39)</f>
        <v>8559432.62</v>
      </c>
      <c r="C39" s="17" t="n">
        <f aca="false">SUMIFS('Inventory Management'!$K$5:$K$104,'Inventory Management'!$C$5:$C$104,A39)</f>
        <v>2622</v>
      </c>
      <c r="E39" s="20" t="str">
        <f aca="false">'Supplier Performance Dashboard'!B18</f>
        <v>Global Partners</v>
      </c>
      <c r="F39" s="21" t="n">
        <f aca="false">'Supplier Performance Dashboard'!K18</f>
        <v>78.7</v>
      </c>
      <c r="G39" s="19" t="n">
        <f aca="false">'Supplier Performance Dashboard'!J18</f>
        <v>0.571428571428571</v>
      </c>
      <c r="I39" s="15" t="n">
        <v>46143</v>
      </c>
      <c r="J39" s="17" t="n">
        <f aca="false">COUNTIFS('Order Tracking'!$B$5:$B$604,"&gt;="&amp;I39,'Order Tracking'!$B$5:$B$604,"&lt;"&amp;EDATE(I39,1),'Order Tracking'!$M$5:$M$604,"Delivered")</f>
        <v>30</v>
      </c>
      <c r="K39" s="19" t="n">
        <f aca="false">IFERROR(J39/COUNTIFS('Order Tracking'!$B$5:$B$604,"&gt;="&amp;I39,'Order Tracking'!$B$5:$B$604,"&lt;"&amp;EDATE(I39,1)),0)</f>
        <v>0.566037735849057</v>
      </c>
    </row>
    <row r="40" customFormat="false" ht="15" hidden="false" customHeight="false" outlineLevel="0" collapsed="false">
      <c r="A40" s="20" t="s">
        <v>47</v>
      </c>
      <c r="B40" s="16" t="n">
        <f aca="false">SUMIFS('Inventory Management'!$O$5:$O$104,'Inventory Management'!$C$5:$C$104,A40)</f>
        <v>19360268.84</v>
      </c>
      <c r="C40" s="17" t="n">
        <f aca="false">SUMIFS('Inventory Management'!$K$5:$K$104,'Inventory Management'!$C$5:$C$104,A40)</f>
        <v>4389</v>
      </c>
      <c r="E40" s="20" t="str">
        <f aca="false">'Supplier Performance Dashboard'!B19</f>
        <v>Horizon Supplies</v>
      </c>
      <c r="F40" s="21" t="n">
        <f aca="false">'Supplier Performance Dashboard'!K19</f>
        <v>86.3</v>
      </c>
      <c r="G40" s="19" t="n">
        <f aca="false">'Supplier Performance Dashboard'!J19</f>
        <v>0.777777777777778</v>
      </c>
      <c r="I40" s="15" t="n">
        <v>46174</v>
      </c>
      <c r="J40" s="17" t="n">
        <f aca="false">COUNTIFS('Order Tracking'!$B$5:$B$604,"&gt;="&amp;I40,'Order Tracking'!$B$5:$B$604,"&lt;"&amp;EDATE(I40,1),'Order Tracking'!$M$5:$M$604,"Delivered")</f>
        <v>20</v>
      </c>
      <c r="K40" s="19" t="n">
        <f aca="false">IFERROR(J40/COUNTIFS('Order Tracking'!$B$5:$B$604,"&gt;="&amp;I40,'Order Tracking'!$B$5:$B$604,"&lt;"&amp;EDATE(I40,1)),0)</f>
        <v>0.512820512820513</v>
      </c>
    </row>
    <row r="41" customFormat="false" ht="15" hidden="false" customHeight="false" outlineLevel="0" collapsed="false">
      <c r="E41" s="20" t="str">
        <f aca="false">'Supplier Performance Dashboard'!B20</f>
        <v>Indus Distributors</v>
      </c>
      <c r="F41" s="21" t="n">
        <f aca="false">'Supplier Performance Dashboard'!K20</f>
        <v>88.1</v>
      </c>
      <c r="G41" s="19" t="n">
        <f aca="false">'Supplier Performance Dashboard'!J20</f>
        <v>0.75</v>
      </c>
      <c r="I41" s="15" t="n">
        <v>46204</v>
      </c>
      <c r="J41" s="17" t="n">
        <f aca="false">COUNTIFS('Order Tracking'!$B$5:$B$604,"&gt;="&amp;I41,'Order Tracking'!$B$5:$B$604,"&lt;"&amp;EDATE(I41,1),'Order Tracking'!$M$5:$M$604,"Delivered")</f>
        <v>28</v>
      </c>
      <c r="K41" s="19" t="n">
        <f aca="false">IFERROR(J41/COUNTIFS('Order Tracking'!$B$5:$B$604,"&gt;="&amp;I41,'Order Tracking'!$B$5:$B$604,"&lt;"&amp;EDATE(I41,1)),0)</f>
        <v>0.583333333333333</v>
      </c>
    </row>
    <row r="42" customFormat="false" ht="15" hidden="false" customHeight="false" outlineLevel="0" collapsed="false">
      <c r="E42" s="20" t="str">
        <f aca="false">'Supplier Performance Dashboard'!B21</f>
        <v>Jupiter Industries</v>
      </c>
      <c r="F42" s="21" t="n">
        <f aca="false">'Supplier Performance Dashboard'!K21</f>
        <v>87.6</v>
      </c>
      <c r="G42" s="19" t="n">
        <f aca="false">'Supplier Performance Dashboard'!J21</f>
        <v>0.777777777777778</v>
      </c>
      <c r="I42" s="15" t="n">
        <v>46235</v>
      </c>
      <c r="J42" s="17" t="n">
        <f aca="false">COUNTIFS('Order Tracking'!$B$5:$B$604,"&gt;="&amp;I42,'Order Tracking'!$B$5:$B$604,"&lt;"&amp;EDATE(I42,1),'Order Tracking'!$M$5:$M$604,"Delivered")</f>
        <v>35</v>
      </c>
      <c r="K42" s="19" t="n">
        <f aca="false">IFERROR(J42/COUNTIFS('Order Tracking'!$B$5:$B$604,"&gt;="&amp;I42,'Order Tracking'!$B$5:$B$604,"&lt;"&amp;EDATE(I42,1)),0)</f>
        <v>0.625</v>
      </c>
    </row>
    <row r="43" customFormat="false" ht="15" hidden="false" customHeight="false" outlineLevel="0" collapsed="false">
      <c r="I43" s="15" t="n">
        <v>46266</v>
      </c>
      <c r="J43" s="17" t="n">
        <f aca="false">COUNTIFS('Order Tracking'!$B$5:$B$604,"&gt;="&amp;I43,'Order Tracking'!$B$5:$B$604,"&lt;"&amp;EDATE(I43,1),'Order Tracking'!$M$5:$M$604,"Delivered")</f>
        <v>26</v>
      </c>
      <c r="K43" s="19" t="n">
        <f aca="false">IFERROR(J43/COUNTIFS('Order Tracking'!$B$5:$B$604,"&gt;="&amp;I43,'Order Tracking'!$B$5:$B$604,"&lt;"&amp;EDATE(I43,1)),0)</f>
        <v>0.481481481481481</v>
      </c>
    </row>
    <row r="44" customFormat="false" ht="15" hidden="false" customHeight="false" outlineLevel="0" collapsed="false">
      <c r="I44" s="15" t="n">
        <v>46296</v>
      </c>
      <c r="J44" s="17" t="n">
        <f aca="false">COUNTIFS('Order Tracking'!$B$5:$B$604,"&gt;="&amp;I44,'Order Tracking'!$B$5:$B$604,"&lt;"&amp;EDATE(I44,1),'Order Tracking'!$M$5:$M$604,"Delivered")</f>
        <v>8</v>
      </c>
      <c r="K44" s="19" t="n">
        <f aca="false">IFERROR(J44/COUNTIFS('Order Tracking'!$B$5:$B$604,"&gt;="&amp;I44,'Order Tracking'!$B$5:$B$604,"&lt;"&amp;EDATE(I44,1)),0)</f>
        <v>0.470588235294118</v>
      </c>
    </row>
    <row r="47" customFormat="false" ht="21.75" hidden="false" customHeight="true" outlineLevel="0" collapsed="false">
      <c r="A47" s="7" t="s">
        <v>58</v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customFormat="false" ht="19.5" hidden="false" customHeight="true" outlineLevel="0" collapsed="false">
      <c r="A48" s="22" t="s">
        <v>59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customFormat="false" ht="19.5" hidden="false" customHeight="true" outlineLevel="0" collapsed="false">
      <c r="A49" s="22" t="s">
        <v>60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customFormat="false" ht="19.5" hidden="false" customHeight="true" outlineLevel="0" collapsed="false">
      <c r="A50" s="22" t="s">
        <v>61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customFormat="false" ht="19.5" hidden="false" customHeight="true" outlineLevel="0" collapsed="false">
      <c r="A51" s="22" t="s">
        <v>62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customFormat="false" ht="19.5" hidden="false" customHeight="true" outlineLevel="0" collapsed="false">
      <c r="A52" s="22" t="s">
        <v>63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</row>
  </sheetData>
  <mergeCells count="35">
    <mergeCell ref="A1:X1"/>
    <mergeCell ref="A2:X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10:K10"/>
    <mergeCell ref="A15:C15"/>
    <mergeCell ref="E15:G15"/>
    <mergeCell ref="I15:K15"/>
    <mergeCell ref="A31:C31"/>
    <mergeCell ref="E31:G31"/>
    <mergeCell ref="I31:K31"/>
    <mergeCell ref="A47:K47"/>
    <mergeCell ref="A48:K48"/>
    <mergeCell ref="A49:K49"/>
    <mergeCell ref="A50:K50"/>
    <mergeCell ref="A51:K51"/>
    <mergeCell ref="A52:K52"/>
  </mergeCells>
  <dataValidations count="4">
    <dataValidation allowBlank="true" errorStyle="stop" showDropDown="false" showErrorMessage="false" showInputMessage="false" sqref="C12" type="list">
      <formula1>"All,North,South,East,West,Central"</formula1>
    </dataValidation>
    <dataValidation allowBlank="true" errorStyle="stop" showDropDown="false" showErrorMessage="false" showInputMessage="false" sqref="D12" type="list">
      <formula1>"All,Electronics,Home &amp; Kitchen,Office Supplies,Personal Care,Industrial,Packaging,Apparel,Automotive"</formula1>
    </dataValidation>
    <dataValidation allowBlank="true" errorStyle="stop" showDropDown="false" showErrorMessage="false" showInputMessage="false" sqref="E12" type="list">
      <formula1>"All,Delivered,Pending,Processing,Dispatched,Cancelled"</formula1>
    </dataValidation>
    <dataValidation allowBlank="true" errorStyle="stop" showDropDown="false" showErrorMessage="false" showInputMessage="false" sqref="F12" type="list">
      <formula1>"All,SUP001,SUP002,SUP003,SUP004,SUP005,SUP006,SUP007,SUP008,SUP009,SUP010,SUP011,SUP012,SUP013,SUP014,SUP015,SUP016,SUP017,SUP018,SUP019,SUP020,SUP021,SUP022,SUP023,SUP024,SUP025"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1"/>
    <col collapsed="false" customWidth="true" hidden="false" outlineLevel="0" max="3" min="3" style="0" width="23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17" min="9" style="0" width="12"/>
  </cols>
  <sheetData>
    <row r="1" customFormat="false" ht="27.7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9.75" hidden="false" customHeight="true" outlineLevel="0" collapsed="false"/>
    <row r="4" customFormat="false" ht="18.75" hidden="false" customHeight="true" outlineLevel="0" collapsed="false">
      <c r="A4" s="3" t="s">
        <v>66</v>
      </c>
      <c r="B4" s="3"/>
      <c r="C4" s="3" t="s">
        <v>67</v>
      </c>
      <c r="D4" s="3"/>
      <c r="E4" s="3" t="s">
        <v>5</v>
      </c>
      <c r="F4" s="3"/>
      <c r="G4" s="3" t="s">
        <v>68</v>
      </c>
      <c r="H4" s="3"/>
    </row>
    <row r="5" customFormat="false" ht="25.5" hidden="false" customHeight="true" outlineLevel="0" collapsed="false">
      <c r="A5" s="4" t="n">
        <f aca="false">COUNTA('Inventory Management'!$A$5:$A$104)</f>
        <v>100</v>
      </c>
      <c r="B5" s="4"/>
      <c r="C5" s="4" t="n">
        <f aca="false">SUM('Inventory Management'!$K$5:$K$104)</f>
        <v>24425</v>
      </c>
      <c r="D5" s="4"/>
      <c r="E5" s="5" t="n">
        <f aca="false">SUM('Inventory Management'!$O$5:$O$104)</f>
        <v>98642688.14</v>
      </c>
      <c r="F5" s="5"/>
      <c r="G5" s="6" t="n">
        <f aca="false">IFERROR(COUNTIF('Inventory Management'!$K$5:$K$104,"&gt;0")/COUNTA('Inventory Management'!$A$5:$A$104),0)</f>
        <v>0.89</v>
      </c>
      <c r="H5" s="6"/>
    </row>
    <row r="7" customFormat="false" ht="18.75" hidden="false" customHeight="true" outlineLevel="0" collapsed="false">
      <c r="A7" s="3" t="s">
        <v>69</v>
      </c>
      <c r="B7" s="3"/>
      <c r="C7" s="3" t="s">
        <v>70</v>
      </c>
      <c r="D7" s="3"/>
      <c r="E7" s="3" t="s">
        <v>71</v>
      </c>
      <c r="F7" s="3"/>
      <c r="G7" s="3" t="s">
        <v>72</v>
      </c>
      <c r="H7" s="3"/>
    </row>
    <row r="8" customFormat="false" ht="25.5" hidden="false" customHeight="true" outlineLevel="0" collapsed="false">
      <c r="A8" s="4" t="n">
        <f aca="false">COUNTIF('Inventory Management'!$P$5:$P$104,"Low Stock")</f>
        <v>9</v>
      </c>
      <c r="B8" s="4"/>
      <c r="C8" s="4" t="n">
        <f aca="false">COUNTIF('Inventory Management'!$P$5:$P$104,"Out of Stock")</f>
        <v>11</v>
      </c>
      <c r="D8" s="4"/>
      <c r="E8" s="4" t="n">
        <f aca="false">COUNTIF('Inventory Management'!$P$5:$P$104,"Overstocked")</f>
        <v>17</v>
      </c>
      <c r="F8" s="4"/>
      <c r="G8" s="4" t="n">
        <f aca="false">COUNTIF('Inventory Management'!$P$5:$P$104,"Healthy Stock")</f>
        <v>63</v>
      </c>
      <c r="H8" s="4"/>
    </row>
    <row r="10" customFormat="false" ht="21.75" hidden="false" customHeight="true" outlineLevel="0" collapsed="false">
      <c r="A10" s="7" t="s">
        <v>73</v>
      </c>
      <c r="B10" s="7"/>
      <c r="C10" s="7"/>
      <c r="E10" s="7" t="s">
        <v>74</v>
      </c>
      <c r="F10" s="7"/>
      <c r="G10" s="7"/>
    </row>
    <row r="11" customFormat="false" ht="24" hidden="false" customHeight="true" outlineLevel="0" collapsed="false">
      <c r="A11" s="14" t="s">
        <v>33</v>
      </c>
      <c r="B11" s="8" t="s">
        <v>52</v>
      </c>
      <c r="C11" s="8" t="s">
        <v>51</v>
      </c>
      <c r="E11" s="14" t="s">
        <v>75</v>
      </c>
      <c r="F11" s="8" t="s">
        <v>52</v>
      </c>
      <c r="G11" s="8" t="s">
        <v>51</v>
      </c>
    </row>
    <row r="12" customFormat="false" ht="15" hidden="false" customHeight="false" outlineLevel="0" collapsed="false">
      <c r="A12" s="20" t="s">
        <v>36</v>
      </c>
      <c r="B12" s="17" t="n">
        <f aca="false">SUMIFS('Inventory Management'!$K$5:$K$104,'Inventory Management'!$C$5:$C$104,A12)</f>
        <v>794</v>
      </c>
      <c r="C12" s="16" t="n">
        <f aca="false">SUMIFS('Inventory Management'!$O$5:$O$104,'Inventory Management'!$C$5:$C$104,A12)</f>
        <v>1860258.22</v>
      </c>
      <c r="E12" s="20" t="s">
        <v>76</v>
      </c>
      <c r="F12" s="17" t="n">
        <f aca="false">SUMIFS('Inventory Management'!$K$5:$K$104,'Inventory Management'!$F$5:$F$104,E12)</f>
        <v>5601</v>
      </c>
      <c r="G12" s="16" t="n">
        <f aca="false">SUMIFS('Inventory Management'!$O$5:$O$104,'Inventory Management'!$F$5:$F$104,E12)</f>
        <v>20277838.53</v>
      </c>
    </row>
    <row r="13" customFormat="false" ht="15" hidden="false" customHeight="false" outlineLevel="0" collapsed="false">
      <c r="A13" s="20" t="s">
        <v>38</v>
      </c>
      <c r="B13" s="17" t="n">
        <f aca="false">SUMIFS('Inventory Management'!$K$5:$K$104,'Inventory Management'!$C$5:$C$104,A13)</f>
        <v>1310</v>
      </c>
      <c r="C13" s="16" t="n">
        <f aca="false">SUMIFS('Inventory Management'!$O$5:$O$104,'Inventory Management'!$C$5:$C$104,A13)</f>
        <v>7122142.95</v>
      </c>
      <c r="E13" s="20" t="s">
        <v>77</v>
      </c>
      <c r="F13" s="17" t="n">
        <f aca="false">SUMIFS('Inventory Management'!$K$5:$K$104,'Inventory Management'!$F$5:$F$104,E13)</f>
        <v>4093</v>
      </c>
      <c r="G13" s="16" t="n">
        <f aca="false">SUMIFS('Inventory Management'!$O$5:$O$104,'Inventory Management'!$F$5:$F$104,E13)</f>
        <v>18027087.97</v>
      </c>
    </row>
    <row r="14" customFormat="false" ht="15" hidden="false" customHeight="false" outlineLevel="0" collapsed="false">
      <c r="A14" s="20" t="s">
        <v>40</v>
      </c>
      <c r="B14" s="17" t="n">
        <f aca="false">SUMIFS('Inventory Management'!$K$5:$K$104,'Inventory Management'!$C$5:$C$104,A14)</f>
        <v>4891</v>
      </c>
      <c r="C14" s="16" t="n">
        <f aca="false">SUMIFS('Inventory Management'!$O$5:$O$104,'Inventory Management'!$C$5:$C$104,A14)</f>
        <v>13365786.18</v>
      </c>
      <c r="E14" s="20" t="s">
        <v>78</v>
      </c>
      <c r="F14" s="17" t="n">
        <f aca="false">SUMIFS('Inventory Management'!$K$5:$K$104,'Inventory Management'!$F$5:$F$104,E14)</f>
        <v>3758</v>
      </c>
      <c r="G14" s="16" t="n">
        <f aca="false">SUMIFS('Inventory Management'!$O$5:$O$104,'Inventory Management'!$F$5:$F$104,E14)</f>
        <v>21265259.39</v>
      </c>
    </row>
    <row r="15" customFormat="false" ht="15" hidden="false" customHeight="false" outlineLevel="0" collapsed="false">
      <c r="A15" s="20" t="s">
        <v>42</v>
      </c>
      <c r="B15" s="17" t="n">
        <f aca="false">SUMIFS('Inventory Management'!$K$5:$K$104,'Inventory Management'!$C$5:$C$104,A15)</f>
        <v>3350</v>
      </c>
      <c r="C15" s="16" t="n">
        <f aca="false">SUMIFS('Inventory Management'!$O$5:$O$104,'Inventory Management'!$C$5:$C$104,A15)</f>
        <v>13705602.52</v>
      </c>
      <c r="E15" s="20" t="s">
        <v>79</v>
      </c>
      <c r="F15" s="17" t="n">
        <f aca="false">SUMIFS('Inventory Management'!$K$5:$K$104,'Inventory Management'!$F$5:$F$104,E15)</f>
        <v>6712</v>
      </c>
      <c r="G15" s="16" t="n">
        <f aca="false">SUMIFS('Inventory Management'!$O$5:$O$104,'Inventory Management'!$F$5:$F$104,E15)</f>
        <v>25971114.98</v>
      </c>
    </row>
    <row r="16" customFormat="false" ht="15" hidden="false" customHeight="false" outlineLevel="0" collapsed="false">
      <c r="A16" s="20" t="s">
        <v>44</v>
      </c>
      <c r="B16" s="17" t="n">
        <f aca="false">SUMIFS('Inventory Management'!$K$5:$K$104,'Inventory Management'!$C$5:$C$104,A16)</f>
        <v>3387</v>
      </c>
      <c r="C16" s="16" t="n">
        <f aca="false">SUMIFS('Inventory Management'!$O$5:$O$104,'Inventory Management'!$C$5:$C$104,A16)</f>
        <v>19204320.18</v>
      </c>
      <c r="E16" s="20" t="s">
        <v>80</v>
      </c>
      <c r="F16" s="17" t="n">
        <f aca="false">SUMIFS('Inventory Management'!$K$5:$K$104,'Inventory Management'!$F$5:$F$104,E16)</f>
        <v>4261</v>
      </c>
      <c r="G16" s="16" t="n">
        <f aca="false">SUMIFS('Inventory Management'!$O$5:$O$104,'Inventory Management'!$F$5:$F$104,E16)</f>
        <v>13101387.27</v>
      </c>
    </row>
    <row r="17" customFormat="false" ht="15" hidden="false" customHeight="false" outlineLevel="0" collapsed="false">
      <c r="A17" s="20" t="s">
        <v>45</v>
      </c>
      <c r="B17" s="17" t="n">
        <f aca="false">SUMIFS('Inventory Management'!$K$5:$K$104,'Inventory Management'!$C$5:$C$104,A17)</f>
        <v>3682</v>
      </c>
      <c r="C17" s="16" t="n">
        <f aca="false">SUMIFS('Inventory Management'!$O$5:$O$104,'Inventory Management'!$C$5:$C$104,A17)</f>
        <v>15464876.63</v>
      </c>
    </row>
    <row r="18" customFormat="false" ht="15" hidden="false" customHeight="false" outlineLevel="0" collapsed="false">
      <c r="A18" s="20" t="s">
        <v>46</v>
      </c>
      <c r="B18" s="17" t="n">
        <f aca="false">SUMIFS('Inventory Management'!$K$5:$K$104,'Inventory Management'!$C$5:$C$104,A18)</f>
        <v>2622</v>
      </c>
      <c r="C18" s="16" t="n">
        <f aca="false">SUMIFS('Inventory Management'!$O$5:$O$104,'Inventory Management'!$C$5:$C$104,A18)</f>
        <v>8559432.62</v>
      </c>
    </row>
    <row r="19" customFormat="false" ht="15" hidden="false" customHeight="false" outlineLevel="0" collapsed="false">
      <c r="A19" s="20" t="s">
        <v>47</v>
      </c>
      <c r="B19" s="17" t="n">
        <f aca="false">SUMIFS('Inventory Management'!$K$5:$K$104,'Inventory Management'!$C$5:$C$104,A19)</f>
        <v>4389</v>
      </c>
      <c r="C19" s="16" t="n">
        <f aca="false">SUMIFS('Inventory Management'!$O$5:$O$104,'Inventory Management'!$C$5:$C$104,A19)</f>
        <v>19360268.84</v>
      </c>
    </row>
    <row r="22" customFormat="false" ht="21.75" hidden="false" customHeight="true" outlineLevel="0" collapsed="false">
      <c r="A22" s="7" t="s">
        <v>81</v>
      </c>
      <c r="B22" s="7"/>
      <c r="C22" s="7"/>
      <c r="D22" s="7"/>
    </row>
    <row r="23" customFormat="false" ht="24" hidden="false" customHeight="true" outlineLevel="0" collapsed="false">
      <c r="A23" s="8" t="s">
        <v>28</v>
      </c>
      <c r="B23" s="8" t="s">
        <v>82</v>
      </c>
      <c r="C23" s="8" t="s">
        <v>83</v>
      </c>
      <c r="D23" s="8" t="s">
        <v>84</v>
      </c>
    </row>
    <row r="24" customFormat="false" ht="15" hidden="false" customHeight="false" outlineLevel="0" collapsed="false">
      <c r="A24" s="15" t="n">
        <v>45962</v>
      </c>
      <c r="B24" s="17" t="n">
        <f aca="false">SUMIFS('Purchase Management'!$L$5:$L$224,'Purchase Management'!$B$5:$B$224,"&gt;="&amp;A24,'Purchase Management'!$B$5:$B$224,"&lt;"&amp;EDATE(A24,1))</f>
        <v>2472</v>
      </c>
      <c r="C24" s="17" t="n">
        <f aca="false">SUMIFS('Order Tracking'!$J$5:$J$604,'Order Tracking'!$B$5:$B$604,"&gt;="&amp;A24,'Order Tracking'!$B$5:$B$604,"&lt;"&amp;EDATE(A24,1),'Order Tracking'!$M$5:$M$604,"&lt;&gt;Cancelled")</f>
        <v>680</v>
      </c>
      <c r="D24" s="17" t="n">
        <f aca="false">B24-C24</f>
        <v>1792</v>
      </c>
    </row>
    <row r="25" customFormat="false" ht="15" hidden="false" customHeight="false" outlineLevel="0" collapsed="false">
      <c r="A25" s="15" t="n">
        <v>45992</v>
      </c>
      <c r="B25" s="17" t="n">
        <f aca="false">SUMIFS('Purchase Management'!$L$5:$L$224,'Purchase Management'!$B$5:$B$224,"&gt;="&amp;A25,'Purchase Management'!$B$5:$B$224,"&lt;"&amp;EDATE(A25,1))</f>
        <v>2670</v>
      </c>
      <c r="C25" s="17" t="n">
        <f aca="false">SUMIFS('Order Tracking'!$J$5:$J$604,'Order Tracking'!$B$5:$B$604,"&gt;="&amp;A25,'Order Tracking'!$B$5:$B$604,"&lt;"&amp;EDATE(A25,1),'Order Tracking'!$M$5:$M$604,"&lt;&gt;Cancelled")</f>
        <v>499</v>
      </c>
      <c r="D25" s="17" t="n">
        <f aca="false">B25-C25</f>
        <v>2171</v>
      </c>
    </row>
    <row r="26" customFormat="false" ht="15" hidden="false" customHeight="false" outlineLevel="0" collapsed="false">
      <c r="A26" s="15" t="n">
        <v>46023</v>
      </c>
      <c r="B26" s="17" t="n">
        <f aca="false">SUMIFS('Purchase Management'!$L$5:$L$224,'Purchase Management'!$B$5:$B$224,"&gt;="&amp;A26,'Purchase Management'!$B$5:$B$224,"&lt;"&amp;EDATE(A26,1))</f>
        <v>2377</v>
      </c>
      <c r="C26" s="17" t="n">
        <f aca="false">SUMIFS('Order Tracking'!$J$5:$J$604,'Order Tracking'!$B$5:$B$604,"&gt;="&amp;A26,'Order Tracking'!$B$5:$B$604,"&lt;"&amp;EDATE(A26,1),'Order Tracking'!$M$5:$M$604,"&lt;&gt;Cancelled")</f>
        <v>581</v>
      </c>
      <c r="D26" s="17" t="n">
        <f aca="false">B26-C26</f>
        <v>1796</v>
      </c>
    </row>
    <row r="27" customFormat="false" ht="15" hidden="false" customHeight="false" outlineLevel="0" collapsed="false">
      <c r="A27" s="15" t="n">
        <v>46054</v>
      </c>
      <c r="B27" s="17" t="n">
        <f aca="false">SUMIFS('Purchase Management'!$L$5:$L$224,'Purchase Management'!$B$5:$B$224,"&gt;="&amp;A27,'Purchase Management'!$B$5:$B$224,"&lt;"&amp;EDATE(A27,1))</f>
        <v>1316</v>
      </c>
      <c r="C27" s="17" t="n">
        <f aca="false">SUMIFS('Order Tracking'!$J$5:$J$604,'Order Tracking'!$B$5:$B$604,"&gt;="&amp;A27,'Order Tracking'!$B$5:$B$604,"&lt;"&amp;EDATE(A27,1),'Order Tracking'!$M$5:$M$604,"&lt;&gt;Cancelled")</f>
        <v>511</v>
      </c>
      <c r="D27" s="17" t="n">
        <f aca="false">B27-C27</f>
        <v>805</v>
      </c>
    </row>
    <row r="28" customFormat="false" ht="15" hidden="false" customHeight="false" outlineLevel="0" collapsed="false">
      <c r="A28" s="15" t="n">
        <v>46082</v>
      </c>
      <c r="B28" s="17" t="n">
        <f aca="false">SUMIFS('Purchase Management'!$L$5:$L$224,'Purchase Management'!$B$5:$B$224,"&gt;="&amp;A28,'Purchase Management'!$B$5:$B$224,"&lt;"&amp;EDATE(A28,1))</f>
        <v>3722</v>
      </c>
      <c r="C28" s="17" t="n">
        <f aca="false">SUMIFS('Order Tracking'!$J$5:$J$604,'Order Tracking'!$B$5:$B$604,"&gt;="&amp;A28,'Order Tracking'!$B$5:$B$604,"&lt;"&amp;EDATE(A28,1),'Order Tracking'!$M$5:$M$604,"&lt;&gt;Cancelled")</f>
        <v>781</v>
      </c>
      <c r="D28" s="17" t="n">
        <f aca="false">B28-C28</f>
        <v>2941</v>
      </c>
    </row>
    <row r="29" customFormat="false" ht="15" hidden="false" customHeight="false" outlineLevel="0" collapsed="false">
      <c r="A29" s="15" t="n">
        <v>46113</v>
      </c>
      <c r="B29" s="17" t="n">
        <f aca="false">SUMIFS('Purchase Management'!$L$5:$L$224,'Purchase Management'!$B$5:$B$224,"&gt;="&amp;A29,'Purchase Management'!$B$5:$B$224,"&lt;"&amp;EDATE(A29,1))</f>
        <v>2100</v>
      </c>
      <c r="C29" s="17" t="n">
        <f aca="false">SUMIFS('Order Tracking'!$J$5:$J$604,'Order Tracking'!$B$5:$B$604,"&gt;="&amp;A29,'Order Tracking'!$B$5:$B$604,"&lt;"&amp;EDATE(A29,1),'Order Tracking'!$M$5:$M$604,"&lt;&gt;Cancelled")</f>
        <v>516</v>
      </c>
      <c r="D29" s="17" t="n">
        <f aca="false">B29-C29</f>
        <v>1584</v>
      </c>
    </row>
    <row r="30" customFormat="false" ht="15" hidden="false" customHeight="false" outlineLevel="0" collapsed="false">
      <c r="A30" s="15" t="n">
        <v>46143</v>
      </c>
      <c r="B30" s="17" t="n">
        <f aca="false">SUMIFS('Purchase Management'!$L$5:$L$224,'Purchase Management'!$B$5:$B$224,"&gt;="&amp;A30,'Purchase Management'!$B$5:$B$224,"&lt;"&amp;EDATE(A30,1))</f>
        <v>5569</v>
      </c>
      <c r="C30" s="17" t="n">
        <f aca="false">SUMIFS('Order Tracking'!$J$5:$J$604,'Order Tracking'!$B$5:$B$604,"&gt;="&amp;A30,'Order Tracking'!$B$5:$B$604,"&lt;"&amp;EDATE(A30,1),'Order Tracking'!$M$5:$M$604,"&lt;&gt;Cancelled")</f>
        <v>691</v>
      </c>
      <c r="D30" s="17" t="n">
        <f aca="false">B30-C30</f>
        <v>4878</v>
      </c>
    </row>
    <row r="31" customFormat="false" ht="15" hidden="false" customHeight="false" outlineLevel="0" collapsed="false">
      <c r="A31" s="15" t="n">
        <v>46174</v>
      </c>
      <c r="B31" s="17" t="n">
        <f aca="false">SUMIFS('Purchase Management'!$L$5:$L$224,'Purchase Management'!$B$5:$B$224,"&gt;="&amp;A31,'Purchase Management'!$B$5:$B$224,"&lt;"&amp;EDATE(A31,1))</f>
        <v>2339</v>
      </c>
      <c r="C31" s="17" t="n">
        <f aca="false">SUMIFS('Order Tracking'!$J$5:$J$604,'Order Tracking'!$B$5:$B$604,"&gt;="&amp;A31,'Order Tracking'!$B$5:$B$604,"&lt;"&amp;EDATE(A31,1),'Order Tracking'!$M$5:$M$604,"&lt;&gt;Cancelled")</f>
        <v>472</v>
      </c>
      <c r="D31" s="17" t="n">
        <f aca="false">B31-C31</f>
        <v>1867</v>
      </c>
    </row>
    <row r="32" customFormat="false" ht="15" hidden="false" customHeight="false" outlineLevel="0" collapsed="false">
      <c r="A32" s="15" t="n">
        <v>46204</v>
      </c>
      <c r="B32" s="17" t="n">
        <f aca="false">SUMIFS('Purchase Management'!$L$5:$L$224,'Purchase Management'!$B$5:$B$224,"&gt;="&amp;A32,'Purchase Management'!$B$5:$B$224,"&lt;"&amp;EDATE(A32,1))</f>
        <v>3525</v>
      </c>
      <c r="C32" s="17" t="n">
        <f aca="false">SUMIFS('Order Tracking'!$J$5:$J$604,'Order Tracking'!$B$5:$B$604,"&gt;="&amp;A32,'Order Tracking'!$B$5:$B$604,"&lt;"&amp;EDATE(A32,1),'Order Tracking'!$M$5:$M$604,"&lt;&gt;Cancelled")</f>
        <v>634</v>
      </c>
      <c r="D32" s="17" t="n">
        <f aca="false">B32-C32</f>
        <v>2891</v>
      </c>
    </row>
    <row r="33" customFormat="false" ht="15" hidden="false" customHeight="false" outlineLevel="0" collapsed="false">
      <c r="A33" s="15" t="n">
        <v>46235</v>
      </c>
      <c r="B33" s="17" t="n">
        <f aca="false">SUMIFS('Purchase Management'!$L$5:$L$224,'Purchase Management'!$B$5:$B$224,"&gt;="&amp;A33,'Purchase Management'!$B$5:$B$224,"&lt;"&amp;EDATE(A33,1))</f>
        <v>3017</v>
      </c>
      <c r="C33" s="17" t="n">
        <f aca="false">SUMIFS('Order Tracking'!$J$5:$J$604,'Order Tracking'!$B$5:$B$604,"&gt;="&amp;A33,'Order Tracking'!$B$5:$B$604,"&lt;"&amp;EDATE(A33,1),'Order Tracking'!$M$5:$M$604,"&lt;&gt;Cancelled")</f>
        <v>666</v>
      </c>
      <c r="D33" s="17" t="n">
        <f aca="false">B33-C33</f>
        <v>2351</v>
      </c>
    </row>
    <row r="34" customFormat="false" ht="15" hidden="false" customHeight="false" outlineLevel="0" collapsed="false">
      <c r="A34" s="15" t="n">
        <v>46266</v>
      </c>
      <c r="B34" s="17" t="n">
        <f aca="false">SUMIFS('Purchase Management'!$L$5:$L$224,'Purchase Management'!$B$5:$B$224,"&gt;="&amp;A34,'Purchase Management'!$B$5:$B$224,"&lt;"&amp;EDATE(A34,1))</f>
        <v>3388</v>
      </c>
      <c r="C34" s="17" t="n">
        <f aca="false">SUMIFS('Order Tracking'!$J$5:$J$604,'Order Tracking'!$B$5:$B$604,"&gt;="&amp;A34,'Order Tracking'!$B$5:$B$604,"&lt;"&amp;EDATE(A34,1),'Order Tracking'!$M$5:$M$604,"&lt;&gt;Cancelled")</f>
        <v>564</v>
      </c>
      <c r="D34" s="17" t="n">
        <f aca="false">B34-C34</f>
        <v>2824</v>
      </c>
    </row>
    <row r="35" customFormat="false" ht="15" hidden="false" customHeight="false" outlineLevel="0" collapsed="false">
      <c r="A35" s="15" t="n">
        <v>46296</v>
      </c>
      <c r="B35" s="17" t="n">
        <f aca="false">SUMIFS('Purchase Management'!$L$5:$L$224,'Purchase Management'!$B$5:$B$224,"&gt;="&amp;A35,'Purchase Management'!$B$5:$B$224,"&lt;"&amp;EDATE(A35,1))</f>
        <v>2751</v>
      </c>
      <c r="C35" s="17" t="n">
        <f aca="false">SUMIFS('Order Tracking'!$J$5:$J$604,'Order Tracking'!$B$5:$B$604,"&gt;="&amp;A35,'Order Tracking'!$B$5:$B$604,"&lt;"&amp;EDATE(A35,1),'Order Tracking'!$M$5:$M$604,"&lt;&gt;Cancelled")</f>
        <v>235</v>
      </c>
      <c r="D35" s="17" t="n">
        <f aca="false">B35-C35</f>
        <v>2516</v>
      </c>
    </row>
    <row r="38" customFormat="false" ht="21.75" hidden="false" customHeight="true" outlineLevel="0" collapsed="false">
      <c r="A38" s="7" t="s">
        <v>85</v>
      </c>
      <c r="B38" s="7"/>
      <c r="C38" s="7"/>
      <c r="D38" s="7"/>
      <c r="E38" s="7"/>
      <c r="F38" s="7"/>
      <c r="G38" s="7"/>
      <c r="H38" s="7"/>
    </row>
    <row r="39" customFormat="false" ht="24" hidden="false" customHeight="true" outlineLevel="0" collapsed="false">
      <c r="A39" s="8" t="s">
        <v>86</v>
      </c>
      <c r="B39" s="14" t="s">
        <v>87</v>
      </c>
      <c r="C39" s="14" t="s">
        <v>33</v>
      </c>
      <c r="D39" s="14" t="s">
        <v>75</v>
      </c>
      <c r="E39" s="8" t="s">
        <v>88</v>
      </c>
      <c r="F39" s="8" t="s">
        <v>89</v>
      </c>
      <c r="G39" s="8" t="s">
        <v>90</v>
      </c>
      <c r="H39" s="8" t="s">
        <v>91</v>
      </c>
    </row>
    <row r="40" customFormat="false" ht="15" hidden="false" customHeight="false" outlineLevel="0" collapsed="false">
      <c r="A40" s="18" t="str">
        <f aca="false">'Inventory Management'!A5</f>
        <v>PRD001</v>
      </c>
      <c r="B40" s="20" t="str">
        <f aca="false">'Inventory Management'!B5</f>
        <v>Everyday Electronics Item 001</v>
      </c>
      <c r="C40" s="20" t="str">
        <f aca="false">'Inventory Management'!C5</f>
        <v>Electronics</v>
      </c>
      <c r="D40" s="20" t="str">
        <f aca="false">'Inventory Management'!F5</f>
        <v>Mumbai WH</v>
      </c>
      <c r="E40" s="17" t="n">
        <f aca="false">'Inventory Management'!K5</f>
        <v>0</v>
      </c>
      <c r="F40" s="17" t="n">
        <f aca="false">'Inventory Management'!L5</f>
        <v>55</v>
      </c>
      <c r="G40" s="23" t="str">
        <f aca="false">'Inventory Management'!P5</f>
        <v>Out of Stock</v>
      </c>
      <c r="H40" s="17" t="n">
        <f aca="false">'Inventory Management'!Q5</f>
        <v>275</v>
      </c>
    </row>
    <row r="41" customFormat="false" ht="15" hidden="false" customHeight="false" outlineLevel="0" collapsed="false">
      <c r="A41" s="18" t="str">
        <f aca="false">'Inventory Management'!A6</f>
        <v>PRD002</v>
      </c>
      <c r="B41" s="20" t="str">
        <f aca="false">'Inventory Management'!B6</f>
        <v>Premium Home Item 002</v>
      </c>
      <c r="C41" s="20" t="str">
        <f aca="false">'Inventory Management'!C6</f>
        <v>Home &amp; Kitchen</v>
      </c>
      <c r="D41" s="20" t="str">
        <f aca="false">'Inventory Management'!F6</f>
        <v>Raipur WH</v>
      </c>
      <c r="E41" s="17" t="n">
        <f aca="false">'Inventory Management'!K6</f>
        <v>9</v>
      </c>
      <c r="F41" s="17" t="n">
        <f aca="false">'Inventory Management'!L6</f>
        <v>42</v>
      </c>
      <c r="G41" s="23" t="str">
        <f aca="false">'Inventory Management'!P6</f>
        <v>Low Stock</v>
      </c>
      <c r="H41" s="17" t="n">
        <f aca="false">'Inventory Management'!Q6</f>
        <v>285</v>
      </c>
    </row>
    <row r="42" customFormat="false" ht="15" hidden="false" customHeight="false" outlineLevel="0" collapsed="false">
      <c r="A42" s="18" t="str">
        <f aca="false">'Inventory Management'!A9</f>
        <v>PRD005</v>
      </c>
      <c r="B42" s="20" t="str">
        <f aca="false">'Inventory Management'!B9</f>
        <v>Everyday Industrial Item 005</v>
      </c>
      <c r="C42" s="20" t="str">
        <f aca="false">'Inventory Management'!C9</f>
        <v>Industrial</v>
      </c>
      <c r="D42" s="20" t="str">
        <f aca="false">'Inventory Management'!F9</f>
        <v>Delhi WH</v>
      </c>
      <c r="E42" s="17" t="n">
        <f aca="false">'Inventory Management'!K9</f>
        <v>0</v>
      </c>
      <c r="F42" s="17" t="n">
        <f aca="false">'Inventory Management'!L9</f>
        <v>28</v>
      </c>
      <c r="G42" s="23" t="str">
        <f aca="false">'Inventory Management'!P9</f>
        <v>Out of Stock</v>
      </c>
      <c r="H42" s="17" t="n">
        <f aca="false">'Inventory Management'!Q9</f>
        <v>112</v>
      </c>
    </row>
    <row r="43" customFormat="false" ht="15" hidden="false" customHeight="false" outlineLevel="0" collapsed="false">
      <c r="A43" s="18" t="str">
        <f aca="false">'Inventory Management'!A13</f>
        <v>PRD009</v>
      </c>
      <c r="B43" s="20" t="str">
        <f aca="false">'Inventory Management'!B13</f>
        <v>Essential Electronics Item 009</v>
      </c>
      <c r="C43" s="20" t="str">
        <f aca="false">'Inventory Management'!C13</f>
        <v>Electronics</v>
      </c>
      <c r="D43" s="20" t="str">
        <f aca="false">'Inventory Management'!F13</f>
        <v>Delhi WH</v>
      </c>
      <c r="E43" s="17" t="n">
        <f aca="false">'Inventory Management'!K13</f>
        <v>0</v>
      </c>
      <c r="F43" s="17" t="n">
        <f aca="false">'Inventory Management'!L13</f>
        <v>24</v>
      </c>
      <c r="G43" s="23" t="str">
        <f aca="false">'Inventory Management'!P13</f>
        <v>Out of Stock</v>
      </c>
      <c r="H43" s="17" t="n">
        <f aca="false">'Inventory Management'!Q13</f>
        <v>96</v>
      </c>
    </row>
    <row r="44" customFormat="false" ht="15" hidden="false" customHeight="false" outlineLevel="0" collapsed="false">
      <c r="A44" s="18" t="str">
        <f aca="false">'Inventory Management'!A14</f>
        <v>PRD010</v>
      </c>
      <c r="B44" s="20" t="str">
        <f aca="false">'Inventory Management'!B14</f>
        <v>Essential Home Item 010</v>
      </c>
      <c r="C44" s="20" t="str">
        <f aca="false">'Inventory Management'!C14</f>
        <v>Home &amp; Kitchen</v>
      </c>
      <c r="D44" s="20" t="str">
        <f aca="false">'Inventory Management'!F14</f>
        <v>Delhi WH</v>
      </c>
      <c r="E44" s="17" t="n">
        <f aca="false">'Inventory Management'!K14</f>
        <v>22</v>
      </c>
      <c r="F44" s="17" t="n">
        <f aca="false">'Inventory Management'!L14</f>
        <v>33</v>
      </c>
      <c r="G44" s="23" t="str">
        <f aca="false">'Inventory Management'!P14</f>
        <v>Low Stock</v>
      </c>
      <c r="H44" s="17" t="n">
        <f aca="false">'Inventory Management'!Q14</f>
        <v>275</v>
      </c>
    </row>
    <row r="45" customFormat="false" ht="15" hidden="false" customHeight="false" outlineLevel="0" collapsed="false">
      <c r="A45" s="18" t="str">
        <f aca="false">'Inventory Management'!A21</f>
        <v>PRD017</v>
      </c>
      <c r="B45" s="20" t="str">
        <f aca="false">'Inventory Management'!B21</f>
        <v>Premium Electronics Item 017</v>
      </c>
      <c r="C45" s="20" t="str">
        <f aca="false">'Inventory Management'!C21</f>
        <v>Electronics</v>
      </c>
      <c r="D45" s="20" t="str">
        <f aca="false">'Inventory Management'!F21</f>
        <v>Kolkata WH</v>
      </c>
      <c r="E45" s="17" t="n">
        <f aca="false">'Inventory Management'!K21</f>
        <v>0</v>
      </c>
      <c r="F45" s="17" t="n">
        <f aca="false">'Inventory Management'!L21</f>
        <v>59</v>
      </c>
      <c r="G45" s="23" t="str">
        <f aca="false">'Inventory Management'!P21</f>
        <v>Out of Stock</v>
      </c>
      <c r="H45" s="17" t="n">
        <f aca="false">'Inventory Management'!Q21</f>
        <v>472</v>
      </c>
    </row>
    <row r="46" customFormat="false" ht="15" hidden="false" customHeight="false" outlineLevel="0" collapsed="false">
      <c r="A46" s="18" t="str">
        <f aca="false">'Inventory Management'!A29</f>
        <v>PRD025</v>
      </c>
      <c r="B46" s="20" t="str">
        <f aca="false">'Inventory Management'!B29</f>
        <v>Pro Electronics Item 025</v>
      </c>
      <c r="C46" s="20" t="str">
        <f aca="false">'Inventory Management'!C29</f>
        <v>Electronics</v>
      </c>
      <c r="D46" s="20" t="str">
        <f aca="false">'Inventory Management'!F29</f>
        <v>Kolkata WH</v>
      </c>
      <c r="E46" s="17" t="n">
        <f aca="false">'Inventory Management'!K29</f>
        <v>0</v>
      </c>
      <c r="F46" s="17" t="n">
        <f aca="false">'Inventory Management'!L29</f>
        <v>56</v>
      </c>
      <c r="G46" s="23" t="str">
        <f aca="false">'Inventory Management'!P29</f>
        <v>Out of Stock</v>
      </c>
      <c r="H46" s="17" t="n">
        <f aca="false">'Inventory Management'!Q29</f>
        <v>224</v>
      </c>
    </row>
    <row r="47" customFormat="false" ht="15" hidden="false" customHeight="false" outlineLevel="0" collapsed="false">
      <c r="A47" s="18" t="str">
        <f aca="false">'Inventory Management'!A30</f>
        <v>PRD026</v>
      </c>
      <c r="B47" s="20" t="str">
        <f aca="false">'Inventory Management'!B30</f>
        <v>Classic Home Item 026</v>
      </c>
      <c r="C47" s="20" t="str">
        <f aca="false">'Inventory Management'!C30</f>
        <v>Home &amp; Kitchen</v>
      </c>
      <c r="D47" s="20" t="str">
        <f aca="false">'Inventory Management'!F30</f>
        <v>Kolkata WH</v>
      </c>
      <c r="E47" s="17" t="n">
        <f aca="false">'Inventory Management'!K30</f>
        <v>20</v>
      </c>
      <c r="F47" s="17" t="n">
        <f aca="false">'Inventory Management'!L30</f>
        <v>25</v>
      </c>
      <c r="G47" s="23" t="str">
        <f aca="false">'Inventory Management'!P30</f>
        <v>Low Stock</v>
      </c>
      <c r="H47" s="17" t="n">
        <f aca="false">'Inventory Management'!Q30</f>
        <v>80</v>
      </c>
    </row>
    <row r="48" customFormat="false" ht="15" hidden="false" customHeight="false" outlineLevel="0" collapsed="false">
      <c r="A48" s="18" t="str">
        <f aca="false">'Inventory Management'!A37</f>
        <v>PRD033</v>
      </c>
      <c r="B48" s="20" t="str">
        <f aca="false">'Inventory Management'!B37</f>
        <v>Compact Electronics Item 033</v>
      </c>
      <c r="C48" s="20" t="str">
        <f aca="false">'Inventory Management'!C37</f>
        <v>Electronics</v>
      </c>
      <c r="D48" s="20" t="str">
        <f aca="false">'Inventory Management'!F37</f>
        <v>Kolkata WH</v>
      </c>
      <c r="E48" s="17" t="n">
        <f aca="false">'Inventory Management'!K37</f>
        <v>0</v>
      </c>
      <c r="F48" s="17" t="n">
        <f aca="false">'Inventory Management'!L37</f>
        <v>72</v>
      </c>
      <c r="G48" s="23" t="str">
        <f aca="false">'Inventory Management'!P37</f>
        <v>Out of Stock</v>
      </c>
      <c r="H48" s="17" t="n">
        <f aca="false">'Inventory Management'!Q37</f>
        <v>288</v>
      </c>
    </row>
    <row r="49" customFormat="false" ht="15" hidden="false" customHeight="false" outlineLevel="0" collapsed="false">
      <c r="A49" s="18" t="str">
        <f aca="false">'Inventory Management'!A38</f>
        <v>PRD034</v>
      </c>
      <c r="B49" s="20" t="str">
        <f aca="false">'Inventory Management'!B38</f>
        <v>Classic Home Item 034</v>
      </c>
      <c r="C49" s="20" t="str">
        <f aca="false">'Inventory Management'!C38</f>
        <v>Home &amp; Kitchen</v>
      </c>
      <c r="D49" s="20" t="str">
        <f aca="false">'Inventory Management'!F38</f>
        <v>Kolkata WH</v>
      </c>
      <c r="E49" s="17" t="n">
        <f aca="false">'Inventory Management'!K38</f>
        <v>24</v>
      </c>
      <c r="F49" s="17" t="n">
        <f aca="false">'Inventory Management'!L38</f>
        <v>50</v>
      </c>
      <c r="G49" s="23" t="str">
        <f aca="false">'Inventory Management'!P38</f>
        <v>Low Stock</v>
      </c>
      <c r="H49" s="17" t="n">
        <f aca="false">'Inventory Management'!Q38</f>
        <v>426</v>
      </c>
    </row>
    <row r="50" customFormat="false" ht="15" hidden="false" customHeight="false" outlineLevel="0" collapsed="false">
      <c r="A50" s="18" t="str">
        <f aca="false">'Inventory Management'!A45</f>
        <v>PRD041</v>
      </c>
      <c r="B50" s="20" t="str">
        <f aca="false">'Inventory Management'!B45</f>
        <v>Essential Electronics Item 041</v>
      </c>
      <c r="C50" s="20" t="str">
        <f aca="false">'Inventory Management'!C45</f>
        <v>Electronics</v>
      </c>
      <c r="D50" s="20" t="str">
        <f aca="false">'Inventory Management'!F45</f>
        <v>Kolkata WH</v>
      </c>
      <c r="E50" s="17" t="n">
        <f aca="false">'Inventory Management'!K45</f>
        <v>0</v>
      </c>
      <c r="F50" s="17" t="n">
        <f aca="false">'Inventory Management'!L45</f>
        <v>18</v>
      </c>
      <c r="G50" s="23" t="str">
        <f aca="false">'Inventory Management'!P45</f>
        <v>Out of Stock</v>
      </c>
      <c r="H50" s="17" t="n">
        <f aca="false">'Inventory Management'!Q45</f>
        <v>72</v>
      </c>
    </row>
    <row r="51" customFormat="false" ht="15" hidden="false" customHeight="false" outlineLevel="0" collapsed="false">
      <c r="A51" s="18" t="str">
        <f aca="false">'Inventory Management'!A46</f>
        <v>PRD042</v>
      </c>
      <c r="B51" s="20" t="str">
        <f aca="false">'Inventory Management'!B46</f>
        <v>Compact Home Item 042</v>
      </c>
      <c r="C51" s="20" t="str">
        <f aca="false">'Inventory Management'!C46</f>
        <v>Home &amp; Kitchen</v>
      </c>
      <c r="D51" s="20" t="str">
        <f aca="false">'Inventory Management'!F46</f>
        <v>Kolkata WH</v>
      </c>
      <c r="E51" s="17" t="n">
        <f aca="false">'Inventory Management'!K46</f>
        <v>25</v>
      </c>
      <c r="F51" s="17" t="n">
        <f aca="false">'Inventory Management'!L46</f>
        <v>48</v>
      </c>
      <c r="G51" s="23" t="str">
        <f aca="false">'Inventory Management'!P46</f>
        <v>Low Stock</v>
      </c>
      <c r="H51" s="17" t="n">
        <f aca="false">'Inventory Management'!Q46</f>
        <v>215</v>
      </c>
    </row>
    <row r="52" customFormat="false" ht="15" hidden="false" customHeight="false" outlineLevel="0" collapsed="false">
      <c r="A52" s="18" t="str">
        <f aca="false">'Inventory Management'!A53</f>
        <v>PRD049</v>
      </c>
      <c r="B52" s="20" t="str">
        <f aca="false">'Inventory Management'!B53</f>
        <v>Premium Electronics Item 049</v>
      </c>
      <c r="C52" s="20" t="str">
        <f aca="false">'Inventory Management'!C53</f>
        <v>Electronics</v>
      </c>
      <c r="D52" s="20" t="str">
        <f aca="false">'Inventory Management'!F53</f>
        <v>Raipur WH</v>
      </c>
      <c r="E52" s="17" t="n">
        <f aca="false">'Inventory Management'!K53</f>
        <v>0</v>
      </c>
      <c r="F52" s="17" t="n">
        <f aca="false">'Inventory Management'!L53</f>
        <v>30</v>
      </c>
      <c r="G52" s="23" t="str">
        <f aca="false">'Inventory Management'!P53</f>
        <v>Out of Stock</v>
      </c>
      <c r="H52" s="17" t="n">
        <f aca="false">'Inventory Management'!Q53</f>
        <v>240</v>
      </c>
    </row>
    <row r="53" customFormat="false" ht="15" hidden="false" customHeight="false" outlineLevel="0" collapsed="false">
      <c r="A53" s="18" t="str">
        <f aca="false">'Inventory Management'!A54</f>
        <v>PRD050</v>
      </c>
      <c r="B53" s="20" t="str">
        <f aca="false">'Inventory Management'!B54</f>
        <v>Eco Home Item 050</v>
      </c>
      <c r="C53" s="20" t="str">
        <f aca="false">'Inventory Management'!C54</f>
        <v>Home &amp; Kitchen</v>
      </c>
      <c r="D53" s="20" t="str">
        <f aca="false">'Inventory Management'!F54</f>
        <v>Delhi WH</v>
      </c>
      <c r="E53" s="17" t="n">
        <f aca="false">'Inventory Management'!K54</f>
        <v>13</v>
      </c>
      <c r="F53" s="17" t="n">
        <f aca="false">'Inventory Management'!L54</f>
        <v>23</v>
      </c>
      <c r="G53" s="23" t="str">
        <f aca="false">'Inventory Management'!P54</f>
        <v>Low Stock</v>
      </c>
      <c r="H53" s="17" t="n">
        <f aca="false">'Inventory Management'!Q54</f>
        <v>102</v>
      </c>
    </row>
    <row r="54" customFormat="false" ht="15" hidden="false" customHeight="false" outlineLevel="0" collapsed="false">
      <c r="A54" s="18" t="str">
        <f aca="false">'Inventory Management'!A61</f>
        <v>PRD057</v>
      </c>
      <c r="B54" s="20" t="str">
        <f aca="false">'Inventory Management'!B61</f>
        <v>Essential Electronics Item 057</v>
      </c>
      <c r="C54" s="20" t="str">
        <f aca="false">'Inventory Management'!C61</f>
        <v>Electronics</v>
      </c>
      <c r="D54" s="20" t="str">
        <f aca="false">'Inventory Management'!F61</f>
        <v>Kolkata WH</v>
      </c>
      <c r="E54" s="17" t="n">
        <f aca="false">'Inventory Management'!K61</f>
        <v>0</v>
      </c>
      <c r="F54" s="17" t="n">
        <f aca="false">'Inventory Management'!L61</f>
        <v>25</v>
      </c>
      <c r="G54" s="23" t="str">
        <f aca="false">'Inventory Management'!P61</f>
        <v>Out of Stock</v>
      </c>
      <c r="H54" s="17" t="n">
        <f aca="false">'Inventory Management'!Q61</f>
        <v>100</v>
      </c>
    </row>
    <row r="55" customFormat="false" ht="15" hidden="false" customHeight="false" outlineLevel="0" collapsed="false">
      <c r="A55" s="18" t="str">
        <f aca="false">'Inventory Management'!A62</f>
        <v>PRD058</v>
      </c>
      <c r="B55" s="20" t="str">
        <f aca="false">'Inventory Management'!B62</f>
        <v>Pro Home Item 058</v>
      </c>
      <c r="C55" s="20" t="str">
        <f aca="false">'Inventory Management'!C62</f>
        <v>Home &amp; Kitchen</v>
      </c>
      <c r="D55" s="20" t="str">
        <f aca="false">'Inventory Management'!F62</f>
        <v>Mumbai WH</v>
      </c>
      <c r="E55" s="17" t="n">
        <f aca="false">'Inventory Management'!K62</f>
        <v>38</v>
      </c>
      <c r="F55" s="17" t="n">
        <f aca="false">'Inventory Management'!L62</f>
        <v>77</v>
      </c>
      <c r="G55" s="23" t="str">
        <f aca="false">'Inventory Management'!P62</f>
        <v>Low Stock</v>
      </c>
      <c r="H55" s="17" t="n">
        <f aca="false">'Inventory Management'!Q62</f>
        <v>347</v>
      </c>
    </row>
    <row r="56" customFormat="false" ht="15" hidden="false" customHeight="false" outlineLevel="0" collapsed="false">
      <c r="A56" s="18" t="str">
        <f aca="false">'Inventory Management'!A69</f>
        <v>PRD065</v>
      </c>
      <c r="B56" s="20" t="str">
        <f aca="false">'Inventory Management'!B69</f>
        <v>Compact Electronics Item 065</v>
      </c>
      <c r="C56" s="20" t="str">
        <f aca="false">'Inventory Management'!C69</f>
        <v>Electronics</v>
      </c>
      <c r="D56" s="20" t="str">
        <f aca="false">'Inventory Management'!F69</f>
        <v>Delhi WH</v>
      </c>
      <c r="E56" s="17" t="n">
        <f aca="false">'Inventory Management'!K69</f>
        <v>0</v>
      </c>
      <c r="F56" s="17" t="n">
        <f aca="false">'Inventory Management'!L69</f>
        <v>28</v>
      </c>
      <c r="G56" s="23" t="str">
        <f aca="false">'Inventory Management'!P69</f>
        <v>Out of Stock</v>
      </c>
      <c r="H56" s="17" t="n">
        <f aca="false">'Inventory Management'!Q69</f>
        <v>252</v>
      </c>
    </row>
    <row r="57" customFormat="false" ht="15" hidden="false" customHeight="false" outlineLevel="0" collapsed="false">
      <c r="A57" s="18" t="str">
        <f aca="false">'Inventory Management'!A70</f>
        <v>PRD066</v>
      </c>
      <c r="B57" s="20" t="str">
        <f aca="false">'Inventory Management'!B70</f>
        <v>Classic Home Item 066</v>
      </c>
      <c r="C57" s="20" t="str">
        <f aca="false">'Inventory Management'!C70</f>
        <v>Home &amp; Kitchen</v>
      </c>
      <c r="D57" s="20" t="str">
        <f aca="false">'Inventory Management'!F70</f>
        <v>Mumbai WH</v>
      </c>
      <c r="E57" s="17" t="n">
        <f aca="false">'Inventory Management'!K70</f>
        <v>5</v>
      </c>
      <c r="F57" s="17" t="n">
        <f aca="false">'Inventory Management'!L70</f>
        <v>38</v>
      </c>
      <c r="G57" s="23" t="str">
        <f aca="false">'Inventory Management'!P70</f>
        <v>Low Stock</v>
      </c>
      <c r="H57" s="17" t="n">
        <f aca="false">'Inventory Management'!Q70</f>
        <v>299</v>
      </c>
    </row>
    <row r="58" customFormat="false" ht="15" hidden="false" customHeight="false" outlineLevel="0" collapsed="false">
      <c r="A58" s="18" t="str">
        <f aca="false">'Inventory Management'!A77</f>
        <v>PRD073</v>
      </c>
      <c r="B58" s="20" t="str">
        <f aca="false">'Inventory Management'!B77</f>
        <v>Essential Electronics Item 073</v>
      </c>
      <c r="C58" s="20" t="str">
        <f aca="false">'Inventory Management'!C77</f>
        <v>Electronics</v>
      </c>
      <c r="D58" s="20" t="str">
        <f aca="false">'Inventory Management'!F77</f>
        <v>Mumbai WH</v>
      </c>
      <c r="E58" s="17" t="n">
        <f aca="false">'Inventory Management'!K77</f>
        <v>0</v>
      </c>
      <c r="F58" s="17" t="n">
        <f aca="false">'Inventory Management'!L77</f>
        <v>51</v>
      </c>
      <c r="G58" s="23" t="str">
        <f aca="false">'Inventory Management'!P77</f>
        <v>Out of Stock</v>
      </c>
      <c r="H58" s="17" t="n">
        <f aca="false">'Inventory Management'!Q77</f>
        <v>306</v>
      </c>
    </row>
    <row r="59" customFormat="false" ht="15" hidden="false" customHeight="false" outlineLevel="0" collapsed="false">
      <c r="A59" s="18" t="str">
        <f aca="false">'Inventory Management'!A78</f>
        <v>PRD074</v>
      </c>
      <c r="B59" s="20" t="str">
        <f aca="false">'Inventory Management'!B78</f>
        <v>Pro Home Item 074</v>
      </c>
      <c r="C59" s="20" t="str">
        <f aca="false">'Inventory Management'!C78</f>
        <v>Home &amp; Kitchen</v>
      </c>
      <c r="D59" s="20" t="str">
        <f aca="false">'Inventory Management'!F78</f>
        <v>Mumbai WH</v>
      </c>
      <c r="E59" s="17" t="n">
        <f aca="false">'Inventory Management'!K78</f>
        <v>22</v>
      </c>
      <c r="F59" s="17" t="n">
        <f aca="false">'Inventory Management'!L78</f>
        <v>40</v>
      </c>
      <c r="G59" s="23" t="str">
        <f aca="false">'Inventory Management'!P78</f>
        <v>Low Stock</v>
      </c>
      <c r="H59" s="17" t="n">
        <f aca="false">'Inventory Management'!Q78</f>
        <v>338</v>
      </c>
    </row>
  </sheetData>
  <mergeCells count="22">
    <mergeCell ref="A1:Q1"/>
    <mergeCell ref="A2:Q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0:C10"/>
    <mergeCell ref="E10:G10"/>
    <mergeCell ref="A22:D22"/>
    <mergeCell ref="A38:H38"/>
  </mergeCells>
  <conditionalFormatting sqref="G40:G59">
    <cfRule type="cellIs" priority="2" operator="equal" dxfId="0">
      <formula>"Out of Stock"</formula>
    </cfRule>
    <cfRule type="cellIs" priority="3" operator="equal" dxfId="1">
      <formula>"Low Stock"</formula>
    </cfRule>
    <cfRule type="cellIs" priority="4" operator="equal" dxfId="2">
      <formula>"Healthy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7" min="6" style="0" width="19"/>
    <col collapsed="false" customWidth="true" hidden="false" outlineLevel="0" max="8" min="8" style="0" width="21"/>
    <col collapsed="false" customWidth="true" hidden="false" outlineLevel="0" max="9" min="9" style="0" width="22"/>
    <col collapsed="false" customWidth="true" hidden="false" outlineLevel="0" max="24" min="10" style="0" width="12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9.75" hidden="false" customHeight="true" outlineLevel="0" collapsed="false"/>
    <row r="4" customFormat="false" ht="18.75" hidden="false" customHeight="true" outlineLevel="0" collapsed="false">
      <c r="A4" s="3" t="s">
        <v>2</v>
      </c>
      <c r="B4" s="3"/>
      <c r="C4" s="3" t="s">
        <v>94</v>
      </c>
      <c r="D4" s="3"/>
      <c r="E4" s="3" t="s">
        <v>8</v>
      </c>
      <c r="F4" s="3"/>
      <c r="G4" s="3" t="s">
        <v>95</v>
      </c>
      <c r="H4" s="3"/>
      <c r="I4" s="3" t="s">
        <v>96</v>
      </c>
      <c r="J4" s="3"/>
    </row>
    <row r="5" customFormat="false" ht="25.5" hidden="false" customHeight="true" outlineLevel="0" collapsed="false">
      <c r="A5" s="4" t="n">
        <f aca="false">COUNTA('Order Tracking'!$A$5:$A$604)</f>
        <v>600</v>
      </c>
      <c r="B5" s="4"/>
      <c r="C5" s="4" t="n">
        <f aca="false">COUNTIF('Order Tracking'!$M$5:$M$604,"Delivered")</f>
        <v>349</v>
      </c>
      <c r="D5" s="4"/>
      <c r="E5" s="4" t="n">
        <f aca="false">COUNTIF('Order Tracking'!$M$5:$M$604,"Pending")</f>
        <v>78</v>
      </c>
      <c r="F5" s="4"/>
      <c r="G5" s="4" t="n">
        <f aca="false">COUNTIF('Order Tracking'!$M$5:$M$604,"Processing")</f>
        <v>76</v>
      </c>
      <c r="H5" s="4"/>
      <c r="I5" s="4" t="n">
        <f aca="false">COUNTIF('Order Tracking'!$M$5:$M$604,"Cancelled")</f>
        <v>41</v>
      </c>
      <c r="J5" s="4"/>
    </row>
    <row r="7" customFormat="false" ht="18.75" hidden="false" customHeight="true" outlineLevel="0" collapsed="false">
      <c r="A7" s="3" t="s">
        <v>9</v>
      </c>
      <c r="B7" s="3"/>
      <c r="C7" s="3" t="s">
        <v>97</v>
      </c>
      <c r="D7" s="3"/>
      <c r="E7" s="3" t="s">
        <v>98</v>
      </c>
      <c r="F7" s="3"/>
      <c r="G7" s="3" t="s">
        <v>10</v>
      </c>
      <c r="H7" s="3"/>
      <c r="I7" s="3" t="s">
        <v>11</v>
      </c>
      <c r="J7" s="3"/>
    </row>
    <row r="8" customFormat="false" ht="25.5" hidden="false" customHeight="true" outlineLevel="0" collapsed="false">
      <c r="A8" s="4" t="n">
        <f aca="false">COUNTIF('Order Tracking'!$R$5:$R$604,"&gt;0")</f>
        <v>233</v>
      </c>
      <c r="B8" s="4"/>
      <c r="C8" s="5" t="n">
        <f aca="false">IFERROR(AVERAGE('Order Tracking'!$L$5:$L$604),0)</f>
        <v>81890.2417666667</v>
      </c>
      <c r="D8" s="5"/>
      <c r="E8" s="24" t="n">
        <f aca="false">IFERROR(AVERAGEIFS('Order Tracking'!$Q$5:$Q$604,'Order Tracking'!$M$5:$M$604,"Delivered"),0)</f>
        <v>6.75644699140401</v>
      </c>
      <c r="F8" s="24"/>
      <c r="G8" s="6" t="n">
        <f aca="false">IFERROR(COUNTIF('Order Tracking'!$M$5:$M$604,"Delivered")/COUNTA('Order Tracking'!$A$5:$A$604),0)</f>
        <v>0.581666666666667</v>
      </c>
      <c r="H8" s="6"/>
      <c r="I8" s="6" t="n">
        <f aca="false">IFERROR(COUNTIFS('Order Tracking'!$M$5:$M$604,"Delivered",'Order Tracking'!$R$5:$R$604,0)/COUNTIF('Order Tracking'!$M$5:$M$604,"Delivered"),0)</f>
        <v>0.595988538681949</v>
      </c>
      <c r="J8" s="6"/>
    </row>
    <row r="10" customFormat="false" ht="21.75" hidden="false" customHeight="true" outlineLevel="0" collapsed="false">
      <c r="A10" s="7" t="s">
        <v>26</v>
      </c>
      <c r="B10" s="7"/>
      <c r="C10" s="7"/>
      <c r="E10" s="7" t="s">
        <v>99</v>
      </c>
      <c r="F10" s="7"/>
      <c r="G10" s="7"/>
      <c r="I10" s="7" t="s">
        <v>100</v>
      </c>
      <c r="J10" s="7"/>
      <c r="K10" s="7"/>
    </row>
    <row r="11" customFormat="false" ht="24" hidden="false" customHeight="true" outlineLevel="0" collapsed="false">
      <c r="A11" s="8" t="s">
        <v>101</v>
      </c>
      <c r="B11" s="8" t="s">
        <v>30</v>
      </c>
      <c r="C11" s="8" t="s">
        <v>32</v>
      </c>
      <c r="E11" s="8" t="s">
        <v>102</v>
      </c>
      <c r="F11" s="8" t="s">
        <v>30</v>
      </c>
      <c r="G11" s="8" t="s">
        <v>103</v>
      </c>
      <c r="I11" s="14" t="s">
        <v>104</v>
      </c>
      <c r="J11" s="8" t="s">
        <v>30</v>
      </c>
      <c r="K11" s="8" t="s">
        <v>32</v>
      </c>
    </row>
    <row r="12" customFormat="false" ht="15" hidden="false" customHeight="false" outlineLevel="0" collapsed="false">
      <c r="A12" s="18" t="s">
        <v>35</v>
      </c>
      <c r="B12" s="17" t="n">
        <f aca="false">COUNTIF('Order Tracking'!$M$5:$M$604,A12)</f>
        <v>349</v>
      </c>
      <c r="C12" s="19" t="n">
        <f aca="false">IFERROR(B12/$A$5,0)</f>
        <v>0.581666666666667</v>
      </c>
      <c r="E12" s="18" t="s">
        <v>105</v>
      </c>
      <c r="F12" s="17" t="n">
        <f aca="false">COUNTIF('Order Tracking'!$E$5:$E$604,E12)</f>
        <v>113</v>
      </c>
      <c r="G12" s="16" t="n">
        <f aca="false">SUMIFS('Order Tracking'!$L$5:$L$604,'Order Tracking'!$E$5:$E$604,E12)</f>
        <v>9382569.8</v>
      </c>
      <c r="I12" s="20" t="s">
        <v>106</v>
      </c>
      <c r="J12" s="17" t="n">
        <f aca="false">COUNTIFS('Order Tracking'!$T$5:$T$604,I12,'Order Tracking'!$R$5:$R$604,"&gt;0")</f>
        <v>64</v>
      </c>
      <c r="K12" s="19" t="n">
        <f aca="false">IFERROR(J12/$A$8,0)</f>
        <v>0.274678111587983</v>
      </c>
    </row>
    <row r="13" customFormat="false" ht="15" hidden="false" customHeight="false" outlineLevel="0" collapsed="false">
      <c r="A13" s="18" t="s">
        <v>37</v>
      </c>
      <c r="B13" s="17" t="n">
        <f aca="false">COUNTIF('Order Tracking'!$M$5:$M$604,A13)</f>
        <v>78</v>
      </c>
      <c r="C13" s="19" t="n">
        <f aca="false">IFERROR(B13/$A$5,0)</f>
        <v>0.13</v>
      </c>
      <c r="E13" s="18" t="s">
        <v>107</v>
      </c>
      <c r="F13" s="17" t="n">
        <f aca="false">COUNTIF('Order Tracking'!$E$5:$E$604,E13)</f>
        <v>109</v>
      </c>
      <c r="G13" s="16" t="n">
        <f aca="false">SUMIFS('Order Tracking'!$L$5:$L$604,'Order Tracking'!$E$5:$E$604,E13)</f>
        <v>7999582.54</v>
      </c>
      <c r="I13" s="20" t="s">
        <v>108</v>
      </c>
      <c r="J13" s="17" t="n">
        <f aca="false">COUNTIFS('Order Tracking'!$T$5:$T$604,I13,'Order Tracking'!$R$5:$R$604,"&gt;0")</f>
        <v>28</v>
      </c>
      <c r="K13" s="19" t="n">
        <f aca="false">IFERROR(J13/$A$8,0)</f>
        <v>0.120171673819742</v>
      </c>
    </row>
    <row r="14" customFormat="false" ht="15" hidden="false" customHeight="false" outlineLevel="0" collapsed="false">
      <c r="A14" s="18" t="s">
        <v>39</v>
      </c>
      <c r="B14" s="17" t="n">
        <f aca="false">COUNTIF('Order Tracking'!$M$5:$M$604,A14)</f>
        <v>76</v>
      </c>
      <c r="C14" s="19" t="n">
        <f aca="false">IFERROR(B14/$A$5,0)</f>
        <v>0.126666666666667</v>
      </c>
      <c r="E14" s="18" t="s">
        <v>109</v>
      </c>
      <c r="F14" s="17" t="n">
        <f aca="false">COUNTIF('Order Tracking'!$E$5:$E$604,E14)</f>
        <v>119</v>
      </c>
      <c r="G14" s="16" t="n">
        <f aca="false">SUMIFS('Order Tracking'!$L$5:$L$604,'Order Tracking'!$E$5:$E$604,E14)</f>
        <v>10093288.62</v>
      </c>
      <c r="I14" s="20" t="s">
        <v>110</v>
      </c>
      <c r="J14" s="17" t="n">
        <f aca="false">COUNTIFS('Order Tracking'!$T$5:$T$604,I14,'Order Tracking'!$R$5:$R$604,"&gt;0")</f>
        <v>30</v>
      </c>
      <c r="K14" s="19" t="n">
        <f aca="false">IFERROR(J14/$A$8,0)</f>
        <v>0.128755364806867</v>
      </c>
    </row>
    <row r="15" customFormat="false" ht="15" hidden="false" customHeight="false" outlineLevel="0" collapsed="false">
      <c r="A15" s="18" t="s">
        <v>41</v>
      </c>
      <c r="B15" s="17" t="n">
        <f aca="false">COUNTIF('Order Tracking'!$M$5:$M$604,A15)</f>
        <v>56</v>
      </c>
      <c r="C15" s="19" t="n">
        <f aca="false">IFERROR(B15/$A$5,0)</f>
        <v>0.0933333333333333</v>
      </c>
      <c r="E15" s="18" t="s">
        <v>111</v>
      </c>
      <c r="F15" s="17" t="n">
        <f aca="false">COUNTIF('Order Tracking'!$E$5:$E$604,E15)</f>
        <v>140</v>
      </c>
      <c r="G15" s="16" t="n">
        <f aca="false">SUMIFS('Order Tracking'!$L$5:$L$604,'Order Tracking'!$E$5:$E$604,E15)</f>
        <v>12258217.21</v>
      </c>
      <c r="I15" s="20" t="s">
        <v>112</v>
      </c>
      <c r="J15" s="17" t="n">
        <f aca="false">COUNTIFS('Order Tracking'!$T$5:$T$604,I15,'Order Tracking'!$R$5:$R$604,"&gt;0")</f>
        <v>26</v>
      </c>
      <c r="K15" s="19" t="n">
        <f aca="false">IFERROR(J15/$A$8,0)</f>
        <v>0.111587982832618</v>
      </c>
    </row>
    <row r="16" customFormat="false" ht="15" hidden="false" customHeight="false" outlineLevel="0" collapsed="false">
      <c r="A16" s="18" t="s">
        <v>43</v>
      </c>
      <c r="B16" s="17" t="n">
        <f aca="false">COUNTIF('Order Tracking'!$M$5:$M$604,A16)</f>
        <v>41</v>
      </c>
      <c r="C16" s="19" t="n">
        <f aca="false">IFERROR(B16/$A$5,0)</f>
        <v>0.0683333333333333</v>
      </c>
      <c r="E16" s="18" t="s">
        <v>113</v>
      </c>
      <c r="F16" s="17" t="n">
        <f aca="false">COUNTIF('Order Tracking'!$E$5:$E$604,E16)</f>
        <v>119</v>
      </c>
      <c r="G16" s="16" t="n">
        <f aca="false">SUMIFS('Order Tracking'!$L$5:$L$604,'Order Tracking'!$E$5:$E$604,E16)</f>
        <v>9400486.89</v>
      </c>
      <c r="I16" s="20" t="s">
        <v>114</v>
      </c>
      <c r="J16" s="17" t="n">
        <f aca="false">COUNTIFS('Order Tracking'!$T$5:$T$604,I16,'Order Tracking'!$R$5:$R$604,"&gt;0")</f>
        <v>29</v>
      </c>
      <c r="K16" s="19" t="n">
        <f aca="false">IFERROR(J16/$A$8,0)</f>
        <v>0.124463519313305</v>
      </c>
    </row>
    <row r="17" customFormat="false" ht="15" hidden="false" customHeight="false" outlineLevel="0" collapsed="false">
      <c r="I17" s="20" t="s">
        <v>115</v>
      </c>
      <c r="J17" s="17" t="n">
        <f aca="false">COUNTIFS('Order Tracking'!$T$5:$T$604,I17,'Order Tracking'!$R$5:$R$604,"&gt;0")</f>
        <v>45</v>
      </c>
      <c r="K17" s="19" t="n">
        <f aca="false">IFERROR(J17/$A$8,0)</f>
        <v>0.1931330472103</v>
      </c>
    </row>
    <row r="18" customFormat="false" ht="15" hidden="false" customHeight="false" outlineLevel="0" collapsed="false">
      <c r="I18" s="20" t="s">
        <v>116</v>
      </c>
      <c r="J18" s="17" t="n">
        <f aca="false">COUNTIFS('Order Tracking'!$T$5:$T$604,I18,'Order Tracking'!$R$5:$R$604,"&gt;0")</f>
        <v>11</v>
      </c>
      <c r="K18" s="19" t="n">
        <f aca="false">IFERROR(J18/$A$8,0)</f>
        <v>0.0472103004291846</v>
      </c>
    </row>
    <row r="21" customFormat="false" ht="21.75" hidden="false" customHeight="true" outlineLevel="0" collapsed="false">
      <c r="A21" s="7" t="s">
        <v>117</v>
      </c>
      <c r="B21" s="7"/>
      <c r="C21" s="7"/>
      <c r="E21" s="7" t="s">
        <v>118</v>
      </c>
      <c r="F21" s="7"/>
      <c r="G21" s="7"/>
    </row>
    <row r="22" customFormat="false" ht="24" hidden="false" customHeight="true" outlineLevel="0" collapsed="false">
      <c r="A22" s="8" t="s">
        <v>28</v>
      </c>
      <c r="B22" s="8" t="s">
        <v>119</v>
      </c>
      <c r="C22" s="8" t="s">
        <v>56</v>
      </c>
      <c r="E22" s="14" t="s">
        <v>120</v>
      </c>
      <c r="F22" s="8" t="s">
        <v>30</v>
      </c>
      <c r="G22" s="8" t="s">
        <v>32</v>
      </c>
    </row>
    <row r="23" customFormat="false" ht="15" hidden="false" customHeight="false" outlineLevel="0" collapsed="false">
      <c r="A23" s="15" t="n">
        <v>45962</v>
      </c>
      <c r="B23" s="17" t="n">
        <f aca="false">COUNTIFS('Order Tracking'!$B$5:$B$604,"&gt;="&amp;A23,'Order Tracking'!$B$5:$B$604,"&lt;"&amp;EDATE(A23,1))</f>
        <v>50</v>
      </c>
      <c r="C23" s="17" t="n">
        <f aca="false">COUNTIFS('Order Tracking'!$B$5:$B$604,"&gt;="&amp;A23,'Order Tracking'!$B$5:$B$604,"&lt;"&amp;EDATE(A23,1),'Order Tracking'!$M$5:$M$604,"Delivered")</f>
        <v>23</v>
      </c>
      <c r="E23" s="20" t="s">
        <v>121</v>
      </c>
      <c r="F23" s="17" t="n">
        <f aca="false">COUNTIFS('Order Tracking'!$M$5:$M$604,"Delivered",'Order Tracking'!$R$5:$R$604,0)</f>
        <v>208</v>
      </c>
      <c r="G23" s="19" t="n">
        <f aca="false">IFERROR(F23/$A$5,0)</f>
        <v>0.346666666666667</v>
      </c>
    </row>
    <row r="24" customFormat="false" ht="15" hidden="false" customHeight="false" outlineLevel="0" collapsed="false">
      <c r="A24" s="15" t="n">
        <v>45992</v>
      </c>
      <c r="B24" s="17" t="n">
        <f aca="false">COUNTIFS('Order Tracking'!$B$5:$B$604,"&gt;="&amp;A24,'Order Tracking'!$B$5:$B$604,"&lt;"&amp;EDATE(A24,1))</f>
        <v>41</v>
      </c>
      <c r="C24" s="17" t="n">
        <f aca="false">COUNTIFS('Order Tracking'!$B$5:$B$604,"&gt;="&amp;A24,'Order Tracking'!$B$5:$B$604,"&lt;"&amp;EDATE(A24,1),'Order Tracking'!$M$5:$M$604,"Delivered")</f>
        <v>20</v>
      </c>
      <c r="E24" s="20" t="s">
        <v>122</v>
      </c>
      <c r="F24" s="17" t="n">
        <f aca="false">COUNTIFS('Order Tracking'!$M$5:$M$604,"Delivered",'Order Tracking'!$R$5:$R$604,"&gt;0")</f>
        <v>141</v>
      </c>
      <c r="G24" s="19" t="n">
        <f aca="false">IFERROR(F24/$A$5,0)</f>
        <v>0.235</v>
      </c>
    </row>
    <row r="25" customFormat="false" ht="15" hidden="false" customHeight="false" outlineLevel="0" collapsed="false">
      <c r="A25" s="15" t="n">
        <v>46023</v>
      </c>
      <c r="B25" s="17" t="n">
        <f aca="false">COUNTIFS('Order Tracking'!$B$5:$B$604,"&gt;="&amp;A25,'Order Tracking'!$B$5:$B$604,"&lt;"&amp;EDATE(A25,1))</f>
        <v>47</v>
      </c>
      <c r="C25" s="17" t="n">
        <f aca="false">COUNTIFS('Order Tracking'!$B$5:$B$604,"&gt;="&amp;A25,'Order Tracking'!$B$5:$B$604,"&lt;"&amp;EDATE(A25,1),'Order Tracking'!$M$5:$M$604,"Delivered")</f>
        <v>33</v>
      </c>
      <c r="E25" s="20" t="s">
        <v>123</v>
      </c>
      <c r="F25" s="17" t="n">
        <f aca="false">COUNTIF('Order Tracking'!$M$5:$M$604,"Dispatched")</f>
        <v>56</v>
      </c>
      <c r="G25" s="19" t="n">
        <f aca="false">IFERROR(F25/$A$5,0)</f>
        <v>0.0933333333333333</v>
      </c>
    </row>
    <row r="26" customFormat="false" ht="15" hidden="false" customHeight="false" outlineLevel="0" collapsed="false">
      <c r="A26" s="15" t="n">
        <v>46054</v>
      </c>
      <c r="B26" s="17" t="n">
        <f aca="false">COUNTIFS('Order Tracking'!$B$5:$B$604,"&gt;="&amp;A26,'Order Tracking'!$B$5:$B$604,"&lt;"&amp;EDATE(A26,1))</f>
        <v>38</v>
      </c>
      <c r="C26" s="17" t="n">
        <f aca="false">COUNTIFS('Order Tracking'!$B$5:$B$604,"&gt;="&amp;A26,'Order Tracking'!$B$5:$B$604,"&lt;"&amp;EDATE(A26,1),'Order Tracking'!$M$5:$M$604,"Delivered")</f>
        <v>26</v>
      </c>
      <c r="E26" s="20" t="s">
        <v>124</v>
      </c>
      <c r="F26" s="17" t="n">
        <f aca="false">COUNTIF('Order Tracking'!$M$5:$M$604,"Pending")+COUNTIF('Order Tracking'!$M$5:$M$604,"Processing")</f>
        <v>154</v>
      </c>
      <c r="G26" s="19" t="n">
        <f aca="false">IFERROR(F26/$A$5,0)</f>
        <v>0.256666666666667</v>
      </c>
    </row>
    <row r="27" customFormat="false" ht="15" hidden="false" customHeight="false" outlineLevel="0" collapsed="false">
      <c r="A27" s="15" t="n">
        <v>46082</v>
      </c>
      <c r="B27" s="17" t="n">
        <f aca="false">COUNTIFS('Order Tracking'!$B$5:$B$604,"&gt;="&amp;A27,'Order Tracking'!$B$5:$B$604,"&lt;"&amp;EDATE(A27,1))</f>
        <v>63</v>
      </c>
      <c r="C27" s="17" t="n">
        <f aca="false">COUNTIFS('Order Tracking'!$B$5:$B$604,"&gt;="&amp;A27,'Order Tracking'!$B$5:$B$604,"&lt;"&amp;EDATE(A27,1),'Order Tracking'!$M$5:$M$604,"Delivered")</f>
        <v>44</v>
      </c>
      <c r="E27" s="20" t="s">
        <v>96</v>
      </c>
      <c r="F27" s="17" t="n">
        <f aca="false">COUNTIF('Order Tracking'!$M$5:$M$604,"Cancelled")</f>
        <v>41</v>
      </c>
      <c r="G27" s="19" t="n">
        <f aca="false">IFERROR(F27/$A$5,0)</f>
        <v>0.0683333333333333</v>
      </c>
    </row>
    <row r="28" customFormat="false" ht="15" hidden="false" customHeight="false" outlineLevel="0" collapsed="false">
      <c r="A28" s="15" t="n">
        <v>46113</v>
      </c>
      <c r="B28" s="17" t="n">
        <f aca="false">COUNTIFS('Order Tracking'!$B$5:$B$604,"&gt;="&amp;A28,'Order Tracking'!$B$5:$B$604,"&lt;"&amp;EDATE(A28,1))</f>
        <v>43</v>
      </c>
      <c r="C28" s="17" t="n">
        <f aca="false">COUNTIFS('Order Tracking'!$B$5:$B$604,"&gt;="&amp;A28,'Order Tracking'!$B$5:$B$604,"&lt;"&amp;EDATE(A28,1),'Order Tracking'!$M$5:$M$604,"Delivered")</f>
        <v>24</v>
      </c>
    </row>
    <row r="29" customFormat="false" ht="15" hidden="false" customHeight="false" outlineLevel="0" collapsed="false">
      <c r="A29" s="15" t="n">
        <v>46143</v>
      </c>
      <c r="B29" s="17" t="n">
        <f aca="false">COUNTIFS('Order Tracking'!$B$5:$B$604,"&gt;="&amp;A29,'Order Tracking'!$B$5:$B$604,"&lt;"&amp;EDATE(A29,1))</f>
        <v>53</v>
      </c>
      <c r="C29" s="17" t="n">
        <f aca="false">COUNTIFS('Order Tracking'!$B$5:$B$604,"&gt;="&amp;A29,'Order Tracking'!$B$5:$B$604,"&lt;"&amp;EDATE(A29,1),'Order Tracking'!$M$5:$M$604,"Delivered")</f>
        <v>30</v>
      </c>
    </row>
    <row r="30" customFormat="false" ht="15" hidden="false" customHeight="false" outlineLevel="0" collapsed="false">
      <c r="A30" s="15" t="n">
        <v>46174</v>
      </c>
      <c r="B30" s="17" t="n">
        <f aca="false">COUNTIFS('Order Tracking'!$B$5:$B$604,"&gt;="&amp;A30,'Order Tracking'!$B$5:$B$604,"&lt;"&amp;EDATE(A30,1))</f>
        <v>39</v>
      </c>
      <c r="C30" s="17" t="n">
        <f aca="false">COUNTIFS('Order Tracking'!$B$5:$B$604,"&gt;="&amp;A30,'Order Tracking'!$B$5:$B$604,"&lt;"&amp;EDATE(A30,1),'Order Tracking'!$M$5:$M$604,"Delivered")</f>
        <v>20</v>
      </c>
    </row>
    <row r="31" customFormat="false" ht="15" hidden="false" customHeight="false" outlineLevel="0" collapsed="false">
      <c r="A31" s="15" t="n">
        <v>46204</v>
      </c>
      <c r="B31" s="17" t="n">
        <f aca="false">COUNTIFS('Order Tracking'!$B$5:$B$604,"&gt;="&amp;A31,'Order Tracking'!$B$5:$B$604,"&lt;"&amp;EDATE(A31,1))</f>
        <v>48</v>
      </c>
      <c r="C31" s="17" t="n">
        <f aca="false">COUNTIFS('Order Tracking'!$B$5:$B$604,"&gt;="&amp;A31,'Order Tracking'!$B$5:$B$604,"&lt;"&amp;EDATE(A31,1),'Order Tracking'!$M$5:$M$604,"Delivered")</f>
        <v>28</v>
      </c>
    </row>
    <row r="32" customFormat="false" ht="15" hidden="false" customHeight="false" outlineLevel="0" collapsed="false">
      <c r="A32" s="15" t="n">
        <v>46235</v>
      </c>
      <c r="B32" s="17" t="n">
        <f aca="false">COUNTIFS('Order Tracking'!$B$5:$B$604,"&gt;="&amp;A32,'Order Tracking'!$B$5:$B$604,"&lt;"&amp;EDATE(A32,1))</f>
        <v>56</v>
      </c>
      <c r="C32" s="17" t="n">
        <f aca="false">COUNTIFS('Order Tracking'!$B$5:$B$604,"&gt;="&amp;A32,'Order Tracking'!$B$5:$B$604,"&lt;"&amp;EDATE(A32,1),'Order Tracking'!$M$5:$M$604,"Delivered")</f>
        <v>35</v>
      </c>
    </row>
    <row r="33" customFormat="false" ht="15" hidden="false" customHeight="false" outlineLevel="0" collapsed="false">
      <c r="A33" s="15" t="n">
        <v>46266</v>
      </c>
      <c r="B33" s="17" t="n">
        <f aca="false">COUNTIFS('Order Tracking'!$B$5:$B$604,"&gt;="&amp;A33,'Order Tracking'!$B$5:$B$604,"&lt;"&amp;EDATE(A33,1))</f>
        <v>54</v>
      </c>
      <c r="C33" s="17" t="n">
        <f aca="false">COUNTIFS('Order Tracking'!$B$5:$B$604,"&gt;="&amp;A33,'Order Tracking'!$B$5:$B$604,"&lt;"&amp;EDATE(A33,1),'Order Tracking'!$M$5:$M$604,"Delivered")</f>
        <v>26</v>
      </c>
    </row>
    <row r="34" customFormat="false" ht="15" hidden="false" customHeight="false" outlineLevel="0" collapsed="false">
      <c r="A34" s="15" t="n">
        <v>46296</v>
      </c>
      <c r="B34" s="17" t="n">
        <f aca="false">COUNTIFS('Order Tracking'!$B$5:$B$604,"&gt;="&amp;A34,'Order Tracking'!$B$5:$B$604,"&lt;"&amp;EDATE(A34,1))</f>
        <v>17</v>
      </c>
      <c r="C34" s="17" t="n">
        <f aca="false">COUNTIFS('Order Tracking'!$B$5:$B$604,"&gt;="&amp;A34,'Order Tracking'!$B$5:$B$604,"&lt;"&amp;EDATE(A34,1),'Order Tracking'!$M$5:$M$604,"Delivered")</f>
        <v>8</v>
      </c>
    </row>
    <row r="37" customFormat="false" ht="21.75" hidden="false" customHeight="true" outlineLevel="0" collapsed="false">
      <c r="A37" s="7" t="s">
        <v>125</v>
      </c>
      <c r="B37" s="7"/>
      <c r="C37" s="7"/>
      <c r="D37" s="7"/>
      <c r="E37" s="7"/>
      <c r="F37" s="7"/>
      <c r="G37" s="7"/>
      <c r="H37" s="7"/>
      <c r="I37" s="7"/>
    </row>
    <row r="38" customFormat="false" ht="24" hidden="false" customHeight="true" outlineLevel="0" collapsed="false">
      <c r="A38" s="8" t="s">
        <v>126</v>
      </c>
      <c r="B38" s="8" t="s">
        <v>127</v>
      </c>
      <c r="C38" s="14" t="s">
        <v>128</v>
      </c>
      <c r="D38" s="8" t="s">
        <v>102</v>
      </c>
      <c r="E38" s="14" t="s">
        <v>87</v>
      </c>
      <c r="F38" s="8" t="s">
        <v>129</v>
      </c>
      <c r="G38" s="8" t="s">
        <v>101</v>
      </c>
      <c r="H38" s="8" t="s">
        <v>130</v>
      </c>
      <c r="I38" s="14" t="s">
        <v>104</v>
      </c>
    </row>
    <row r="39" customFormat="false" ht="15" hidden="false" customHeight="false" outlineLevel="0" collapsed="false">
      <c r="A39" s="18" t="str">
        <f aca="false">'Order Tracking'!A6</f>
        <v>ORD0002</v>
      </c>
      <c r="B39" s="25" t="n">
        <f aca="false">'Order Tracking'!B6</f>
        <v>46161</v>
      </c>
      <c r="C39" s="20" t="str">
        <f aca="false">'Order Tracking'!D6</f>
        <v>Diya Mishra</v>
      </c>
      <c r="D39" s="18" t="str">
        <f aca="false">'Order Tracking'!E6</f>
        <v>North</v>
      </c>
      <c r="E39" s="20" t="str">
        <f aca="false">'Order Tracking'!H6</f>
        <v>Eco Automotive Item 048</v>
      </c>
      <c r="F39" s="16" t="n">
        <f aca="false">'Order Tracking'!L6</f>
        <v>10672.08</v>
      </c>
      <c r="G39" s="18" t="str">
        <f aca="false">'Order Tracking'!M6</f>
        <v>Dispatched</v>
      </c>
      <c r="H39" s="25" t="n">
        <f aca="false">'Order Tracking'!O6</f>
        <v>46167</v>
      </c>
      <c r="I39" s="20" t="str">
        <f aca="false">'Order Tracking'!T6</f>
        <v>Carrier delay</v>
      </c>
    </row>
    <row r="40" customFormat="false" ht="15" hidden="false" customHeight="false" outlineLevel="0" collapsed="false">
      <c r="A40" s="18" t="str">
        <f aca="false">'Order Tracking'!A12</f>
        <v>ORD0008</v>
      </c>
      <c r="B40" s="25" t="n">
        <f aca="false">'Order Tracking'!B12</f>
        <v>46017</v>
      </c>
      <c r="C40" s="20" t="str">
        <f aca="false">'Order Tracking'!D12</f>
        <v>Ishaan Mishra</v>
      </c>
      <c r="D40" s="18" t="str">
        <f aca="false">'Order Tracking'!E12</f>
        <v>Central</v>
      </c>
      <c r="E40" s="20" t="str">
        <f aca="false">'Order Tracking'!H12</f>
        <v>Smart Home Item 018</v>
      </c>
      <c r="F40" s="16" t="n">
        <f aca="false">'Order Tracking'!L12</f>
        <v>34161.66</v>
      </c>
      <c r="G40" s="18" t="str">
        <f aca="false">'Order Tracking'!M12</f>
        <v>Dispatched</v>
      </c>
      <c r="H40" s="25" t="n">
        <f aca="false">'Order Tracking'!O12</f>
        <v>46019</v>
      </c>
      <c r="I40" s="20" t="str">
        <f aca="false">'Order Tracking'!T12</f>
        <v>Carrier delay</v>
      </c>
    </row>
    <row r="41" customFormat="false" ht="15" hidden="false" customHeight="false" outlineLevel="0" collapsed="false">
      <c r="A41" s="18" t="str">
        <f aca="false">'Order Tracking'!A15</f>
        <v>ORD0011</v>
      </c>
      <c r="B41" s="25" t="n">
        <f aca="false">'Order Tracking'!B15</f>
        <v>45939</v>
      </c>
      <c r="C41" s="20" t="str">
        <f aca="false">'Order Tracking'!D15</f>
        <v>Arjun Mishra</v>
      </c>
      <c r="D41" s="18" t="str">
        <f aca="false">'Order Tracking'!E15</f>
        <v>West</v>
      </c>
      <c r="E41" s="20" t="str">
        <f aca="false">'Order Tracking'!H15</f>
        <v>Compact Electronics Item 065</v>
      </c>
      <c r="F41" s="16" t="n">
        <f aca="false">'Order Tracking'!L15</f>
        <v>28691.08</v>
      </c>
      <c r="G41" s="18" t="str">
        <f aca="false">'Order Tracking'!M15</f>
        <v>Dispatched</v>
      </c>
      <c r="H41" s="25" t="n">
        <f aca="false">'Order Tracking'!O15</f>
        <v>45943</v>
      </c>
      <c r="I41" s="20" t="str">
        <f aca="false">'Order Tracking'!T15</f>
        <v>Carrier delay</v>
      </c>
    </row>
    <row r="42" customFormat="false" ht="15" hidden="false" customHeight="false" outlineLevel="0" collapsed="false">
      <c r="A42" s="18" t="str">
        <f aca="false">'Order Tracking'!A18</f>
        <v>ORD0014</v>
      </c>
      <c r="B42" s="25" t="n">
        <f aca="false">'Order Tracking'!B18</f>
        <v>45979</v>
      </c>
      <c r="C42" s="20" t="str">
        <f aca="false">'Order Tracking'!D18</f>
        <v>Ishaan Khan</v>
      </c>
      <c r="D42" s="18" t="str">
        <f aca="false">'Order Tracking'!E18</f>
        <v>North</v>
      </c>
      <c r="E42" s="20" t="str">
        <f aca="false">'Order Tracking'!H18</f>
        <v>Compact Personal Item 068</v>
      </c>
      <c r="F42" s="16" t="n">
        <f aca="false">'Order Tracking'!L18</f>
        <v>52123.4</v>
      </c>
      <c r="G42" s="18" t="str">
        <f aca="false">'Order Tracking'!M18</f>
        <v>Dispatched</v>
      </c>
      <c r="H42" s="25" t="n">
        <f aca="false">'Order Tracking'!O18</f>
        <v>45988</v>
      </c>
      <c r="I42" s="20" t="str">
        <f aca="false">'Order Tracking'!T18</f>
        <v>Carrier delay</v>
      </c>
    </row>
    <row r="43" customFormat="false" ht="15" hidden="false" customHeight="false" outlineLevel="0" collapsed="false">
      <c r="A43" s="18" t="str">
        <f aca="false">'Order Tracking'!A20</f>
        <v>ORD0016</v>
      </c>
      <c r="B43" s="25" t="n">
        <f aca="false">'Order Tracking'!B20</f>
        <v>46130</v>
      </c>
      <c r="C43" s="20" t="str">
        <f aca="false">'Order Tracking'!D20</f>
        <v>Ira Sharma</v>
      </c>
      <c r="D43" s="18" t="str">
        <f aca="false">'Order Tracking'!E20</f>
        <v>Central</v>
      </c>
      <c r="E43" s="20" t="str">
        <f aca="false">'Order Tracking'!H20</f>
        <v>Compact Apparel Item 087</v>
      </c>
      <c r="F43" s="16" t="n">
        <f aca="false">'Order Tracking'!L20</f>
        <v>109200.26</v>
      </c>
      <c r="G43" s="18" t="str">
        <f aca="false">'Order Tracking'!M20</f>
        <v>Processing</v>
      </c>
      <c r="H43" s="25" t="n">
        <f aca="false">'Order Tracking'!O20</f>
        <v>46134</v>
      </c>
      <c r="I43" s="20" t="str">
        <f aca="false">'Order Tracking'!T20</f>
        <v>Warehouse backlog</v>
      </c>
    </row>
    <row r="44" customFormat="false" ht="15" hidden="false" customHeight="false" outlineLevel="0" collapsed="false">
      <c r="A44" s="18" t="str">
        <f aca="false">'Order Tracking'!A28</f>
        <v>ORD0024</v>
      </c>
      <c r="B44" s="25" t="n">
        <f aca="false">'Order Tracking'!B28</f>
        <v>46125</v>
      </c>
      <c r="C44" s="20" t="str">
        <f aca="false">'Order Tracking'!D28</f>
        <v>Vivaan Das</v>
      </c>
      <c r="D44" s="18" t="str">
        <f aca="false">'Order Tracking'!E28</f>
        <v>West</v>
      </c>
      <c r="E44" s="20" t="str">
        <f aca="false">'Order Tracking'!H28</f>
        <v>Eco Office Item 043</v>
      </c>
      <c r="F44" s="16" t="n">
        <f aca="false">'Order Tracking'!L28</f>
        <v>35356.72</v>
      </c>
      <c r="G44" s="18" t="str">
        <f aca="false">'Order Tracking'!M28</f>
        <v>Processing</v>
      </c>
      <c r="H44" s="25" t="n">
        <f aca="false">'Order Tracking'!O28</f>
        <v>46129</v>
      </c>
      <c r="I44" s="20" t="str">
        <f aca="false">'Order Tracking'!T28</f>
        <v>Awaiting stock</v>
      </c>
    </row>
    <row r="45" customFormat="false" ht="15" hidden="false" customHeight="false" outlineLevel="0" collapsed="false">
      <c r="A45" s="18" t="str">
        <f aca="false">'Order Tracking'!A30</f>
        <v>ORD0026</v>
      </c>
      <c r="B45" s="25" t="n">
        <f aca="false">'Order Tracking'!B30</f>
        <v>46219</v>
      </c>
      <c r="C45" s="20" t="str">
        <f aca="false">'Order Tracking'!D30</f>
        <v>Vivaan Das</v>
      </c>
      <c r="D45" s="18" t="str">
        <f aca="false">'Order Tracking'!E30</f>
        <v>Central</v>
      </c>
      <c r="E45" s="20" t="str">
        <f aca="false">'Order Tracking'!H30</f>
        <v>Classic Home Item 026</v>
      </c>
      <c r="F45" s="16" t="n">
        <f aca="false">'Order Tracking'!L30</f>
        <v>29388.42</v>
      </c>
      <c r="G45" s="18" t="str">
        <f aca="false">'Order Tracking'!M30</f>
        <v>Pending</v>
      </c>
      <c r="H45" s="25" t="n">
        <f aca="false">'Order Tracking'!O30</f>
        <v>46221</v>
      </c>
      <c r="I45" s="20" t="str">
        <f aca="false">'Order Tracking'!T30</f>
        <v>Warehouse backlog</v>
      </c>
    </row>
    <row r="46" customFormat="false" ht="15" hidden="false" customHeight="false" outlineLevel="0" collapsed="false">
      <c r="A46" s="18" t="str">
        <f aca="false">'Order Tracking'!A32</f>
        <v>ORD0028</v>
      </c>
      <c r="B46" s="25" t="n">
        <f aca="false">'Order Tracking'!B32</f>
        <v>46124</v>
      </c>
      <c r="C46" s="20" t="str">
        <f aca="false">'Order Tracking'!D32</f>
        <v>Ira Iyer</v>
      </c>
      <c r="D46" s="18" t="str">
        <f aca="false">'Order Tracking'!E32</f>
        <v>West</v>
      </c>
      <c r="E46" s="20" t="str">
        <f aca="false">'Order Tracking'!H32</f>
        <v>Essential Home Item 010</v>
      </c>
      <c r="F46" s="16" t="n">
        <f aca="false">'Order Tracking'!L32</f>
        <v>118220</v>
      </c>
      <c r="G46" s="18" t="str">
        <f aca="false">'Order Tracking'!M32</f>
        <v>Pending</v>
      </c>
      <c r="H46" s="25" t="n">
        <f aca="false">'Order Tracking'!O32</f>
        <v>46132</v>
      </c>
      <c r="I46" s="20" t="str">
        <f aca="false">'Order Tracking'!T32</f>
        <v>Warehouse backlog</v>
      </c>
    </row>
    <row r="47" customFormat="false" ht="15" hidden="false" customHeight="false" outlineLevel="0" collapsed="false">
      <c r="A47" s="18" t="str">
        <f aca="false">'Order Tracking'!A36</f>
        <v>ORD0032</v>
      </c>
      <c r="B47" s="25" t="n">
        <f aca="false">'Order Tracking'!B36</f>
        <v>46178</v>
      </c>
      <c r="C47" s="20" t="str">
        <f aca="false">'Order Tracking'!D36</f>
        <v>Aditi Sharma</v>
      </c>
      <c r="D47" s="18" t="str">
        <f aca="false">'Order Tracking'!E36</f>
        <v>West</v>
      </c>
      <c r="E47" s="20" t="str">
        <f aca="false">'Order Tracking'!H36</f>
        <v>Essential Industrial Item 045</v>
      </c>
      <c r="F47" s="16" t="n">
        <f aca="false">'Order Tracking'!L36</f>
        <v>148633.95</v>
      </c>
      <c r="G47" s="18" t="str">
        <f aca="false">'Order Tracking'!M36</f>
        <v>Processing</v>
      </c>
      <c r="H47" s="25" t="n">
        <f aca="false">'Order Tracking'!O36</f>
        <v>46187</v>
      </c>
      <c r="I47" s="20" t="str">
        <f aca="false">'Order Tracking'!T36</f>
        <v>Awaiting stock</v>
      </c>
    </row>
    <row r="48" customFormat="false" ht="15" hidden="false" customHeight="false" outlineLevel="0" collapsed="false">
      <c r="A48" s="18" t="str">
        <f aca="false">'Order Tracking'!A38</f>
        <v>ORD0034</v>
      </c>
      <c r="B48" s="25" t="n">
        <f aca="false">'Order Tracking'!B38</f>
        <v>46167</v>
      </c>
      <c r="C48" s="20" t="str">
        <f aca="false">'Order Tracking'!D38</f>
        <v>Vivaan Das</v>
      </c>
      <c r="D48" s="18" t="str">
        <f aca="false">'Order Tracking'!E38</f>
        <v>West</v>
      </c>
      <c r="E48" s="20" t="str">
        <f aca="false">'Order Tracking'!H38</f>
        <v>Premium Packaging Item 030</v>
      </c>
      <c r="F48" s="16" t="n">
        <f aca="false">'Order Tracking'!L38</f>
        <v>39861.66</v>
      </c>
      <c r="G48" s="18" t="str">
        <f aca="false">'Order Tracking'!M38</f>
        <v>Pending</v>
      </c>
      <c r="H48" s="25" t="n">
        <f aca="false">'Order Tracking'!O38</f>
        <v>46175</v>
      </c>
      <c r="I48" s="20" t="str">
        <f aca="false">'Order Tracking'!T38</f>
        <v>Payment hold</v>
      </c>
    </row>
    <row r="49" customFormat="false" ht="15" hidden="false" customHeight="false" outlineLevel="0" collapsed="false">
      <c r="A49" s="18" t="str">
        <f aca="false">'Order Tracking'!A54</f>
        <v>ORD0050</v>
      </c>
      <c r="B49" s="25" t="n">
        <f aca="false">'Order Tracking'!B54</f>
        <v>46150</v>
      </c>
      <c r="C49" s="20" t="str">
        <f aca="false">'Order Tracking'!D54</f>
        <v>Ira Gupta</v>
      </c>
      <c r="D49" s="18" t="str">
        <f aca="false">'Order Tracking'!E54</f>
        <v>South</v>
      </c>
      <c r="E49" s="20" t="str">
        <f aca="false">'Order Tracking'!H54</f>
        <v>Classic Home Item 026</v>
      </c>
      <c r="F49" s="16" t="n">
        <f aca="false">'Order Tracking'!L54</f>
        <v>29388.42</v>
      </c>
      <c r="G49" s="18" t="str">
        <f aca="false">'Order Tracking'!M54</f>
        <v>Dispatched</v>
      </c>
      <c r="H49" s="25" t="n">
        <f aca="false">'Order Tracking'!O54</f>
        <v>46156</v>
      </c>
      <c r="I49" s="20" t="str">
        <f aca="false">'Order Tracking'!T54</f>
        <v>Carrier delay</v>
      </c>
    </row>
    <row r="50" customFormat="false" ht="15" hidden="false" customHeight="false" outlineLevel="0" collapsed="false">
      <c r="A50" s="18" t="str">
        <f aca="false">'Order Tracking'!A60</f>
        <v>ORD0056</v>
      </c>
      <c r="B50" s="25" t="n">
        <f aca="false">'Order Tracking'!B60</f>
        <v>46072</v>
      </c>
      <c r="C50" s="20" t="str">
        <f aca="false">'Order Tracking'!D60</f>
        <v>Aditi Nair</v>
      </c>
      <c r="D50" s="18" t="str">
        <f aca="false">'Order Tracking'!E60</f>
        <v>North</v>
      </c>
      <c r="E50" s="20" t="str">
        <f aca="false">'Order Tracking'!H60</f>
        <v>Essential Office Item 083</v>
      </c>
      <c r="F50" s="16" t="n">
        <f aca="false">'Order Tracking'!L60</f>
        <v>74122.02</v>
      </c>
      <c r="G50" s="18" t="str">
        <f aca="false">'Order Tracking'!M60</f>
        <v>Pending</v>
      </c>
      <c r="H50" s="25" t="n">
        <f aca="false">'Order Tracking'!O60</f>
        <v>46078</v>
      </c>
      <c r="I50" s="20" t="str">
        <f aca="false">'Order Tracking'!T60</f>
        <v>Warehouse backlog</v>
      </c>
    </row>
    <row r="51" customFormat="false" ht="15" hidden="false" customHeight="false" outlineLevel="0" collapsed="false">
      <c r="A51" s="18" t="str">
        <f aca="false">'Order Tracking'!A66</f>
        <v>ORD0062</v>
      </c>
      <c r="B51" s="25" t="n">
        <f aca="false">'Order Tracking'!B66</f>
        <v>46244</v>
      </c>
      <c r="C51" s="20" t="str">
        <f aca="false">'Order Tracking'!D66</f>
        <v>Kabir Iyer</v>
      </c>
      <c r="D51" s="18" t="str">
        <f aca="false">'Order Tracking'!E66</f>
        <v>North</v>
      </c>
      <c r="E51" s="20" t="str">
        <f aca="false">'Order Tracking'!H66</f>
        <v>Smart Packaging Item 078</v>
      </c>
      <c r="F51" s="16" t="n">
        <f aca="false">'Order Tracking'!L66</f>
        <v>13814.9</v>
      </c>
      <c r="G51" s="18" t="str">
        <f aca="false">'Order Tracking'!M66</f>
        <v>Processing</v>
      </c>
      <c r="H51" s="25" t="n">
        <f aca="false">'Order Tracking'!O66</f>
        <v>46248</v>
      </c>
      <c r="I51" s="20" t="str">
        <f aca="false">'Order Tracking'!T66</f>
        <v>Warehouse backlog</v>
      </c>
    </row>
    <row r="52" customFormat="false" ht="15" hidden="false" customHeight="false" outlineLevel="0" collapsed="false">
      <c r="A52" s="18" t="str">
        <f aca="false">'Order Tracking'!A74</f>
        <v>ORD0070</v>
      </c>
      <c r="B52" s="25" t="n">
        <f aca="false">'Order Tracking'!B74</f>
        <v>46108</v>
      </c>
      <c r="C52" s="20" t="str">
        <f aca="false">'Order Tracking'!D74</f>
        <v>Vivaan Mehta</v>
      </c>
      <c r="D52" s="18" t="str">
        <f aca="false">'Order Tracking'!E74</f>
        <v>North</v>
      </c>
      <c r="E52" s="20" t="str">
        <f aca="false">'Order Tracking'!H74</f>
        <v>Compact Home Item 082</v>
      </c>
      <c r="F52" s="16" t="n">
        <f aca="false">'Order Tracking'!L74</f>
        <v>3454.52</v>
      </c>
      <c r="G52" s="18" t="str">
        <f aca="false">'Order Tracking'!M74</f>
        <v>Processing</v>
      </c>
      <c r="H52" s="25" t="n">
        <f aca="false">'Order Tracking'!O74</f>
        <v>46116</v>
      </c>
      <c r="I52" s="20" t="str">
        <f aca="false">'Order Tracking'!T74</f>
        <v>Awaiting stock</v>
      </c>
    </row>
    <row r="53" customFormat="false" ht="15" hidden="false" customHeight="false" outlineLevel="0" collapsed="false">
      <c r="A53" s="18" t="str">
        <f aca="false">'Order Tracking'!A76</f>
        <v>ORD0072</v>
      </c>
      <c r="B53" s="25" t="n">
        <f aca="false">'Order Tracking'!B76</f>
        <v>45974</v>
      </c>
      <c r="C53" s="20" t="str">
        <f aca="false">'Order Tracking'!D76</f>
        <v>Diya Singh</v>
      </c>
      <c r="D53" s="18" t="str">
        <f aca="false">'Order Tracking'!E76</f>
        <v>North</v>
      </c>
      <c r="E53" s="20" t="str">
        <f aca="false">'Order Tracking'!H76</f>
        <v>Everyday Office Item 075</v>
      </c>
      <c r="F53" s="16" t="n">
        <f aca="false">'Order Tracking'!L76</f>
        <v>34760.15</v>
      </c>
      <c r="G53" s="18" t="str">
        <f aca="false">'Order Tracking'!M76</f>
        <v>Pending</v>
      </c>
      <c r="H53" s="25" t="n">
        <f aca="false">'Order Tracking'!O76</f>
        <v>45982</v>
      </c>
      <c r="I53" s="20" t="str">
        <f aca="false">'Order Tracking'!T76</f>
        <v>Awaiting stock</v>
      </c>
    </row>
    <row r="54" customFormat="false" ht="15" hidden="false" customHeight="false" outlineLevel="0" collapsed="false">
      <c r="A54" s="18" t="str">
        <f aca="false">'Order Tracking'!A78</f>
        <v>ORD0074</v>
      </c>
      <c r="B54" s="25" t="n">
        <f aca="false">'Order Tracking'!B78</f>
        <v>46050</v>
      </c>
      <c r="C54" s="20" t="str">
        <f aca="false">'Order Tracking'!D78</f>
        <v>Meera Das</v>
      </c>
      <c r="D54" s="18" t="str">
        <f aca="false">'Order Tracking'!E78</f>
        <v>South</v>
      </c>
      <c r="E54" s="20" t="str">
        <f aca="false">'Order Tracking'!H78</f>
        <v>Essential Home Item 010</v>
      </c>
      <c r="F54" s="16" t="n">
        <f aca="false">'Order Tracking'!L78</f>
        <v>184718.75</v>
      </c>
      <c r="G54" s="18" t="str">
        <f aca="false">'Order Tracking'!M78</f>
        <v>Processing</v>
      </c>
      <c r="H54" s="25" t="n">
        <f aca="false">'Order Tracking'!O78</f>
        <v>46053</v>
      </c>
      <c r="I54" s="20" t="str">
        <f aca="false">'Order Tracking'!T78</f>
        <v>Warehouse backlog</v>
      </c>
    </row>
    <row r="55" customFormat="false" ht="15" hidden="false" customHeight="false" outlineLevel="0" collapsed="false">
      <c r="A55" s="18" t="str">
        <f aca="false">'Order Tracking'!A90</f>
        <v>ORD0086</v>
      </c>
      <c r="B55" s="25" t="n">
        <f aca="false">'Order Tracking'!B90</f>
        <v>46204</v>
      </c>
      <c r="C55" s="20" t="str">
        <f aca="false">'Order Tracking'!D90</f>
        <v>Meera Verma</v>
      </c>
      <c r="D55" s="18" t="str">
        <f aca="false">'Order Tracking'!E90</f>
        <v>North</v>
      </c>
      <c r="E55" s="20" t="str">
        <f aca="false">'Order Tracking'!H90</f>
        <v>Eco Apparel Item 095</v>
      </c>
      <c r="F55" s="16" t="n">
        <f aca="false">'Order Tracking'!L90</f>
        <v>54811.39</v>
      </c>
      <c r="G55" s="18" t="str">
        <f aca="false">'Order Tracking'!M90</f>
        <v>Dispatched</v>
      </c>
      <c r="H55" s="25" t="n">
        <f aca="false">'Order Tracking'!O90</f>
        <v>46212</v>
      </c>
      <c r="I55" s="20" t="str">
        <f aca="false">'Order Tracking'!T90</f>
        <v>Carrier delay</v>
      </c>
    </row>
    <row r="56" customFormat="false" ht="15" hidden="false" customHeight="false" outlineLevel="0" collapsed="false">
      <c r="A56" s="18" t="str">
        <f aca="false">'Order Tracking'!A96</f>
        <v>ORD0092</v>
      </c>
      <c r="B56" s="25" t="n">
        <f aca="false">'Order Tracking'!B96</f>
        <v>45996</v>
      </c>
      <c r="C56" s="20" t="str">
        <f aca="false">'Order Tracking'!D96</f>
        <v>Reyansh Sahu</v>
      </c>
      <c r="D56" s="18" t="str">
        <f aca="false">'Order Tracking'!E96</f>
        <v>North</v>
      </c>
      <c r="E56" s="20" t="str">
        <f aca="false">'Order Tracking'!H96</f>
        <v>Eco Apparel Item 023</v>
      </c>
      <c r="F56" s="16" t="n">
        <f aca="false">'Order Tracking'!L96</f>
        <v>45429.67</v>
      </c>
      <c r="G56" s="18" t="str">
        <f aca="false">'Order Tracking'!M96</f>
        <v>Dispatched</v>
      </c>
      <c r="H56" s="25" t="n">
        <f aca="false">'Order Tracking'!O96</f>
        <v>45998</v>
      </c>
      <c r="I56" s="20" t="str">
        <f aca="false">'Order Tracking'!T96</f>
        <v>Carrier delay</v>
      </c>
    </row>
    <row r="57" customFormat="false" ht="15" hidden="false" customHeight="false" outlineLevel="0" collapsed="false">
      <c r="A57" s="18" t="str">
        <f aca="false">'Order Tracking'!A108</f>
        <v>ORD0104</v>
      </c>
      <c r="B57" s="25" t="n">
        <f aca="false">'Order Tracking'!B108</f>
        <v>46133</v>
      </c>
      <c r="C57" s="20" t="str">
        <f aca="false">'Order Tracking'!D108</f>
        <v>Dev Verma</v>
      </c>
      <c r="D57" s="18" t="str">
        <f aca="false">'Order Tracking'!E108</f>
        <v>North</v>
      </c>
      <c r="E57" s="20" t="str">
        <f aca="false">'Order Tracking'!H108</f>
        <v>Essential Personal Item 092</v>
      </c>
      <c r="F57" s="16" t="n">
        <f aca="false">'Order Tracking'!L108</f>
        <v>166721.96</v>
      </c>
      <c r="G57" s="18" t="str">
        <f aca="false">'Order Tracking'!M108</f>
        <v>Dispatched</v>
      </c>
      <c r="H57" s="25" t="n">
        <f aca="false">'Order Tracking'!O108</f>
        <v>46137</v>
      </c>
      <c r="I57" s="20" t="str">
        <f aca="false">'Order Tracking'!T108</f>
        <v>Carrier delay</v>
      </c>
    </row>
    <row r="58" customFormat="false" ht="15" hidden="false" customHeight="false" outlineLevel="0" collapsed="false">
      <c r="A58" s="18" t="str">
        <f aca="false">'Order Tracking'!A112</f>
        <v>ORD0108</v>
      </c>
      <c r="B58" s="25" t="n">
        <f aca="false">'Order Tracking'!B112</f>
        <v>46205</v>
      </c>
      <c r="C58" s="20" t="str">
        <f aca="false">'Order Tracking'!D112</f>
        <v>Arjun Singh</v>
      </c>
      <c r="D58" s="18" t="str">
        <f aca="false">'Order Tracking'!E112</f>
        <v>West</v>
      </c>
      <c r="E58" s="20" t="str">
        <f aca="false">'Order Tracking'!H112</f>
        <v>Essential Industrial Item 045</v>
      </c>
      <c r="F58" s="16" t="n">
        <f aca="false">'Order Tracking'!L112</f>
        <v>128816.09</v>
      </c>
      <c r="G58" s="18" t="str">
        <f aca="false">'Order Tracking'!M112</f>
        <v>Pending</v>
      </c>
      <c r="H58" s="25" t="n">
        <f aca="false">'Order Tracking'!O112</f>
        <v>46214</v>
      </c>
      <c r="I58" s="20" t="str">
        <f aca="false">'Order Tracking'!T112</f>
        <v>Awaiting stock</v>
      </c>
    </row>
  </sheetData>
  <mergeCells count="28">
    <mergeCell ref="A1:X1"/>
    <mergeCell ref="A2:X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10:C10"/>
    <mergeCell ref="E10:G10"/>
    <mergeCell ref="I10:K10"/>
    <mergeCell ref="A21:C21"/>
    <mergeCell ref="E21:G2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5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24"/>
    <col collapsed="false" customWidth="true" hidden="false" outlineLevel="0" max="20" min="13" style="0" width="12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9.75" hidden="false" customHeight="true" outlineLevel="0" collapsed="false"/>
    <row r="4" customFormat="false" ht="18.75" hidden="false" customHeight="true" outlineLevel="0" collapsed="false">
      <c r="A4" s="3" t="s">
        <v>6</v>
      </c>
      <c r="B4" s="3"/>
      <c r="C4" s="3" t="s">
        <v>133</v>
      </c>
      <c r="D4" s="3"/>
      <c r="E4" s="3" t="s">
        <v>4</v>
      </c>
      <c r="F4" s="3"/>
      <c r="G4" s="3" t="s">
        <v>134</v>
      </c>
      <c r="H4" s="3"/>
    </row>
    <row r="5" customFormat="false" ht="25.5" hidden="false" customHeight="true" outlineLevel="0" collapsed="false">
      <c r="A5" s="4" t="n">
        <f aca="false">COUNTA('Supplier Database'!$A$5:$A$29)</f>
        <v>25</v>
      </c>
      <c r="B5" s="4"/>
      <c r="C5" s="4" t="n">
        <f aca="false">COUNTIF('Supplier Database'!$K$5:$K$29,"Active")</f>
        <v>24</v>
      </c>
      <c r="D5" s="4"/>
      <c r="E5" s="5" t="n">
        <f aca="false">SUM('Purchase Management'!$I$5:$I$224)</f>
        <v>238103731.88</v>
      </c>
      <c r="F5" s="5"/>
      <c r="G5" s="24" t="n">
        <f aca="false">IFERROR(AVERAGE(G12:G36),0)</f>
        <v>9.3339632034632</v>
      </c>
      <c r="H5" s="24"/>
    </row>
    <row r="7" customFormat="false" ht="18.75" hidden="false" customHeight="true" outlineLevel="0" collapsed="false">
      <c r="A7" s="3" t="s">
        <v>135</v>
      </c>
      <c r="B7" s="3"/>
      <c r="C7" s="3" t="s">
        <v>136</v>
      </c>
      <c r="D7" s="3"/>
      <c r="E7" s="3" t="s">
        <v>137</v>
      </c>
      <c r="F7" s="3"/>
    </row>
    <row r="8" customFormat="false" ht="25.5" hidden="false" customHeight="true" outlineLevel="0" collapsed="false">
      <c r="A8" s="6" t="n">
        <f aca="false">IFERROR(SUM(E12:E36)/(SUM(E12:E36)+SUM(F12:F36)),0)</f>
        <v>0.507936507936508</v>
      </c>
      <c r="B8" s="6"/>
      <c r="C8" s="6" t="n">
        <f aca="false">IFERROR(SUM(H12:H36)/SUM('Purchase Management'!$G$5:$G$224),0)</f>
        <v>0.0182467674040284</v>
      </c>
      <c r="D8" s="6"/>
      <c r="E8" s="24" t="n">
        <f aca="false">AVERAGE('Supplier Database'!$J$5:$J$29)</f>
        <v>4.016</v>
      </c>
      <c r="F8" s="24"/>
    </row>
    <row r="10" customFormat="false" ht="21.75" hidden="false" customHeight="true" outlineLevel="0" collapsed="false">
      <c r="A10" s="7" t="s">
        <v>138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24" hidden="false" customHeight="true" outlineLevel="0" collapsed="false">
      <c r="A11" s="8" t="s">
        <v>139</v>
      </c>
      <c r="B11" s="14" t="s">
        <v>53</v>
      </c>
      <c r="C11" s="8" t="s">
        <v>140</v>
      </c>
      <c r="D11" s="8" t="s">
        <v>4</v>
      </c>
      <c r="E11" s="8" t="s">
        <v>141</v>
      </c>
      <c r="F11" s="8" t="s">
        <v>142</v>
      </c>
      <c r="G11" s="8" t="s">
        <v>143</v>
      </c>
      <c r="H11" s="8" t="s">
        <v>144</v>
      </c>
      <c r="I11" s="8" t="s">
        <v>145</v>
      </c>
      <c r="J11" s="8" t="s">
        <v>55</v>
      </c>
      <c r="K11" s="8" t="s">
        <v>146</v>
      </c>
      <c r="L11" s="8" t="s">
        <v>147</v>
      </c>
    </row>
    <row r="12" customFormat="false" ht="15" hidden="false" customHeight="false" outlineLevel="0" collapsed="false">
      <c r="A12" s="26" t="s">
        <v>148</v>
      </c>
      <c r="B12" s="27" t="str">
        <f aca="false">VLOOKUP(A12,'Supplier Database'!$A$5:$K$29,2,FALSE())</f>
        <v>Apex Supplies</v>
      </c>
      <c r="C12" s="28" t="n">
        <f aca="false">COUNTIF('Purchase Management'!$C$5:$C$224,A12)</f>
        <v>4</v>
      </c>
      <c r="D12" s="29" t="n">
        <f aca="false">SUMIF('Purchase Management'!$C$5:$C$224,A12,'Purchase Management'!$I$5:$I$224)</f>
        <v>2246214.54</v>
      </c>
      <c r="E12" s="28" t="n">
        <f aca="false">COUNTIFS('Purchase Management'!$C$5:$C$224,A12,'Purchase Management'!$N$5:$N$224,"Received",'Purchase Management'!$O$5:$O$224,0)</f>
        <v>3</v>
      </c>
      <c r="F12" s="28" t="n">
        <f aca="false">COUNTIFS('Purchase Management'!$C$5:$C$224,A12,'Purchase Management'!$O$5:$O$224,"&gt;0")</f>
        <v>1</v>
      </c>
      <c r="G12" s="30" t="n">
        <f aca="false">VLOOKUP(A12,'Supplier Database'!$A$5:$K$29,9,FALSE())+IFERROR(AVERAGEIF('Purchase Management'!$C$5:$C$224,A12,'Purchase Management'!$O$5:$O$224),0)</f>
        <v>4.5</v>
      </c>
      <c r="H12" s="28" t="n">
        <f aca="false">ROUND(SUMIF('Purchase Management'!$C$5:$C$224,A12,'Purchase Management'!$G$5:$G$224)*(5.5-VLOOKUP(A12,'Supplier Database'!$A$5:$K$29,10,FALSE()))*0.012,0)</f>
        <v>15</v>
      </c>
      <c r="I12" s="31" t="n">
        <f aca="false">IFERROR(1-H12/MAX(1,SUMIF('Purchase Management'!$C$5:$C$224,A12,'Purchase Management'!$G$5:$G$224)),1)</f>
        <v>0.987057808455565</v>
      </c>
      <c r="J12" s="31" t="n">
        <f aca="false">IFERROR(E12/MAX(1,E12+F12),0)</f>
        <v>0.75</v>
      </c>
      <c r="K12" s="30" t="n">
        <f aca="false">ROUND(0.45*J12*100+0.35*I12*100+0.2*(VLOOKUP(A12,'Supplier Database'!$A$5:$K$29,10,FALSE())*20),1)</f>
        <v>85.9</v>
      </c>
      <c r="L12" s="32" t="str">
        <f aca="false">IF(K12&gt;=85,"Excellent",IF(K12&gt;=75,"Good",IF(K12&gt;=65,"Average","Poor")))</f>
        <v>Excellent</v>
      </c>
    </row>
    <row r="13" customFormat="false" ht="15" hidden="false" customHeight="false" outlineLevel="0" collapsed="false">
      <c r="A13" s="18" t="s">
        <v>149</v>
      </c>
      <c r="B13" s="20" t="str">
        <f aca="false">VLOOKUP(A13,'Supplier Database'!$A$5:$K$29,2,FALSE())</f>
        <v>Bright Distributors</v>
      </c>
      <c r="C13" s="17" t="n">
        <f aca="false">COUNTIF('Purchase Management'!$C$5:$C$224,A13)</f>
        <v>9</v>
      </c>
      <c r="D13" s="16" t="n">
        <f aca="false">SUMIF('Purchase Management'!$C$5:$C$224,A13,'Purchase Management'!$I$5:$I$224)</f>
        <v>7825955.27</v>
      </c>
      <c r="E13" s="17" t="n">
        <f aca="false">COUNTIFS('Purchase Management'!$C$5:$C$224,A13,'Purchase Management'!$N$5:$N$224,"Received",'Purchase Management'!$O$5:$O$224,0)</f>
        <v>4</v>
      </c>
      <c r="F13" s="17" t="n">
        <f aca="false">COUNTIFS('Purchase Management'!$C$5:$C$224,A13,'Purchase Management'!$O$5:$O$224,"&gt;0")</f>
        <v>4</v>
      </c>
      <c r="G13" s="21" t="n">
        <f aca="false">VLOOKUP(A13,'Supplier Database'!$A$5:$K$29,9,FALSE())+IFERROR(AVERAGEIF('Purchase Management'!$C$5:$C$224,A13,'Purchase Management'!$O$5:$O$224),0)</f>
        <v>9.55555555555556</v>
      </c>
      <c r="H13" s="17" t="n">
        <f aca="false">ROUND(SUMIF('Purchase Management'!$C$5:$C$224,A13,'Purchase Management'!$G$5:$G$224)*(5.5-VLOOKUP(A13,'Supplier Database'!$A$5:$K$29,10,FALSE()))*0.012,0)</f>
        <v>69</v>
      </c>
      <c r="I13" s="19" t="n">
        <f aca="false">IFERROR(1-H13/MAX(1,SUMIF('Purchase Management'!$C$5:$C$224,A13,'Purchase Management'!$G$5:$G$224)),1)</f>
        <v>0.973704268292683</v>
      </c>
      <c r="J13" s="19" t="n">
        <f aca="false">IFERROR(E13/MAX(1,E13+F13),0)</f>
        <v>0.5</v>
      </c>
      <c r="K13" s="21" t="n">
        <f aca="false">ROUND(0.45*J13*100+0.35*I13*100+0.2*(VLOOKUP(A13,'Supplier Database'!$A$5:$K$29,10,FALSE())*20),1)</f>
        <v>69.8</v>
      </c>
      <c r="L13" s="23" t="str">
        <f aca="false">IF(K13&gt;=85,"Excellent",IF(K13&gt;=75,"Good",IF(K13&gt;=65,"Average","Poor")))</f>
        <v>Average</v>
      </c>
    </row>
    <row r="14" customFormat="false" ht="15" hidden="false" customHeight="false" outlineLevel="0" collapsed="false">
      <c r="A14" s="26" t="s">
        <v>150</v>
      </c>
      <c r="B14" s="27" t="str">
        <f aca="false">VLOOKUP(A14,'Supplier Database'!$A$5:$K$29,2,FALSE())</f>
        <v>Core Industries</v>
      </c>
      <c r="C14" s="28" t="n">
        <f aca="false">COUNTIF('Purchase Management'!$C$5:$C$224,A14)</f>
        <v>3</v>
      </c>
      <c r="D14" s="29" t="n">
        <f aca="false">SUMIF('Purchase Management'!$C$5:$C$224,A14,'Purchase Management'!$I$5:$I$224)</f>
        <v>2086946.9</v>
      </c>
      <c r="E14" s="28" t="n">
        <f aca="false">COUNTIFS('Purchase Management'!$C$5:$C$224,A14,'Purchase Management'!$N$5:$N$224,"Received",'Purchase Management'!$O$5:$O$224,0)</f>
        <v>0</v>
      </c>
      <c r="F14" s="28" t="n">
        <f aca="false">COUNTIFS('Purchase Management'!$C$5:$C$224,A14,'Purchase Management'!$O$5:$O$224,"&gt;0")</f>
        <v>3</v>
      </c>
      <c r="G14" s="30" t="n">
        <f aca="false">VLOOKUP(A14,'Supplier Database'!$A$5:$K$29,9,FALSE())+IFERROR(AVERAGEIF('Purchase Management'!$C$5:$C$224,A14,'Purchase Management'!$O$5:$O$224),0)</f>
        <v>7.66666666666667</v>
      </c>
      <c r="H14" s="28" t="n">
        <f aca="false">ROUND(SUMIF('Purchase Management'!$C$5:$C$224,A14,'Purchase Management'!$G$5:$G$224)*(5.5-VLOOKUP(A14,'Supplier Database'!$A$5:$K$29,10,FALSE()))*0.012,0)</f>
        <v>25</v>
      </c>
      <c r="I14" s="31" t="n">
        <f aca="false">IFERROR(1-H14/MAX(1,SUMIF('Purchase Management'!$C$5:$C$224,A14,'Purchase Management'!$G$5:$G$224)),1)</f>
        <v>0.968233799237611</v>
      </c>
      <c r="J14" s="31" t="n">
        <f aca="false">IFERROR(E14/MAX(1,E14+F14),0)</f>
        <v>0</v>
      </c>
      <c r="K14" s="30" t="n">
        <f aca="false">ROUND(0.45*J14*100+0.35*I14*100+0.2*(VLOOKUP(A14,'Supplier Database'!$A$5:$K$29,10,FALSE())*20),1)</f>
        <v>45.5</v>
      </c>
      <c r="L14" s="32" t="str">
        <f aca="false">IF(K14&gt;=85,"Excellent",IF(K14&gt;=75,"Good",IF(K14&gt;=65,"Average","Poor")))</f>
        <v>Poor</v>
      </c>
    </row>
    <row r="15" customFormat="false" ht="15" hidden="false" customHeight="false" outlineLevel="0" collapsed="false">
      <c r="A15" s="18" t="s">
        <v>151</v>
      </c>
      <c r="B15" s="20" t="str">
        <f aca="false">VLOOKUP(A15,'Supplier Database'!$A$5:$K$29,2,FALSE())</f>
        <v>Delta Trading Co.</v>
      </c>
      <c r="C15" s="17" t="n">
        <f aca="false">COUNTIF('Purchase Management'!$C$5:$C$224,A15)</f>
        <v>10</v>
      </c>
      <c r="D15" s="16" t="n">
        <f aca="false">SUMIF('Purchase Management'!$C$5:$C$224,A15,'Purchase Management'!$I$5:$I$224)</f>
        <v>20947982.26</v>
      </c>
      <c r="E15" s="17" t="n">
        <f aca="false">COUNTIFS('Purchase Management'!$C$5:$C$224,A15,'Purchase Management'!$N$5:$N$224,"Received",'Purchase Management'!$O$5:$O$224,0)</f>
        <v>4</v>
      </c>
      <c r="F15" s="17" t="n">
        <f aca="false">COUNTIFS('Purchase Management'!$C$5:$C$224,A15,'Purchase Management'!$O$5:$O$224,"&gt;0")</f>
        <v>4</v>
      </c>
      <c r="G15" s="21" t="n">
        <f aca="false">VLOOKUP(A15,'Supplier Database'!$A$5:$K$29,9,FALSE())+IFERROR(AVERAGEIF('Purchase Management'!$C$5:$C$224,A15,'Purchase Management'!$O$5:$O$224),0)</f>
        <v>11.4</v>
      </c>
      <c r="H15" s="17" t="n">
        <f aca="false">ROUND(SUMIF('Purchase Management'!$C$5:$C$224,A15,'Purchase Management'!$G$5:$G$224)*(5.5-VLOOKUP(A15,'Supplier Database'!$A$5:$K$29,10,FALSE()))*0.012,0)</f>
        <v>86</v>
      </c>
      <c r="I15" s="19" t="n">
        <f aca="false">IFERROR(1-H15/MAX(1,SUMIF('Purchase Management'!$C$5:$C$224,A15,'Purchase Management'!$G$5:$G$224)),1)</f>
        <v>0.974905164867231</v>
      </c>
      <c r="J15" s="19" t="n">
        <f aca="false">IFERROR(E15/MAX(1,E15+F15),0)</f>
        <v>0.5</v>
      </c>
      <c r="K15" s="21" t="n">
        <f aca="false">ROUND(0.45*J15*100+0.35*I15*100+0.2*(VLOOKUP(A15,'Supplier Database'!$A$5:$K$29,10,FALSE())*20),1)</f>
        <v>70.2</v>
      </c>
      <c r="L15" s="23" t="str">
        <f aca="false">IF(K15&gt;=85,"Excellent",IF(K15&gt;=75,"Good",IF(K15&gt;=65,"Average","Poor")))</f>
        <v>Average</v>
      </c>
    </row>
    <row r="16" customFormat="false" ht="15" hidden="false" customHeight="false" outlineLevel="0" collapsed="false">
      <c r="A16" s="26" t="s">
        <v>152</v>
      </c>
      <c r="B16" s="27" t="str">
        <f aca="false">VLOOKUP(A16,'Supplier Database'!$A$5:$K$29,2,FALSE())</f>
        <v>Ever Logistics</v>
      </c>
      <c r="C16" s="28" t="n">
        <f aca="false">COUNTIF('Purchase Management'!$C$5:$C$224,A16)</f>
        <v>11</v>
      </c>
      <c r="D16" s="29" t="n">
        <f aca="false">SUMIF('Purchase Management'!$C$5:$C$224,A16,'Purchase Management'!$I$5:$I$224)</f>
        <v>11196675.7</v>
      </c>
      <c r="E16" s="28" t="n">
        <f aca="false">COUNTIFS('Purchase Management'!$C$5:$C$224,A16,'Purchase Management'!$N$5:$N$224,"Received",'Purchase Management'!$O$5:$O$224,0)</f>
        <v>7</v>
      </c>
      <c r="F16" s="28" t="n">
        <f aca="false">COUNTIFS('Purchase Management'!$C$5:$C$224,A16,'Purchase Management'!$O$5:$O$224,"&gt;0")</f>
        <v>2</v>
      </c>
      <c r="G16" s="30" t="n">
        <f aca="false">VLOOKUP(A16,'Supplier Database'!$A$5:$K$29,9,FALSE())+IFERROR(AVERAGEIF('Purchase Management'!$C$5:$C$224,A16,'Purchase Management'!$O$5:$O$224),0)</f>
        <v>3.27272727272727</v>
      </c>
      <c r="H16" s="28" t="n">
        <f aca="false">ROUND(SUMIF('Purchase Management'!$C$5:$C$224,A16,'Purchase Management'!$G$5:$G$224)*(5.5-VLOOKUP(A16,'Supplier Database'!$A$5:$K$29,10,FALSE()))*0.012,0)</f>
        <v>39</v>
      </c>
      <c r="I16" s="31" t="n">
        <f aca="false">IFERROR(1-H16/MAX(1,SUMIF('Purchase Management'!$C$5:$C$224,A16,'Purchase Management'!$G$5:$G$224)),1)</f>
        <v>0.98792195726231</v>
      </c>
      <c r="J16" s="31" t="n">
        <f aca="false">IFERROR(E16/MAX(1,E16+F16),0)</f>
        <v>0.777777777777778</v>
      </c>
      <c r="K16" s="30" t="n">
        <f aca="false">ROUND(0.45*J16*100+0.35*I16*100+0.2*(VLOOKUP(A16,'Supplier Database'!$A$5:$K$29,10,FALSE())*20),1)</f>
        <v>87.6</v>
      </c>
      <c r="L16" s="32" t="str">
        <f aca="false">IF(K16&gt;=85,"Excellent",IF(K16&gt;=75,"Good",IF(K16&gt;=65,"Average","Poor")))</f>
        <v>Excellent</v>
      </c>
    </row>
    <row r="17" customFormat="false" ht="15" hidden="false" customHeight="false" outlineLevel="0" collapsed="false">
      <c r="A17" s="18" t="s">
        <v>153</v>
      </c>
      <c r="B17" s="20" t="str">
        <f aca="false">VLOOKUP(A17,'Supplier Database'!$A$5:$K$29,2,FALSE())</f>
        <v>Frontier Wholesale</v>
      </c>
      <c r="C17" s="17" t="n">
        <f aca="false">COUNTIF('Purchase Management'!$C$5:$C$224,A17)</f>
        <v>9</v>
      </c>
      <c r="D17" s="16" t="n">
        <f aca="false">SUMIF('Purchase Management'!$C$5:$C$224,A17,'Purchase Management'!$I$5:$I$224)</f>
        <v>9951347.41</v>
      </c>
      <c r="E17" s="17" t="n">
        <f aca="false">COUNTIFS('Purchase Management'!$C$5:$C$224,A17,'Purchase Management'!$N$5:$N$224,"Received",'Purchase Management'!$O$5:$O$224,0)</f>
        <v>2</v>
      </c>
      <c r="F17" s="17" t="n">
        <f aca="false">COUNTIFS('Purchase Management'!$C$5:$C$224,A17,'Purchase Management'!$O$5:$O$224,"&gt;0")</f>
        <v>5</v>
      </c>
      <c r="G17" s="21" t="n">
        <f aca="false">VLOOKUP(A17,'Supplier Database'!$A$5:$K$29,9,FALSE())+IFERROR(AVERAGEIF('Purchase Management'!$C$5:$C$224,A17,'Purchase Management'!$O$5:$O$224),0)</f>
        <v>13.4444444444444</v>
      </c>
      <c r="H17" s="17" t="n">
        <f aca="false">ROUND(SUMIF('Purchase Management'!$C$5:$C$224,A17,'Purchase Management'!$G$5:$G$224)*(5.5-VLOOKUP(A17,'Supplier Database'!$A$5:$K$29,10,FALSE()))*0.012,0)</f>
        <v>43</v>
      </c>
      <c r="I17" s="19" t="n">
        <f aca="false">IFERROR(1-H17/MAX(1,SUMIF('Purchase Management'!$C$5:$C$224,A17,'Purchase Management'!$G$5:$G$224)),1)</f>
        <v>0.984266373948042</v>
      </c>
      <c r="J17" s="19" t="n">
        <f aca="false">IFERROR(E17/MAX(1,E17+F17),0)</f>
        <v>0.285714285714286</v>
      </c>
      <c r="K17" s="21" t="n">
        <f aca="false">ROUND(0.45*J17*100+0.35*I17*100+0.2*(VLOOKUP(A17,'Supplier Database'!$A$5:$K$29,10,FALSE())*20),1)</f>
        <v>64.1</v>
      </c>
      <c r="L17" s="23" t="str">
        <f aca="false">IF(K17&gt;=85,"Excellent",IF(K17&gt;=75,"Good",IF(K17&gt;=65,"Average","Poor")))</f>
        <v>Poor</v>
      </c>
    </row>
    <row r="18" customFormat="false" ht="15" hidden="false" customHeight="false" outlineLevel="0" collapsed="false">
      <c r="A18" s="26" t="s">
        <v>154</v>
      </c>
      <c r="B18" s="27" t="str">
        <f aca="false">VLOOKUP(A18,'Supplier Database'!$A$5:$K$29,2,FALSE())</f>
        <v>Global Partners</v>
      </c>
      <c r="C18" s="28" t="n">
        <f aca="false">COUNTIF('Purchase Management'!$C$5:$C$224,A18)</f>
        <v>7</v>
      </c>
      <c r="D18" s="29" t="n">
        <f aca="false">SUMIF('Purchase Management'!$C$5:$C$224,A18,'Purchase Management'!$I$5:$I$224)</f>
        <v>8152619.88</v>
      </c>
      <c r="E18" s="28" t="n">
        <f aca="false">COUNTIFS('Purchase Management'!$C$5:$C$224,A18,'Purchase Management'!$N$5:$N$224,"Received",'Purchase Management'!$O$5:$O$224,0)</f>
        <v>4</v>
      </c>
      <c r="F18" s="28" t="n">
        <f aca="false">COUNTIFS('Purchase Management'!$C$5:$C$224,A18,'Purchase Management'!$O$5:$O$224,"&gt;0")</f>
        <v>3</v>
      </c>
      <c r="G18" s="30" t="n">
        <f aca="false">VLOOKUP(A18,'Supplier Database'!$A$5:$K$29,9,FALSE())+IFERROR(AVERAGEIF('Purchase Management'!$C$5:$C$224,A18,'Purchase Management'!$O$5:$O$224),0)</f>
        <v>15.5714285714286</v>
      </c>
      <c r="H18" s="28" t="n">
        <f aca="false">ROUND(SUMIF('Purchase Management'!$C$5:$C$224,A18,'Purchase Management'!$G$5:$G$224)*(5.5-VLOOKUP(A18,'Supplier Database'!$A$5:$K$29,10,FALSE()))*0.012,0)</f>
        <v>25</v>
      </c>
      <c r="I18" s="31" t="n">
        <f aca="false">IFERROR(1-H18/MAX(1,SUMIF('Purchase Management'!$C$5:$C$224,A18,'Purchase Management'!$G$5:$G$224)),1)</f>
        <v>0.989035087719298</v>
      </c>
      <c r="J18" s="31" t="n">
        <f aca="false">IFERROR(E18/MAX(1,E18+F18),0)</f>
        <v>0.571428571428571</v>
      </c>
      <c r="K18" s="30" t="n">
        <f aca="false">ROUND(0.45*J18*100+0.35*I18*100+0.2*(VLOOKUP(A18,'Supplier Database'!$A$5:$K$29,10,FALSE())*20),1)</f>
        <v>78.7</v>
      </c>
      <c r="L18" s="32" t="str">
        <f aca="false">IF(K18&gt;=85,"Excellent",IF(K18&gt;=75,"Good",IF(K18&gt;=65,"Average","Poor")))</f>
        <v>Good</v>
      </c>
    </row>
    <row r="19" customFormat="false" ht="15" hidden="false" customHeight="false" outlineLevel="0" collapsed="false">
      <c r="A19" s="18" t="s">
        <v>155</v>
      </c>
      <c r="B19" s="20" t="str">
        <f aca="false">VLOOKUP(A19,'Supplier Database'!$A$5:$K$29,2,FALSE())</f>
        <v>Horizon Supplies</v>
      </c>
      <c r="C19" s="17" t="n">
        <f aca="false">COUNTIF('Purchase Management'!$C$5:$C$224,A19)</f>
        <v>11</v>
      </c>
      <c r="D19" s="16" t="n">
        <f aca="false">SUMIF('Purchase Management'!$C$5:$C$224,A19,'Purchase Management'!$I$5:$I$224)</f>
        <v>8308347.45</v>
      </c>
      <c r="E19" s="17" t="n">
        <f aca="false">COUNTIFS('Purchase Management'!$C$5:$C$224,A19,'Purchase Management'!$N$5:$N$224,"Received",'Purchase Management'!$O$5:$O$224,0)</f>
        <v>7</v>
      </c>
      <c r="F19" s="17" t="n">
        <f aca="false">COUNTIFS('Purchase Management'!$C$5:$C$224,A19,'Purchase Management'!$O$5:$O$224,"&gt;0")</f>
        <v>2</v>
      </c>
      <c r="G19" s="21" t="n">
        <f aca="false">VLOOKUP(A19,'Supplier Database'!$A$5:$K$29,9,FALSE())+IFERROR(AVERAGEIF('Purchase Management'!$C$5:$C$224,A19,'Purchase Management'!$O$5:$O$224),0)</f>
        <v>5.63636363636364</v>
      </c>
      <c r="H19" s="17" t="n">
        <f aca="false">ROUND(SUMIF('Purchase Management'!$C$5:$C$224,A19,'Purchase Management'!$G$5:$G$224)*(5.5-VLOOKUP(A19,'Supplier Database'!$A$5:$K$29,10,FALSE()))*0.012,0)</f>
        <v>37</v>
      </c>
      <c r="I19" s="19" t="n">
        <f aca="false">IFERROR(1-H19/MAX(1,SUMIF('Purchase Management'!$C$5:$C$224,A19,'Purchase Management'!$G$5:$G$224)),1)</f>
        <v>0.984531772575251</v>
      </c>
      <c r="J19" s="19" t="n">
        <f aca="false">IFERROR(E19/MAX(1,E19+F19),0)</f>
        <v>0.777777777777778</v>
      </c>
      <c r="K19" s="21" t="n">
        <f aca="false">ROUND(0.45*J19*100+0.35*I19*100+0.2*(VLOOKUP(A19,'Supplier Database'!$A$5:$K$29,10,FALSE())*20),1)</f>
        <v>86.3</v>
      </c>
      <c r="L19" s="23" t="str">
        <f aca="false">IF(K19&gt;=85,"Excellent",IF(K19&gt;=75,"Good",IF(K19&gt;=65,"Average","Poor")))</f>
        <v>Excellent</v>
      </c>
    </row>
    <row r="20" customFormat="false" ht="15" hidden="false" customHeight="false" outlineLevel="0" collapsed="false">
      <c r="A20" s="26" t="s">
        <v>156</v>
      </c>
      <c r="B20" s="27" t="str">
        <f aca="false">VLOOKUP(A20,'Supplier Database'!$A$5:$K$29,2,FALSE())</f>
        <v>Indus Distributors</v>
      </c>
      <c r="C20" s="28" t="n">
        <f aca="false">COUNTIF('Purchase Management'!$C$5:$C$224,A20)</f>
        <v>4</v>
      </c>
      <c r="D20" s="29" t="n">
        <f aca="false">SUMIF('Purchase Management'!$C$5:$C$224,A20,'Purchase Management'!$I$5:$I$224)</f>
        <v>4328441.47</v>
      </c>
      <c r="E20" s="28" t="n">
        <f aca="false">COUNTIFS('Purchase Management'!$C$5:$C$224,A20,'Purchase Management'!$N$5:$N$224,"Received",'Purchase Management'!$O$5:$O$224,0)</f>
        <v>3</v>
      </c>
      <c r="F20" s="28" t="n">
        <f aca="false">COUNTIFS('Purchase Management'!$C$5:$C$224,A20,'Purchase Management'!$O$5:$O$224,"&gt;0")</f>
        <v>1</v>
      </c>
      <c r="G20" s="30" t="n">
        <f aca="false">VLOOKUP(A20,'Supplier Database'!$A$5:$K$29,9,FALSE())+IFERROR(AVERAGEIF('Purchase Management'!$C$5:$C$224,A20,'Purchase Management'!$O$5:$O$224),0)</f>
        <v>9.5</v>
      </c>
      <c r="H20" s="28" t="n">
        <f aca="false">ROUND(SUMIF('Purchase Management'!$C$5:$C$224,A20,'Purchase Management'!$G$5:$G$224)*(5.5-VLOOKUP(A20,'Supplier Database'!$A$5:$K$29,10,FALSE()))*0.012,0)</f>
        <v>7</v>
      </c>
      <c r="I20" s="31" t="n">
        <f aca="false">IFERROR(1-H20/MAX(1,SUMIF('Purchase Management'!$C$5:$C$224,A20,'Purchase Management'!$G$5:$G$224)),1)</f>
        <v>0.993143976493634</v>
      </c>
      <c r="J20" s="31" t="n">
        <f aca="false">IFERROR(E20/MAX(1,E20+F20),0)</f>
        <v>0.75</v>
      </c>
      <c r="K20" s="30" t="n">
        <f aca="false">ROUND(0.45*J20*100+0.35*I20*100+0.2*(VLOOKUP(A20,'Supplier Database'!$A$5:$K$29,10,FALSE())*20),1)</f>
        <v>88.1</v>
      </c>
      <c r="L20" s="32" t="str">
        <f aca="false">IF(K20&gt;=85,"Excellent",IF(K20&gt;=75,"Good",IF(K20&gt;=65,"Average","Poor")))</f>
        <v>Excellent</v>
      </c>
    </row>
    <row r="21" customFormat="false" ht="15" hidden="false" customHeight="false" outlineLevel="0" collapsed="false">
      <c r="A21" s="18" t="s">
        <v>157</v>
      </c>
      <c r="B21" s="20" t="str">
        <f aca="false">VLOOKUP(A21,'Supplier Database'!$A$5:$K$29,2,FALSE())</f>
        <v>Jupiter Industries</v>
      </c>
      <c r="C21" s="17" t="n">
        <f aca="false">COUNTIF('Purchase Management'!$C$5:$C$224,A21)</f>
        <v>12</v>
      </c>
      <c r="D21" s="16" t="n">
        <f aca="false">SUMIF('Purchase Management'!$C$5:$C$224,A21,'Purchase Management'!$I$5:$I$224)</f>
        <v>12994659.97</v>
      </c>
      <c r="E21" s="17" t="n">
        <f aca="false">COUNTIFS('Purchase Management'!$C$5:$C$224,A21,'Purchase Management'!$N$5:$N$224,"Received",'Purchase Management'!$O$5:$O$224,0)</f>
        <v>7</v>
      </c>
      <c r="F21" s="17" t="n">
        <f aca="false">COUNTIFS('Purchase Management'!$C$5:$C$224,A21,'Purchase Management'!$O$5:$O$224,"&gt;0")</f>
        <v>2</v>
      </c>
      <c r="G21" s="21" t="n">
        <f aca="false">VLOOKUP(A21,'Supplier Database'!$A$5:$K$29,9,FALSE())+IFERROR(AVERAGEIF('Purchase Management'!$C$5:$C$224,A21,'Purchase Management'!$O$5:$O$224),0)</f>
        <v>14.6666666666667</v>
      </c>
      <c r="H21" s="17" t="n">
        <f aca="false">ROUND(SUMIF('Purchase Management'!$C$5:$C$224,A21,'Purchase Management'!$G$5:$G$224)*(5.5-VLOOKUP(A21,'Supplier Database'!$A$5:$K$29,10,FALSE()))*0.012,0)</f>
        <v>40</v>
      </c>
      <c r="I21" s="19" t="n">
        <f aca="false">IFERROR(1-H21/MAX(1,SUMIF('Purchase Management'!$C$5:$C$224,A21,'Purchase Management'!$G$5:$G$224)),1)</f>
        <v>0.987867758568396</v>
      </c>
      <c r="J21" s="19" t="n">
        <f aca="false">IFERROR(E21/MAX(1,E21+F21),0)</f>
        <v>0.777777777777778</v>
      </c>
      <c r="K21" s="21" t="n">
        <f aca="false">ROUND(0.45*J21*100+0.35*I21*100+0.2*(VLOOKUP(A21,'Supplier Database'!$A$5:$K$29,10,FALSE())*20),1)</f>
        <v>87.6</v>
      </c>
      <c r="L21" s="23" t="str">
        <f aca="false">IF(K21&gt;=85,"Excellent",IF(K21&gt;=75,"Good",IF(K21&gt;=65,"Average","Poor")))</f>
        <v>Excellent</v>
      </c>
    </row>
    <row r="22" customFormat="false" ht="15" hidden="false" customHeight="false" outlineLevel="0" collapsed="false">
      <c r="A22" s="26" t="s">
        <v>158</v>
      </c>
      <c r="B22" s="27" t="str">
        <f aca="false">VLOOKUP(A22,'Supplier Database'!$A$5:$K$29,2,FALSE())</f>
        <v>Kinetic Trading Co.</v>
      </c>
      <c r="C22" s="28" t="n">
        <f aca="false">COUNTIF('Purchase Management'!$C$5:$C$224,A22)</f>
        <v>11</v>
      </c>
      <c r="D22" s="29" t="n">
        <f aca="false">SUMIF('Purchase Management'!$C$5:$C$224,A22,'Purchase Management'!$I$5:$I$224)</f>
        <v>9110465.18</v>
      </c>
      <c r="E22" s="28" t="n">
        <f aca="false">COUNTIFS('Purchase Management'!$C$5:$C$224,A22,'Purchase Management'!$N$5:$N$224,"Received",'Purchase Management'!$O$5:$O$224,0)</f>
        <v>4</v>
      </c>
      <c r="F22" s="28" t="n">
        <f aca="false">COUNTIFS('Purchase Management'!$C$5:$C$224,A22,'Purchase Management'!$O$5:$O$224,"&gt;0")</f>
        <v>5</v>
      </c>
      <c r="G22" s="30" t="n">
        <f aca="false">VLOOKUP(A22,'Supplier Database'!$A$5:$K$29,9,FALSE())+IFERROR(AVERAGEIF('Purchase Management'!$C$5:$C$224,A22,'Purchase Management'!$O$5:$O$224),0)</f>
        <v>13.2727272727273</v>
      </c>
      <c r="H22" s="28" t="n">
        <f aca="false">ROUND(SUMIF('Purchase Management'!$C$5:$C$224,A22,'Purchase Management'!$G$5:$G$224)*(5.5-VLOOKUP(A22,'Supplier Database'!$A$5:$K$29,10,FALSE()))*0.012,0)</f>
        <v>18</v>
      </c>
      <c r="I22" s="31" t="n">
        <f aca="false">IFERROR(1-H22/MAX(1,SUMIF('Purchase Management'!$C$5:$C$224,A22,'Purchase Management'!$G$5:$G$224)),1)</f>
        <v>0.990486257928118</v>
      </c>
      <c r="J22" s="31" t="n">
        <f aca="false">IFERROR(E22/MAX(1,E22+F22),0)</f>
        <v>0.444444444444444</v>
      </c>
      <c r="K22" s="30" t="n">
        <f aca="false">ROUND(0.45*J22*100+0.35*I22*100+0.2*(VLOOKUP(A22,'Supplier Database'!$A$5:$K$29,10,FALSE())*20),1)</f>
        <v>73.5</v>
      </c>
      <c r="L22" s="32" t="str">
        <f aca="false">IF(K22&gt;=85,"Excellent",IF(K22&gt;=75,"Good",IF(K22&gt;=65,"Average","Poor")))</f>
        <v>Average</v>
      </c>
    </row>
    <row r="23" customFormat="false" ht="15" hidden="false" customHeight="false" outlineLevel="0" collapsed="false">
      <c r="A23" s="18" t="s">
        <v>159</v>
      </c>
      <c r="B23" s="20" t="str">
        <f aca="false">VLOOKUP(A23,'Supplier Database'!$A$5:$K$29,2,FALSE())</f>
        <v>Lotus Logistics</v>
      </c>
      <c r="C23" s="17" t="n">
        <f aca="false">COUNTIF('Purchase Management'!$C$5:$C$224,A23)</f>
        <v>10</v>
      </c>
      <c r="D23" s="16" t="n">
        <f aca="false">SUMIF('Purchase Management'!$C$5:$C$224,A23,'Purchase Management'!$I$5:$I$224)</f>
        <v>13330848.33</v>
      </c>
      <c r="E23" s="17" t="n">
        <f aca="false">COUNTIFS('Purchase Management'!$C$5:$C$224,A23,'Purchase Management'!$N$5:$N$224,"Received",'Purchase Management'!$O$5:$O$224,0)</f>
        <v>7</v>
      </c>
      <c r="F23" s="17" t="n">
        <f aca="false">COUNTIFS('Purchase Management'!$C$5:$C$224,A23,'Purchase Management'!$O$5:$O$224,"&gt;0")</f>
        <v>3</v>
      </c>
      <c r="G23" s="21" t="n">
        <f aca="false">VLOOKUP(A23,'Supplier Database'!$A$5:$K$29,9,FALSE())+IFERROR(AVERAGEIF('Purchase Management'!$C$5:$C$224,A23,'Purchase Management'!$O$5:$O$224),0)</f>
        <v>11.3</v>
      </c>
      <c r="H23" s="17" t="n">
        <f aca="false">ROUND(SUMIF('Purchase Management'!$C$5:$C$224,A23,'Purchase Management'!$G$5:$G$224)*(5.5-VLOOKUP(A23,'Supplier Database'!$A$5:$K$29,10,FALSE()))*0.012,0)</f>
        <v>26</v>
      </c>
      <c r="I23" s="19" t="n">
        <f aca="false">IFERROR(1-H23/MAX(1,SUMIF('Purchase Management'!$C$5:$C$224,A23,'Purchase Management'!$G$5:$G$224)),1)</f>
        <v>0.989251756924349</v>
      </c>
      <c r="J23" s="19" t="n">
        <f aca="false">IFERROR(E23/MAX(1,E23+F23),0)</f>
        <v>0.7</v>
      </c>
      <c r="K23" s="21" t="n">
        <f aca="false">ROUND(0.45*J23*100+0.35*I23*100+0.2*(VLOOKUP(A23,'Supplier Database'!$A$5:$K$29,10,FALSE())*20),1)</f>
        <v>84.5</v>
      </c>
      <c r="L23" s="23" t="str">
        <f aca="false">IF(K23&gt;=85,"Excellent",IF(K23&gt;=75,"Good",IF(K23&gt;=65,"Average","Poor")))</f>
        <v>Good</v>
      </c>
    </row>
    <row r="24" customFormat="false" ht="15" hidden="false" customHeight="false" outlineLevel="0" collapsed="false">
      <c r="A24" s="26" t="s">
        <v>160</v>
      </c>
      <c r="B24" s="27" t="str">
        <f aca="false">VLOOKUP(A24,'Supplier Database'!$A$5:$K$29,2,FALSE())</f>
        <v>Meridian Wholesale</v>
      </c>
      <c r="C24" s="28" t="n">
        <f aca="false">COUNTIF('Purchase Management'!$C$5:$C$224,A24)</f>
        <v>5</v>
      </c>
      <c r="D24" s="29" t="n">
        <f aca="false">SUMIF('Purchase Management'!$C$5:$C$224,A24,'Purchase Management'!$I$5:$I$224)</f>
        <v>5768775.07</v>
      </c>
      <c r="E24" s="28" t="n">
        <f aca="false">COUNTIFS('Purchase Management'!$C$5:$C$224,A24,'Purchase Management'!$N$5:$N$224,"Received",'Purchase Management'!$O$5:$O$224,0)</f>
        <v>1</v>
      </c>
      <c r="F24" s="28" t="n">
        <f aca="false">COUNTIFS('Purchase Management'!$C$5:$C$224,A24,'Purchase Management'!$O$5:$O$224,"&gt;0")</f>
        <v>4</v>
      </c>
      <c r="G24" s="30" t="n">
        <f aca="false">VLOOKUP(A24,'Supplier Database'!$A$5:$K$29,9,FALSE())+IFERROR(AVERAGEIF('Purchase Management'!$C$5:$C$224,A24,'Purchase Management'!$O$5:$O$224),0)</f>
        <v>4.2</v>
      </c>
      <c r="H24" s="28" t="n">
        <f aca="false">ROUND(SUMIF('Purchase Management'!$C$5:$C$224,A24,'Purchase Management'!$G$5:$G$224)*(5.5-VLOOKUP(A24,'Supplier Database'!$A$5:$K$29,10,FALSE()))*0.012,0)</f>
        <v>17</v>
      </c>
      <c r="I24" s="31" t="n">
        <f aca="false">IFERROR(1-H24/MAX(1,SUMIF('Purchase Management'!$C$5:$C$224,A24,'Purchase Management'!$G$5:$G$224)),1)</f>
        <v>0.983479105928086</v>
      </c>
      <c r="J24" s="31" t="n">
        <f aca="false">IFERROR(E24/MAX(1,E24+F24),0)</f>
        <v>0.2</v>
      </c>
      <c r="K24" s="30" t="n">
        <f aca="false">ROUND(0.45*J24*100+0.35*I24*100+0.2*(VLOOKUP(A24,'Supplier Database'!$A$5:$K$29,10,FALSE())*20),1)</f>
        <v>59.8</v>
      </c>
      <c r="L24" s="32" t="str">
        <f aca="false">IF(K24&gt;=85,"Excellent",IF(K24&gt;=75,"Good",IF(K24&gt;=65,"Average","Poor")))</f>
        <v>Poor</v>
      </c>
    </row>
    <row r="25" customFormat="false" ht="15" hidden="false" customHeight="false" outlineLevel="0" collapsed="false">
      <c r="A25" s="18" t="s">
        <v>161</v>
      </c>
      <c r="B25" s="20" t="str">
        <f aca="false">VLOOKUP(A25,'Supplier Database'!$A$5:$K$29,2,FALSE())</f>
        <v>Northstar Partners</v>
      </c>
      <c r="C25" s="17" t="n">
        <f aca="false">COUNTIF('Purchase Management'!$C$5:$C$224,A25)</f>
        <v>8</v>
      </c>
      <c r="D25" s="16" t="n">
        <f aca="false">SUMIF('Purchase Management'!$C$5:$C$224,A25,'Purchase Management'!$I$5:$I$224)</f>
        <v>5995735.83</v>
      </c>
      <c r="E25" s="17" t="n">
        <f aca="false">COUNTIFS('Purchase Management'!$C$5:$C$224,A25,'Purchase Management'!$N$5:$N$224,"Received",'Purchase Management'!$O$5:$O$224,0)</f>
        <v>4</v>
      </c>
      <c r="F25" s="17" t="n">
        <f aca="false">COUNTIFS('Purchase Management'!$C$5:$C$224,A25,'Purchase Management'!$O$5:$O$224,"&gt;0")</f>
        <v>4</v>
      </c>
      <c r="G25" s="21" t="n">
        <f aca="false">VLOOKUP(A25,'Supplier Database'!$A$5:$K$29,9,FALSE())+IFERROR(AVERAGEIF('Purchase Management'!$C$5:$C$224,A25,'Purchase Management'!$O$5:$O$224),0)</f>
        <v>4.75</v>
      </c>
      <c r="H25" s="17" t="n">
        <f aca="false">ROUND(SUMIF('Purchase Management'!$C$5:$C$224,A25,'Purchase Management'!$G$5:$G$224)*(5.5-VLOOKUP(A25,'Supplier Database'!$A$5:$K$29,10,FALSE()))*0.012,0)</f>
        <v>11</v>
      </c>
      <c r="I25" s="19" t="n">
        <f aca="false">IFERROR(1-H25/MAX(1,SUMIF('Purchase Management'!$C$5:$C$224,A25,'Purchase Management'!$G$5:$G$224)),1)</f>
        <v>0.993011435832275</v>
      </c>
      <c r="J25" s="19" t="n">
        <f aca="false">IFERROR(E25/MAX(1,E25+F25),0)</f>
        <v>0.5</v>
      </c>
      <c r="K25" s="21" t="n">
        <f aca="false">ROUND(0.45*J25*100+0.35*I25*100+0.2*(VLOOKUP(A25,'Supplier Database'!$A$5:$K$29,10,FALSE())*20),1)</f>
        <v>76.9</v>
      </c>
      <c r="L25" s="23" t="str">
        <f aca="false">IF(K25&gt;=85,"Excellent",IF(K25&gt;=75,"Good",IF(K25&gt;=65,"Average","Poor")))</f>
        <v>Good</v>
      </c>
    </row>
    <row r="26" customFormat="false" ht="15" hidden="false" customHeight="false" outlineLevel="0" collapsed="false">
      <c r="A26" s="26" t="s">
        <v>162</v>
      </c>
      <c r="B26" s="27" t="str">
        <f aca="false">VLOOKUP(A26,'Supplier Database'!$A$5:$K$29,2,FALSE())</f>
        <v>Orbit Supplies</v>
      </c>
      <c r="C26" s="28" t="n">
        <f aca="false">COUNTIF('Purchase Management'!$C$5:$C$224,A26)</f>
        <v>16</v>
      </c>
      <c r="D26" s="29" t="n">
        <f aca="false">SUMIF('Purchase Management'!$C$5:$C$224,A26,'Purchase Management'!$I$5:$I$224)</f>
        <v>19263741.26</v>
      </c>
      <c r="E26" s="28" t="n">
        <f aca="false">COUNTIFS('Purchase Management'!$C$5:$C$224,A26,'Purchase Management'!$N$5:$N$224,"Received",'Purchase Management'!$O$5:$O$224,0)</f>
        <v>2</v>
      </c>
      <c r="F26" s="28" t="n">
        <f aca="false">COUNTIFS('Purchase Management'!$C$5:$C$224,A26,'Purchase Management'!$O$5:$O$224,"&gt;0")</f>
        <v>11</v>
      </c>
      <c r="G26" s="30" t="n">
        <f aca="false">VLOOKUP(A26,'Supplier Database'!$A$5:$K$29,9,FALSE())+IFERROR(AVERAGEIF('Purchase Management'!$C$5:$C$224,A26,'Purchase Management'!$O$5:$O$224),0)</f>
        <v>17.0625</v>
      </c>
      <c r="H26" s="28" t="n">
        <f aca="false">ROUND(SUMIF('Purchase Management'!$C$5:$C$224,A26,'Purchase Management'!$G$5:$G$224)*(5.5-VLOOKUP(A26,'Supplier Database'!$A$5:$K$29,10,FALSE()))*0.012,0)</f>
        <v>154</v>
      </c>
      <c r="I26" s="31" t="n">
        <f aca="false">IFERROR(1-H26/MAX(1,SUMIF('Purchase Management'!$C$5:$C$224,A26,'Purchase Management'!$G$5:$G$224)),1)</f>
        <v>0.969933619679813</v>
      </c>
      <c r="J26" s="31" t="n">
        <f aca="false">IFERROR(E26/MAX(1,E26+F26),0)</f>
        <v>0.153846153846154</v>
      </c>
      <c r="K26" s="30" t="n">
        <f aca="false">ROUND(0.45*J26*100+0.35*I26*100+0.2*(VLOOKUP(A26,'Supplier Database'!$A$5:$K$29,10,FALSE())*20),1)</f>
        <v>52.9</v>
      </c>
      <c r="L26" s="32" t="str">
        <f aca="false">IF(K26&gt;=85,"Excellent",IF(K26&gt;=75,"Good",IF(K26&gt;=65,"Average","Poor")))</f>
        <v>Poor</v>
      </c>
    </row>
    <row r="27" customFormat="false" ht="15" hidden="false" customHeight="false" outlineLevel="0" collapsed="false">
      <c r="A27" s="18" t="s">
        <v>163</v>
      </c>
      <c r="B27" s="20" t="str">
        <f aca="false">VLOOKUP(A27,'Supplier Database'!$A$5:$K$29,2,FALSE())</f>
        <v>Pioneer Distributors</v>
      </c>
      <c r="C27" s="17" t="n">
        <f aca="false">COUNTIF('Purchase Management'!$C$5:$C$224,A27)</f>
        <v>6</v>
      </c>
      <c r="D27" s="16" t="n">
        <f aca="false">SUMIF('Purchase Management'!$C$5:$C$224,A27,'Purchase Management'!$I$5:$I$224)</f>
        <v>8632644.61</v>
      </c>
      <c r="E27" s="17" t="n">
        <f aca="false">COUNTIFS('Purchase Management'!$C$5:$C$224,A27,'Purchase Management'!$N$5:$N$224,"Received",'Purchase Management'!$O$5:$O$224,0)</f>
        <v>1</v>
      </c>
      <c r="F27" s="17" t="n">
        <f aca="false">COUNTIFS('Purchase Management'!$C$5:$C$224,A27,'Purchase Management'!$O$5:$O$224,"&gt;0")</f>
        <v>5</v>
      </c>
      <c r="G27" s="21" t="n">
        <f aca="false">VLOOKUP(A27,'Supplier Database'!$A$5:$K$29,9,FALSE())+IFERROR(AVERAGEIF('Purchase Management'!$C$5:$C$224,A27,'Purchase Management'!$O$5:$O$224),0)</f>
        <v>11</v>
      </c>
      <c r="H27" s="17" t="n">
        <f aca="false">ROUND(SUMIF('Purchase Management'!$C$5:$C$224,A27,'Purchase Management'!$G$5:$G$224)*(5.5-VLOOKUP(A27,'Supplier Database'!$A$5:$K$29,10,FALSE()))*0.012,0)</f>
        <v>60</v>
      </c>
      <c r="I27" s="19" t="n">
        <f aca="false">IFERROR(1-H27/MAX(1,SUMIF('Purchase Management'!$C$5:$C$224,A27,'Purchase Management'!$G$5:$G$224)),1)</f>
        <v>0.966461710452767</v>
      </c>
      <c r="J27" s="19" t="n">
        <f aca="false">IFERROR(E27/MAX(1,E27+F27),0)</f>
        <v>0.166666666666667</v>
      </c>
      <c r="K27" s="21" t="n">
        <f aca="false">ROUND(0.45*J27*100+0.35*I27*100+0.2*(VLOOKUP(A27,'Supplier Database'!$A$5:$K$29,10,FALSE())*20),1)</f>
        <v>52.1</v>
      </c>
      <c r="L27" s="23" t="str">
        <f aca="false">IF(K27&gt;=85,"Excellent",IF(K27&gt;=75,"Good",IF(K27&gt;=65,"Average","Poor")))</f>
        <v>Poor</v>
      </c>
    </row>
    <row r="28" customFormat="false" ht="15" hidden="false" customHeight="false" outlineLevel="0" collapsed="false">
      <c r="A28" s="26" t="s">
        <v>164</v>
      </c>
      <c r="B28" s="27" t="str">
        <f aca="false">VLOOKUP(A28,'Supplier Database'!$A$5:$K$29,2,FALSE())</f>
        <v>Quantum Industries</v>
      </c>
      <c r="C28" s="28" t="n">
        <f aca="false">COUNTIF('Purchase Management'!$C$5:$C$224,A28)</f>
        <v>12</v>
      </c>
      <c r="D28" s="29" t="n">
        <f aca="false">SUMIF('Purchase Management'!$C$5:$C$224,A28,'Purchase Management'!$I$5:$I$224)</f>
        <v>18646528.43</v>
      </c>
      <c r="E28" s="28" t="n">
        <f aca="false">COUNTIFS('Purchase Management'!$C$5:$C$224,A28,'Purchase Management'!$N$5:$N$224,"Received",'Purchase Management'!$O$5:$O$224,0)</f>
        <v>5</v>
      </c>
      <c r="F28" s="28" t="n">
        <f aca="false">COUNTIFS('Purchase Management'!$C$5:$C$224,A28,'Purchase Management'!$O$5:$O$224,"&gt;0")</f>
        <v>6</v>
      </c>
      <c r="G28" s="30" t="n">
        <f aca="false">VLOOKUP(A28,'Supplier Database'!$A$5:$K$29,9,FALSE())+IFERROR(AVERAGEIF('Purchase Management'!$C$5:$C$224,A28,'Purchase Management'!$O$5:$O$224),0)</f>
        <v>7.41666666666667</v>
      </c>
      <c r="H28" s="28" t="n">
        <f aca="false">ROUND(SUMIF('Purchase Management'!$C$5:$C$224,A28,'Purchase Management'!$G$5:$G$224)*(5.5-VLOOKUP(A28,'Supplier Database'!$A$5:$K$29,10,FALSE()))*0.012,0)</f>
        <v>84</v>
      </c>
      <c r="I28" s="31" t="n">
        <f aca="false">IFERROR(1-H28/MAX(1,SUMIF('Purchase Management'!$C$5:$C$224,A28,'Purchase Management'!$G$5:$G$224)),1)</f>
        <v>0.974850299401198</v>
      </c>
      <c r="J28" s="31" t="n">
        <f aca="false">IFERROR(E28/MAX(1,E28+F28),0)</f>
        <v>0.454545454545455</v>
      </c>
      <c r="K28" s="30" t="n">
        <f aca="false">ROUND(0.45*J28*100+0.35*I28*100+0.2*(VLOOKUP(A28,'Supplier Database'!$A$5:$K$29,10,FALSE())*20),1)</f>
        <v>68.2</v>
      </c>
      <c r="L28" s="32" t="str">
        <f aca="false">IF(K28&gt;=85,"Excellent",IF(K28&gt;=75,"Good",IF(K28&gt;=65,"Average","Poor")))</f>
        <v>Average</v>
      </c>
    </row>
    <row r="29" customFormat="false" ht="15" hidden="false" customHeight="false" outlineLevel="0" collapsed="false">
      <c r="A29" s="18" t="s">
        <v>165</v>
      </c>
      <c r="B29" s="20" t="str">
        <f aca="false">VLOOKUP(A29,'Supplier Database'!$A$5:$K$29,2,FALSE())</f>
        <v>Riverstone Trading Co.</v>
      </c>
      <c r="C29" s="17" t="n">
        <f aca="false">COUNTIF('Purchase Management'!$C$5:$C$224,A29)</f>
        <v>10</v>
      </c>
      <c r="D29" s="16" t="n">
        <f aca="false">SUMIF('Purchase Management'!$C$5:$C$224,A29,'Purchase Management'!$I$5:$I$224)</f>
        <v>16343228.56</v>
      </c>
      <c r="E29" s="17" t="n">
        <f aca="false">COUNTIFS('Purchase Management'!$C$5:$C$224,A29,'Purchase Management'!$N$5:$N$224,"Received",'Purchase Management'!$O$5:$O$224,0)</f>
        <v>0</v>
      </c>
      <c r="F29" s="17" t="n">
        <f aca="false">COUNTIFS('Purchase Management'!$C$5:$C$224,A29,'Purchase Management'!$O$5:$O$224,"&gt;0")</f>
        <v>7</v>
      </c>
      <c r="G29" s="21" t="n">
        <f aca="false">VLOOKUP(A29,'Supplier Database'!$A$5:$K$29,9,FALSE())+IFERROR(AVERAGEIF('Purchase Management'!$C$5:$C$224,A29,'Purchase Management'!$O$5:$O$224),0)</f>
        <v>15.4</v>
      </c>
      <c r="H29" s="17" t="n">
        <f aca="false">ROUND(SUMIF('Purchase Management'!$C$5:$C$224,A29,'Purchase Management'!$G$5:$G$224)*(5.5-VLOOKUP(A29,'Supplier Database'!$A$5:$K$29,10,FALSE()))*0.012,0)</f>
        <v>64</v>
      </c>
      <c r="I29" s="19" t="n">
        <f aca="false">IFERROR(1-H29/MAX(1,SUMIF('Purchase Management'!$C$5:$C$224,A29,'Purchase Management'!$G$5:$G$224)),1)</f>
        <v>0.97835644234021</v>
      </c>
      <c r="J29" s="19" t="n">
        <f aca="false">IFERROR(E29/MAX(1,E29+F29),0)</f>
        <v>0</v>
      </c>
      <c r="K29" s="21" t="n">
        <f aca="false">ROUND(0.45*J29*100+0.35*I29*100+0.2*(VLOOKUP(A29,'Supplier Database'!$A$5:$K$29,10,FALSE())*20),1)</f>
        <v>49</v>
      </c>
      <c r="L29" s="23" t="str">
        <f aca="false">IF(K29&gt;=85,"Excellent",IF(K29&gt;=75,"Good",IF(K29&gt;=65,"Average","Poor")))</f>
        <v>Poor</v>
      </c>
    </row>
    <row r="30" customFormat="false" ht="15" hidden="false" customHeight="false" outlineLevel="0" collapsed="false">
      <c r="A30" s="26" t="s">
        <v>166</v>
      </c>
      <c r="B30" s="27" t="str">
        <f aca="false">VLOOKUP(A30,'Supplier Database'!$A$5:$K$29,2,FALSE())</f>
        <v>Summit Logistics</v>
      </c>
      <c r="C30" s="28" t="n">
        <f aca="false">COUNTIF('Purchase Management'!$C$5:$C$224,A30)</f>
        <v>6</v>
      </c>
      <c r="D30" s="29" t="n">
        <f aca="false">SUMIF('Purchase Management'!$C$5:$C$224,A30,'Purchase Management'!$I$5:$I$224)</f>
        <v>5015320.86</v>
      </c>
      <c r="E30" s="28" t="n">
        <f aca="false">COUNTIFS('Purchase Management'!$C$5:$C$224,A30,'Purchase Management'!$N$5:$N$224,"Received",'Purchase Management'!$O$5:$O$224,0)</f>
        <v>5</v>
      </c>
      <c r="F30" s="28" t="n">
        <f aca="false">COUNTIFS('Purchase Management'!$C$5:$C$224,A30,'Purchase Management'!$O$5:$O$224,"&gt;0")</f>
        <v>1</v>
      </c>
      <c r="G30" s="30" t="n">
        <f aca="false">VLOOKUP(A30,'Supplier Database'!$A$5:$K$29,9,FALSE())+IFERROR(AVERAGEIF('Purchase Management'!$C$5:$C$224,A30,'Purchase Management'!$O$5:$O$224),0)</f>
        <v>5.33333333333333</v>
      </c>
      <c r="H30" s="28" t="n">
        <f aca="false">ROUND(SUMIF('Purchase Management'!$C$5:$C$224,A30,'Purchase Management'!$G$5:$G$224)*(5.5-VLOOKUP(A30,'Supplier Database'!$A$5:$K$29,10,FALSE()))*0.012,0)</f>
        <v>44</v>
      </c>
      <c r="I30" s="31" t="n">
        <f aca="false">IFERROR(1-H30/MAX(1,SUMIF('Purchase Management'!$C$5:$C$224,A30,'Purchase Management'!$G$5:$G$224)),1)</f>
        <v>0.972704714640199</v>
      </c>
      <c r="J30" s="31" t="n">
        <f aca="false">IFERROR(E30/MAX(1,E30+F30),0)</f>
        <v>0.833333333333333</v>
      </c>
      <c r="K30" s="30" t="n">
        <f aca="false">ROUND(0.45*J30*100+0.35*I30*100+0.2*(VLOOKUP(A30,'Supplier Database'!$A$5:$K$29,10,FALSE())*20),1)</f>
        <v>84.3</v>
      </c>
      <c r="L30" s="32" t="str">
        <f aca="false">IF(K30&gt;=85,"Excellent",IF(K30&gt;=75,"Good",IF(K30&gt;=65,"Average","Poor")))</f>
        <v>Good</v>
      </c>
    </row>
    <row r="31" customFormat="false" ht="15" hidden="false" customHeight="false" outlineLevel="0" collapsed="false">
      <c r="A31" s="18" t="s">
        <v>167</v>
      </c>
      <c r="B31" s="20" t="str">
        <f aca="false">VLOOKUP(A31,'Supplier Database'!$A$5:$K$29,2,FALSE())</f>
        <v>Trident Wholesale</v>
      </c>
      <c r="C31" s="17" t="n">
        <f aca="false">COUNTIF('Purchase Management'!$C$5:$C$224,A31)</f>
        <v>10</v>
      </c>
      <c r="D31" s="16" t="n">
        <f aca="false">SUMIF('Purchase Management'!$C$5:$C$224,A31,'Purchase Management'!$I$5:$I$224)</f>
        <v>12199438.99</v>
      </c>
      <c r="E31" s="17" t="n">
        <f aca="false">COUNTIFS('Purchase Management'!$C$5:$C$224,A31,'Purchase Management'!$N$5:$N$224,"Received",'Purchase Management'!$O$5:$O$224,0)</f>
        <v>5</v>
      </c>
      <c r="F31" s="17" t="n">
        <f aca="false">COUNTIFS('Purchase Management'!$C$5:$C$224,A31,'Purchase Management'!$O$5:$O$224,"&gt;0")</f>
        <v>4</v>
      </c>
      <c r="G31" s="21" t="n">
        <f aca="false">VLOOKUP(A31,'Supplier Database'!$A$5:$K$29,9,FALSE())+IFERROR(AVERAGEIF('Purchase Management'!$C$5:$C$224,A31,'Purchase Management'!$O$5:$O$224),0)</f>
        <v>13.8</v>
      </c>
      <c r="H31" s="17" t="n">
        <f aca="false">ROUND(SUMIF('Purchase Management'!$C$5:$C$224,A31,'Purchase Management'!$G$5:$G$224)*(5.5-VLOOKUP(A31,'Supplier Database'!$A$5:$K$29,10,FALSE()))*0.012,0)</f>
        <v>23</v>
      </c>
      <c r="I31" s="19" t="n">
        <f aca="false">IFERROR(1-H31/MAX(1,SUMIF('Purchase Management'!$C$5:$C$224,A31,'Purchase Management'!$G$5:$G$224)),1)</f>
        <v>0.991459339027107</v>
      </c>
      <c r="J31" s="19" t="n">
        <f aca="false">IFERROR(E31/MAX(1,E31+F31),0)</f>
        <v>0.555555555555556</v>
      </c>
      <c r="K31" s="21" t="n">
        <f aca="false">ROUND(0.45*J31*100+0.35*I31*100+0.2*(VLOOKUP(A31,'Supplier Database'!$A$5:$K$29,10,FALSE())*20),1)</f>
        <v>78.9</v>
      </c>
      <c r="L31" s="23" t="str">
        <f aca="false">IF(K31&gt;=85,"Excellent",IF(K31&gt;=75,"Good",IF(K31&gt;=65,"Average","Poor")))</f>
        <v>Good</v>
      </c>
    </row>
    <row r="32" customFormat="false" ht="15" hidden="false" customHeight="false" outlineLevel="0" collapsed="false">
      <c r="A32" s="26" t="s">
        <v>168</v>
      </c>
      <c r="B32" s="27" t="str">
        <f aca="false">VLOOKUP(A32,'Supplier Database'!$A$5:$K$29,2,FALSE())</f>
        <v>Unity Partners</v>
      </c>
      <c r="C32" s="28" t="n">
        <f aca="false">COUNTIF('Purchase Management'!$C$5:$C$224,A32)</f>
        <v>10</v>
      </c>
      <c r="D32" s="29" t="n">
        <f aca="false">SUMIF('Purchase Management'!$C$5:$C$224,A32,'Purchase Management'!$I$5:$I$224)</f>
        <v>7371557.44</v>
      </c>
      <c r="E32" s="28" t="n">
        <f aca="false">COUNTIFS('Purchase Management'!$C$5:$C$224,A32,'Purchase Management'!$N$5:$N$224,"Received",'Purchase Management'!$O$5:$O$224,0)</f>
        <v>6</v>
      </c>
      <c r="F32" s="28" t="n">
        <f aca="false">COUNTIFS('Purchase Management'!$C$5:$C$224,A32,'Purchase Management'!$O$5:$O$224,"&gt;0")</f>
        <v>2</v>
      </c>
      <c r="G32" s="30" t="n">
        <f aca="false">VLOOKUP(A32,'Supplier Database'!$A$5:$K$29,9,FALSE())+IFERROR(AVERAGEIF('Purchase Management'!$C$5:$C$224,A32,'Purchase Management'!$O$5:$O$224),0)</f>
        <v>5.3</v>
      </c>
      <c r="H32" s="28" t="n">
        <f aca="false">ROUND(SUMIF('Purchase Management'!$C$5:$C$224,A32,'Purchase Management'!$G$5:$G$224)*(5.5-VLOOKUP(A32,'Supplier Database'!$A$5:$K$29,10,FALSE()))*0.012,0)</f>
        <v>53</v>
      </c>
      <c r="I32" s="31" t="n">
        <f aca="false">IFERROR(1-H32/MAX(1,SUMIF('Purchase Management'!$C$5:$C$224,A32,'Purchase Management'!$G$5:$G$224)),1)</f>
        <v>0.977262977262977</v>
      </c>
      <c r="J32" s="31" t="n">
        <f aca="false">IFERROR(E32/MAX(1,E32+F32),0)</f>
        <v>0.75</v>
      </c>
      <c r="K32" s="30" t="n">
        <f aca="false">ROUND(0.45*J32*100+0.35*I32*100+0.2*(VLOOKUP(A32,'Supplier Database'!$A$5:$K$29,10,FALSE())*20),1)</f>
        <v>82.4</v>
      </c>
      <c r="L32" s="32" t="str">
        <f aca="false">IF(K32&gt;=85,"Excellent",IF(K32&gt;=75,"Good",IF(K32&gt;=65,"Average","Poor")))</f>
        <v>Good</v>
      </c>
    </row>
    <row r="33" customFormat="false" ht="15" hidden="false" customHeight="false" outlineLevel="0" collapsed="false">
      <c r="A33" s="18" t="s">
        <v>169</v>
      </c>
      <c r="B33" s="20" t="str">
        <f aca="false">VLOOKUP(A33,'Supplier Database'!$A$5:$K$29,2,FALSE())</f>
        <v>Vertex Supplies</v>
      </c>
      <c r="C33" s="17" t="n">
        <f aca="false">COUNTIF('Purchase Management'!$C$5:$C$224,A33)</f>
        <v>10</v>
      </c>
      <c r="D33" s="16" t="n">
        <f aca="false">SUMIF('Purchase Management'!$C$5:$C$224,A33,'Purchase Management'!$I$5:$I$224)</f>
        <v>2614056.51</v>
      </c>
      <c r="E33" s="17" t="n">
        <f aca="false">COUNTIFS('Purchase Management'!$C$5:$C$224,A33,'Purchase Management'!$N$5:$N$224,"Received",'Purchase Management'!$O$5:$O$224,0)</f>
        <v>1</v>
      </c>
      <c r="F33" s="17" t="n">
        <f aca="false">COUNTIFS('Purchase Management'!$C$5:$C$224,A33,'Purchase Management'!$O$5:$O$224,"&gt;0")</f>
        <v>5</v>
      </c>
      <c r="G33" s="21" t="n">
        <f aca="false">VLOOKUP(A33,'Supplier Database'!$A$5:$K$29,9,FALSE())+IFERROR(AVERAGEIF('Purchase Management'!$C$5:$C$224,A33,'Purchase Management'!$O$5:$O$224),0)</f>
        <v>6.6</v>
      </c>
      <c r="H33" s="17" t="n">
        <f aca="false">ROUND(SUMIF('Purchase Management'!$C$5:$C$224,A33,'Purchase Management'!$G$5:$G$224)*(5.5-VLOOKUP(A33,'Supplier Database'!$A$5:$K$29,10,FALSE()))*0.012,0)</f>
        <v>63</v>
      </c>
      <c r="I33" s="19" t="n">
        <f aca="false">IFERROR(1-H33/MAX(1,SUMIF('Purchase Management'!$C$5:$C$224,A33,'Purchase Management'!$G$5:$G$224)),1)</f>
        <v>0.967609254498715</v>
      </c>
      <c r="J33" s="19" t="n">
        <f aca="false">IFERROR(E33/MAX(1,E33+F33),0)</f>
        <v>0.166666666666667</v>
      </c>
      <c r="K33" s="21" t="n">
        <f aca="false">ROUND(0.45*J33*100+0.35*I33*100+0.2*(VLOOKUP(A33,'Supplier Database'!$A$5:$K$29,10,FALSE())*20),1)</f>
        <v>52.6</v>
      </c>
      <c r="L33" s="23" t="str">
        <f aca="false">IF(K33&gt;=85,"Excellent",IF(K33&gt;=75,"Good",IF(K33&gt;=65,"Average","Poor")))</f>
        <v>Poor</v>
      </c>
    </row>
    <row r="34" customFormat="false" ht="15" hidden="false" customHeight="false" outlineLevel="0" collapsed="false">
      <c r="A34" s="26" t="s">
        <v>170</v>
      </c>
      <c r="B34" s="27" t="str">
        <f aca="false">VLOOKUP(A34,'Supplier Database'!$A$5:$K$29,2,FALSE())</f>
        <v>Westline Distributors</v>
      </c>
      <c r="C34" s="28" t="n">
        <f aca="false">COUNTIF('Purchase Management'!$C$5:$C$224,A34)</f>
        <v>4</v>
      </c>
      <c r="D34" s="29" t="n">
        <f aca="false">SUMIF('Purchase Management'!$C$5:$C$224,A34,'Purchase Management'!$I$5:$I$224)</f>
        <v>1771208.15</v>
      </c>
      <c r="E34" s="28" t="n">
        <f aca="false">COUNTIFS('Purchase Management'!$C$5:$C$224,A34,'Purchase Management'!$N$5:$N$224,"Received",'Purchase Management'!$O$5:$O$224,0)</f>
        <v>1</v>
      </c>
      <c r="F34" s="28" t="n">
        <f aca="false">COUNTIFS('Purchase Management'!$C$5:$C$224,A34,'Purchase Management'!$O$5:$O$224,"&gt;0")</f>
        <v>3</v>
      </c>
      <c r="G34" s="30" t="n">
        <f aca="false">VLOOKUP(A34,'Supplier Database'!$A$5:$K$29,9,FALSE())+IFERROR(AVERAGEIF('Purchase Management'!$C$5:$C$224,A34,'Purchase Management'!$O$5:$O$224),0)</f>
        <v>13.5</v>
      </c>
      <c r="H34" s="28" t="n">
        <f aca="false">ROUND(SUMIF('Purchase Management'!$C$5:$C$224,A34,'Purchase Management'!$G$5:$G$224)*(5.5-VLOOKUP(A34,'Supplier Database'!$A$5:$K$29,10,FALSE()))*0.012,0)</f>
        <v>8</v>
      </c>
      <c r="I34" s="31" t="n">
        <f aca="false">IFERROR(1-H34/MAX(1,SUMIF('Purchase Management'!$C$5:$C$224,A34,'Purchase Management'!$G$5:$G$224)),1)</f>
        <v>0.992023928215354</v>
      </c>
      <c r="J34" s="31" t="n">
        <f aca="false">IFERROR(E34/MAX(1,E34+F34),0)</f>
        <v>0.25</v>
      </c>
      <c r="K34" s="30" t="n">
        <f aca="false">ROUND(0.45*J34*100+0.35*I34*100+0.2*(VLOOKUP(A34,'Supplier Database'!$A$5:$K$29,10,FALSE())*20),1)</f>
        <v>65.2</v>
      </c>
      <c r="L34" s="32" t="str">
        <f aca="false">IF(K34&gt;=85,"Excellent",IF(K34&gt;=75,"Good",IF(K34&gt;=65,"Average","Poor")))</f>
        <v>Average</v>
      </c>
    </row>
    <row r="35" customFormat="false" ht="15" hidden="false" customHeight="false" outlineLevel="0" collapsed="false">
      <c r="A35" s="18" t="s">
        <v>171</v>
      </c>
      <c r="B35" s="20" t="str">
        <f aca="false">VLOOKUP(A35,'Supplier Database'!$A$5:$K$29,2,FALSE())</f>
        <v>Yugma Industries</v>
      </c>
      <c r="C35" s="17" t="n">
        <f aca="false">COUNTIF('Purchase Management'!$C$5:$C$224,A35)</f>
        <v>10</v>
      </c>
      <c r="D35" s="16" t="n">
        <f aca="false">SUMIF('Purchase Management'!$C$5:$C$224,A35,'Purchase Management'!$I$5:$I$224)</f>
        <v>9339291.81</v>
      </c>
      <c r="E35" s="17" t="n">
        <f aca="false">COUNTIFS('Purchase Management'!$C$5:$C$224,A35,'Purchase Management'!$N$5:$N$224,"Received",'Purchase Management'!$O$5:$O$224,0)</f>
        <v>7</v>
      </c>
      <c r="F35" s="17" t="n">
        <f aca="false">COUNTIFS('Purchase Management'!$C$5:$C$224,A35,'Purchase Management'!$O$5:$O$224,"&gt;0")</f>
        <v>1</v>
      </c>
      <c r="G35" s="21" t="n">
        <f aca="false">VLOOKUP(A35,'Supplier Database'!$A$5:$K$29,9,FALSE())+IFERROR(AVERAGEIF('Purchase Management'!$C$5:$C$224,A35,'Purchase Management'!$O$5:$O$224),0)</f>
        <v>3.2</v>
      </c>
      <c r="H35" s="17" t="n">
        <f aca="false">ROUND(SUMIF('Purchase Management'!$C$5:$C$224,A35,'Purchase Management'!$G$5:$G$224)*(5.5-VLOOKUP(A35,'Supplier Database'!$A$5:$K$29,10,FALSE()))*0.012,0)</f>
        <v>24</v>
      </c>
      <c r="I35" s="19" t="n">
        <f aca="false">IFERROR(1-H35/MAX(1,SUMIF('Purchase Management'!$C$5:$C$224,A35,'Purchase Management'!$G$5:$G$224)),1)</f>
        <v>0.992738275340393</v>
      </c>
      <c r="J35" s="19" t="n">
        <f aca="false">IFERROR(E35/MAX(1,E35+F35),0)</f>
        <v>0.875</v>
      </c>
      <c r="K35" s="21" t="n">
        <f aca="false">ROUND(0.45*J35*100+0.35*I35*100+0.2*(VLOOKUP(A35,'Supplier Database'!$A$5:$K$29,10,FALSE())*20),1)</f>
        <v>93.7</v>
      </c>
      <c r="L35" s="23" t="str">
        <f aca="false">IF(K35&gt;=85,"Excellent",IF(K35&gt;=75,"Good",IF(K35&gt;=65,"Average","Poor")))</f>
        <v>Excellent</v>
      </c>
    </row>
    <row r="36" customFormat="false" ht="15" hidden="false" customHeight="false" outlineLevel="0" collapsed="false">
      <c r="A36" s="26" t="s">
        <v>172</v>
      </c>
      <c r="B36" s="27" t="str">
        <f aca="false">VLOOKUP(A36,'Supplier Database'!$A$5:$K$29,2,FALSE())</f>
        <v>Zenith Trading Co.</v>
      </c>
      <c r="C36" s="28" t="n">
        <f aca="false">COUNTIF('Purchase Management'!$C$5:$C$224,A36)</f>
        <v>12</v>
      </c>
      <c r="D36" s="29" t="n">
        <f aca="false">SUMIF('Purchase Management'!$C$5:$C$224,A36,'Purchase Management'!$I$5:$I$224)</f>
        <v>14661700</v>
      </c>
      <c r="E36" s="28" t="n">
        <f aca="false">COUNTIFS('Purchase Management'!$C$5:$C$224,A36,'Purchase Management'!$N$5:$N$224,"Received",'Purchase Management'!$O$5:$O$224,0)</f>
        <v>6</v>
      </c>
      <c r="F36" s="28" t="n">
        <f aca="false">COUNTIFS('Purchase Management'!$C$5:$C$224,A36,'Purchase Management'!$O$5:$O$224,"&gt;0")</f>
        <v>5</v>
      </c>
      <c r="G36" s="30" t="n">
        <f aca="false">VLOOKUP(A36,'Supplier Database'!$A$5:$K$29,9,FALSE())+IFERROR(AVERAGEIF('Purchase Management'!$C$5:$C$224,A36,'Purchase Management'!$O$5:$O$224),0)</f>
        <v>6</v>
      </c>
      <c r="H36" s="28" t="n">
        <f aca="false">ROUND(SUMIF('Purchase Management'!$C$5:$C$224,A36,'Purchase Management'!$G$5:$G$224)*(5.5-VLOOKUP(A36,'Supplier Database'!$A$5:$K$29,10,FALSE()))*0.012,0)</f>
        <v>53</v>
      </c>
      <c r="I36" s="31" t="n">
        <f aca="false">IFERROR(1-H36/MAX(1,SUMIF('Purchase Management'!$C$5:$C$224,A36,'Purchase Management'!$G$5:$G$224)),1)</f>
        <v>0.985546768475593</v>
      </c>
      <c r="J36" s="31" t="n">
        <f aca="false">IFERROR(E36/MAX(1,E36+F36),0)</f>
        <v>0.545454545454545</v>
      </c>
      <c r="K36" s="30" t="n">
        <f aca="false">ROUND(0.45*J36*100+0.35*I36*100+0.2*(VLOOKUP(A36,'Supplier Database'!$A$5:$K$29,10,FALSE())*20),1)</f>
        <v>76.2</v>
      </c>
      <c r="L36" s="32" t="str">
        <f aca="false">IF(K36&gt;=85,"Excellent",IF(K36&gt;=75,"Good",IF(K36&gt;=65,"Average","Poor")))</f>
        <v>Good</v>
      </c>
    </row>
  </sheetData>
  <mergeCells count="17">
    <mergeCell ref="A1:T1"/>
    <mergeCell ref="A2:T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A8:B8"/>
    <mergeCell ref="C8:D8"/>
    <mergeCell ref="E8:F8"/>
    <mergeCell ref="A10:L10"/>
  </mergeCells>
  <conditionalFormatting sqref="L12:L36">
    <cfRule type="cellIs" priority="2" operator="equal" dxfId="2">
      <formula>"Excellent"</formula>
    </cfRule>
    <cfRule type="cellIs" priority="3" operator="equal" dxfId="3">
      <formula>"Good"</formula>
    </cfRule>
    <cfRule type="cellIs" priority="4" operator="equal" dxfId="1">
      <formula>"Average"</formula>
    </cfRule>
    <cfRule type="cellIs" priority="5" operator="equal" dxfId="0">
      <formula>"Poor"</formula>
    </cfRule>
  </conditionalFormatting>
  <conditionalFormatting sqref="K12:K36">
    <cfRule type="cellIs" priority="6" operator="lessThan" dxfId="0">
      <formula>65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31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0"/>
    <col collapsed="false" customWidth="true" hidden="false" outlineLevel="0" max="18" min="12" style="0" width="12"/>
  </cols>
  <sheetData>
    <row r="1" customFormat="false" ht="27.75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9.75" hidden="false" customHeight="true" outlineLevel="0" collapsed="false"/>
    <row r="4" customFormat="false" ht="18.75" hidden="false" customHeight="true" outlineLevel="0" collapsed="false">
      <c r="A4" s="3" t="s">
        <v>7</v>
      </c>
      <c r="B4" s="3"/>
      <c r="C4" s="3" t="s">
        <v>175</v>
      </c>
      <c r="D4" s="3"/>
      <c r="E4" s="3" t="s">
        <v>176</v>
      </c>
      <c r="F4" s="3"/>
      <c r="G4" s="3" t="s">
        <v>177</v>
      </c>
      <c r="H4" s="3"/>
    </row>
    <row r="5" customFormat="false" ht="25.5" hidden="false" customHeight="true" outlineLevel="0" collapsed="false">
      <c r="A5" s="4" t="n">
        <f aca="false">COUNTA('Product Master'!$A$5:$A$104)</f>
        <v>100</v>
      </c>
      <c r="B5" s="4"/>
      <c r="C5" s="4" t="n">
        <f aca="false">SUM(C24:C123)</f>
        <v>8034</v>
      </c>
      <c r="D5" s="4"/>
      <c r="E5" s="5" t="n">
        <f aca="false">SUM(D24:D123)</f>
        <v>49134145.06</v>
      </c>
      <c r="F5" s="5"/>
      <c r="G5" s="5" t="n">
        <f aca="false">AVERAGE('Product Master'!$F$5:$F$104)</f>
        <v>5883.8146</v>
      </c>
      <c r="H5" s="5"/>
    </row>
    <row r="7" customFormat="false" ht="18.75" hidden="false" customHeight="true" outlineLevel="0" collapsed="false">
      <c r="A7" s="3" t="s">
        <v>178</v>
      </c>
      <c r="B7" s="3"/>
      <c r="C7" s="3" t="s">
        <v>179</v>
      </c>
      <c r="D7" s="3"/>
      <c r="E7" s="3" t="s">
        <v>180</v>
      </c>
      <c r="F7" s="3"/>
      <c r="G7" s="3" t="s">
        <v>181</v>
      </c>
      <c r="H7" s="3"/>
    </row>
    <row r="8" customFormat="false" ht="25.5" hidden="false" customHeight="true" outlineLevel="0" collapsed="false">
      <c r="A8" s="33" t="str">
        <f aca="false">INDEX(A24:A123,MATCH(MAX(C24:C123),C24:C123,0))</f>
        <v>PRD062</v>
      </c>
      <c r="B8" s="33"/>
      <c r="C8" s="33" t="str">
        <f aca="false">INDEX(A24:A123,MATCH(MIN(C24:C123),C24:C123,0))</f>
        <v>PRD024</v>
      </c>
      <c r="D8" s="33"/>
      <c r="E8" s="6" t="n">
        <f aca="false">IFERROR(SUM('Inventory Management'!$J$5:$J$104)/SUM('Inventory Management'!$I$5:$I$104),0)</f>
        <v>0.00857563982312743</v>
      </c>
      <c r="F8" s="6"/>
      <c r="G8" s="5" t="n">
        <f aca="false">SUM(I24:I123)</f>
        <v>14577583.75</v>
      </c>
      <c r="H8" s="5"/>
    </row>
    <row r="11" customFormat="false" ht="21.75" hidden="false" customHeight="true" outlineLevel="0" collapsed="false">
      <c r="A11" s="7" t="s">
        <v>182</v>
      </c>
      <c r="B11" s="7"/>
      <c r="C11" s="7"/>
      <c r="D11" s="7"/>
      <c r="E11" s="7"/>
    </row>
    <row r="12" customFormat="false" ht="24" hidden="false" customHeight="true" outlineLevel="0" collapsed="false">
      <c r="A12" s="14" t="s">
        <v>183</v>
      </c>
      <c r="B12" s="8" t="s">
        <v>184</v>
      </c>
      <c r="C12" s="8" t="s">
        <v>29</v>
      </c>
      <c r="D12" s="8" t="s">
        <v>185</v>
      </c>
      <c r="E12" s="8" t="s">
        <v>186</v>
      </c>
    </row>
    <row r="13" customFormat="false" ht="15" hidden="false" customHeight="false" outlineLevel="0" collapsed="false">
      <c r="A13" s="20" t="s">
        <v>36</v>
      </c>
      <c r="B13" s="17" t="n">
        <f aca="false">SUMIF(E24:E123,A13,C24:C123)</f>
        <v>1026</v>
      </c>
      <c r="C13" s="16" t="n">
        <f aca="false">SUMIF(E24:E123,A13,D24:D123)</f>
        <v>7418459.07</v>
      </c>
      <c r="D13" s="16" t="n">
        <f aca="false">SUMIF(E24:E123,A13,I24:I123)</f>
        <v>2333398.35</v>
      </c>
      <c r="E13" s="19" t="n">
        <f aca="false">IFERROR(SUMIF('Inventory Management'!$C$5:$C$104,A13,'Inventory Management'!$J$5:$J$104)/SUMIF('Inventory Management'!$C$5:$C$104,A13,'Inventory Management'!$I$5:$I$104),0)</f>
        <v>0.0160599571734475</v>
      </c>
    </row>
    <row r="14" customFormat="false" ht="15" hidden="false" customHeight="false" outlineLevel="0" collapsed="false">
      <c r="A14" s="20" t="s">
        <v>38</v>
      </c>
      <c r="B14" s="17" t="n">
        <f aca="false">SUMIF(E24:E123,A14,C24:C123)</f>
        <v>995</v>
      </c>
      <c r="C14" s="16" t="n">
        <f aca="false">SUMIF(E24:E123,A14,D24:D123)</f>
        <v>6359299.39</v>
      </c>
      <c r="D14" s="16" t="n">
        <f aca="false">SUMIF(E24:E123,A14,I24:I123)</f>
        <v>1600191.73</v>
      </c>
      <c r="E14" s="19" t="n">
        <f aca="false">IFERROR(SUMIF('Inventory Management'!$C$5:$C$104,A14,'Inventory Management'!$J$5:$J$104)/SUMIF('Inventory Management'!$C$5:$C$104,A14,'Inventory Management'!$I$5:$I$104),0)</f>
        <v>0.00315457413249211</v>
      </c>
    </row>
    <row r="15" customFormat="false" ht="15" hidden="false" customHeight="false" outlineLevel="0" collapsed="false">
      <c r="A15" s="20" t="s">
        <v>40</v>
      </c>
      <c r="B15" s="17" t="n">
        <f aca="false">SUMIF(E24:E123,A15,C24:C123)</f>
        <v>1140</v>
      </c>
      <c r="C15" s="16" t="n">
        <f aca="false">SUMIF(E24:E123,A15,D24:D123)</f>
        <v>5066638.75</v>
      </c>
      <c r="D15" s="16" t="n">
        <f aca="false">SUMIF(E24:E123,A15,I24:I123)</f>
        <v>1541791.66</v>
      </c>
      <c r="E15" s="19" t="n">
        <f aca="false">IFERROR(SUMIF('Inventory Management'!$C$5:$C$104,A15,'Inventory Management'!$J$5:$J$104)/SUMIF('Inventory Management'!$C$5:$C$104,A15,'Inventory Management'!$I$5:$I$104),0)</f>
        <v>0.00570884871550904</v>
      </c>
    </row>
    <row r="16" customFormat="false" ht="15" hidden="false" customHeight="false" outlineLevel="0" collapsed="false">
      <c r="A16" s="20" t="s">
        <v>42</v>
      </c>
      <c r="B16" s="17" t="n">
        <f aca="false">SUMIF(E24:E123,A16,C24:C123)</f>
        <v>886</v>
      </c>
      <c r="C16" s="16" t="n">
        <f aca="false">SUMIF(E24:E123,A16,D24:D123)</f>
        <v>5583999.64</v>
      </c>
      <c r="D16" s="16" t="n">
        <f aca="false">SUMIF(E24:E123,A16,I24:I123)</f>
        <v>1670028.7</v>
      </c>
      <c r="E16" s="19" t="n">
        <f aca="false">IFERROR(SUMIF('Inventory Management'!$C$5:$C$104,A16,'Inventory Management'!$J$5:$J$104)/SUMIF('Inventory Management'!$C$5:$C$104,A16,'Inventory Management'!$I$5:$I$104),0)</f>
        <v>0.00349243306169965</v>
      </c>
    </row>
    <row r="17" customFormat="false" ht="15" hidden="false" customHeight="false" outlineLevel="0" collapsed="false">
      <c r="A17" s="20" t="s">
        <v>44</v>
      </c>
      <c r="B17" s="17" t="n">
        <f aca="false">SUMIF(E24:E123,A17,C24:C123)</f>
        <v>1139</v>
      </c>
      <c r="C17" s="16" t="n">
        <f aca="false">SUMIF(E24:E123,A17,D24:D123)</f>
        <v>7605893.42</v>
      </c>
      <c r="D17" s="16" t="n">
        <f aca="false">SUMIF(E24:E123,A17,I24:I123)</f>
        <v>2207153.59</v>
      </c>
      <c r="E17" s="19" t="n">
        <f aca="false">IFERROR(SUMIF('Inventory Management'!$C$5:$C$104,A17,'Inventory Management'!$J$5:$J$104)/SUMIF('Inventory Management'!$C$5:$C$104,A17,'Inventory Management'!$I$5:$I$104),0)</f>
        <v>0.0119760479041916</v>
      </c>
    </row>
    <row r="18" customFormat="false" ht="15" hidden="false" customHeight="false" outlineLevel="0" collapsed="false">
      <c r="A18" s="20" t="s">
        <v>45</v>
      </c>
      <c r="B18" s="17" t="n">
        <f aca="false">SUMIF(E24:E123,A18,C24:C123)</f>
        <v>992</v>
      </c>
      <c r="C18" s="16" t="n">
        <f aca="false">SUMIF(E24:E123,A18,D24:D123)</f>
        <v>6074915.32</v>
      </c>
      <c r="D18" s="16" t="n">
        <f aca="false">SUMIF(E24:E123,A18,I24:I123)</f>
        <v>1965801.54</v>
      </c>
      <c r="E18" s="19" t="n">
        <f aca="false">IFERROR(SUMIF('Inventory Management'!$C$5:$C$104,A18,'Inventory Management'!$J$5:$J$104)/SUMIF('Inventory Management'!$C$5:$C$104,A18,'Inventory Management'!$I$5:$I$104),0)</f>
        <v>0.00309917355371901</v>
      </c>
    </row>
    <row r="19" customFormat="false" ht="15" hidden="false" customHeight="false" outlineLevel="0" collapsed="false">
      <c r="A19" s="20" t="s">
        <v>46</v>
      </c>
      <c r="B19" s="17" t="n">
        <f aca="false">SUMIF(E24:E123,A19,C24:C123)</f>
        <v>919</v>
      </c>
      <c r="C19" s="16" t="n">
        <f aca="false">SUMIF(E24:E123,A19,D24:D123)</f>
        <v>6042303.93</v>
      </c>
      <c r="D19" s="16" t="n">
        <f aca="false">SUMIF(E24:E123,A19,I24:I123)</f>
        <v>1963784.54</v>
      </c>
      <c r="E19" s="19" t="n">
        <f aca="false">IFERROR(SUMIF('Inventory Management'!$C$5:$C$104,A19,'Inventory Management'!$J$5:$J$104)/SUMIF('Inventory Management'!$C$5:$C$104,A19,'Inventory Management'!$I$5:$I$104),0)</f>
        <v>0.00246609124537608</v>
      </c>
    </row>
    <row r="20" customFormat="false" ht="15" hidden="false" customHeight="false" outlineLevel="0" collapsed="false">
      <c r="A20" s="20" t="s">
        <v>47</v>
      </c>
      <c r="B20" s="17" t="n">
        <f aca="false">SUMIF(E24:E123,A20,C24:C123)</f>
        <v>937</v>
      </c>
      <c r="C20" s="16" t="n">
        <f aca="false">SUMIF(E24:E123,A20,D24:D123)</f>
        <v>4982635.54</v>
      </c>
      <c r="D20" s="16" t="n">
        <f aca="false">SUMIF(E24:E123,A20,I24:I123)</f>
        <v>1295433.64</v>
      </c>
      <c r="E20" s="19" t="n">
        <f aca="false">IFERROR(SUMIF('Inventory Management'!$C$5:$C$104,A20,'Inventory Management'!$J$5:$J$104)/SUMIF('Inventory Management'!$C$5:$C$104,A20,'Inventory Management'!$I$5:$I$104),0)</f>
        <v>0.0225479143179256</v>
      </c>
    </row>
    <row r="22" customFormat="false" ht="21.75" hidden="false" customHeight="true" outlineLevel="0" collapsed="false">
      <c r="A22" s="7" t="s">
        <v>187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24" hidden="false" customHeight="true" outlineLevel="0" collapsed="false">
      <c r="A23" s="8" t="s">
        <v>86</v>
      </c>
      <c r="B23" s="14" t="s">
        <v>87</v>
      </c>
      <c r="C23" s="8" t="s">
        <v>184</v>
      </c>
      <c r="D23" s="8" t="s">
        <v>188</v>
      </c>
      <c r="E23" s="14" t="s">
        <v>33</v>
      </c>
      <c r="F23" s="8" t="s">
        <v>189</v>
      </c>
      <c r="G23" s="8" t="s">
        <v>190</v>
      </c>
      <c r="H23" s="8" t="s">
        <v>191</v>
      </c>
      <c r="I23" s="8" t="s">
        <v>192</v>
      </c>
      <c r="J23" s="8" t="s">
        <v>193</v>
      </c>
      <c r="K23" s="8" t="s">
        <v>194</v>
      </c>
    </row>
    <row r="24" customFormat="false" ht="15" hidden="false" customHeight="false" outlineLevel="0" collapsed="false">
      <c r="A24" s="26" t="s">
        <v>195</v>
      </c>
      <c r="B24" s="27" t="str">
        <f aca="false">VLOOKUP(A24,'Product Master'!$A$5:$K$104,2,FALSE())</f>
        <v>Everyday Electronics Item 001</v>
      </c>
      <c r="C24" s="28" t="n">
        <f aca="false">SUMIF('Order Tracking'!$G$5:$G$604,A24,'Order Tracking'!$J$5:$J$604)</f>
        <v>50</v>
      </c>
      <c r="D24" s="29" t="n">
        <f aca="false">SUMIF('Order Tracking'!$G$5:$G$604,A24,'Order Tracking'!$L$5:$L$604)</f>
        <v>145620</v>
      </c>
      <c r="E24" s="27" t="str">
        <f aca="false">VLOOKUP(A24,'Product Master'!$A$5:$K$104,3,FALSE())</f>
        <v>Electronics</v>
      </c>
      <c r="F24" s="29" t="n">
        <f aca="false">VLOOKUP(A24,'Product Master'!$A$5:$K$104,5,FALSE())</f>
        <v>2345.85</v>
      </c>
      <c r="G24" s="29" t="n">
        <f aca="false">VLOOKUP(A24,'Product Master'!$A$5:$K$104,6,FALSE())</f>
        <v>2912.4</v>
      </c>
      <c r="H24" s="29" t="n">
        <f aca="false">G24-F24</f>
        <v>566.55</v>
      </c>
      <c r="I24" s="29" t="n">
        <f aca="false">C24*H24</f>
        <v>28327.5</v>
      </c>
      <c r="J24" s="31" t="n">
        <f aca="false">IFERROR(H24/G24,0)</f>
        <v>0.194530284301607</v>
      </c>
      <c r="K24" s="32" t="str">
        <f aca="false">VLOOKUP(A24,'Inventory Management'!$A$5:$Q$104,16,FALSE())</f>
        <v>Out of Stock</v>
      </c>
    </row>
    <row r="25" customFormat="false" ht="15" hidden="false" customHeight="false" outlineLevel="0" collapsed="false">
      <c r="A25" s="18" t="s">
        <v>196</v>
      </c>
      <c r="B25" s="20" t="str">
        <f aca="false">VLOOKUP(A25,'Product Master'!$A$5:$K$104,2,FALSE())</f>
        <v>Premium Home Item 002</v>
      </c>
      <c r="C25" s="17" t="n">
        <f aca="false">SUMIF('Order Tracking'!$G$5:$G$604,A25,'Order Tracking'!$J$5:$J$604)</f>
        <v>16</v>
      </c>
      <c r="D25" s="16" t="n">
        <f aca="false">SUMIF('Order Tracking'!$G$5:$G$604,A25,'Order Tracking'!$L$5:$L$604)</f>
        <v>150869.92</v>
      </c>
      <c r="E25" s="20" t="str">
        <f aca="false">VLOOKUP(A25,'Product Master'!$A$5:$K$104,3,FALSE())</f>
        <v>Home &amp; Kitchen</v>
      </c>
      <c r="F25" s="16" t="n">
        <f aca="false">VLOOKUP(A25,'Product Master'!$A$5:$K$104,5,FALSE())</f>
        <v>7961.45</v>
      </c>
      <c r="G25" s="16" t="n">
        <f aca="false">VLOOKUP(A25,'Product Master'!$A$5:$K$104,6,FALSE())</f>
        <v>9429.37</v>
      </c>
      <c r="H25" s="16" t="n">
        <f aca="false">G25-F25</f>
        <v>1467.92</v>
      </c>
      <c r="I25" s="16" t="n">
        <f aca="false">C25*H25</f>
        <v>23486.72</v>
      </c>
      <c r="J25" s="19" t="n">
        <f aca="false">IFERROR(H25/G25,0)</f>
        <v>0.15567529962235</v>
      </c>
      <c r="K25" s="23" t="str">
        <f aca="false">VLOOKUP(A25,'Inventory Management'!$A$5:$Q$104,16,FALSE())</f>
        <v>Low Stock</v>
      </c>
    </row>
    <row r="26" customFormat="false" ht="15" hidden="false" customHeight="false" outlineLevel="0" collapsed="false">
      <c r="A26" s="26" t="s">
        <v>197</v>
      </c>
      <c r="B26" s="27" t="str">
        <f aca="false">VLOOKUP(A26,'Product Master'!$A$5:$K$104,2,FALSE())</f>
        <v>Premium Office Item 003</v>
      </c>
      <c r="C26" s="28" t="n">
        <f aca="false">SUMIF('Order Tracking'!$G$5:$G$604,A26,'Order Tracking'!$J$5:$J$604)</f>
        <v>65</v>
      </c>
      <c r="D26" s="29" t="n">
        <f aca="false">SUMIF('Order Tracking'!$G$5:$G$604,A26,'Order Tracking'!$L$5:$L$604)</f>
        <v>107454.75</v>
      </c>
      <c r="E26" s="27" t="str">
        <f aca="false">VLOOKUP(A26,'Product Master'!$A$5:$K$104,3,FALSE())</f>
        <v>Office Supplies</v>
      </c>
      <c r="F26" s="29" t="n">
        <f aca="false">VLOOKUP(A26,'Product Master'!$A$5:$K$104,5,FALSE())</f>
        <v>1229.99</v>
      </c>
      <c r="G26" s="29" t="n">
        <f aca="false">VLOOKUP(A26,'Product Master'!$A$5:$K$104,6,FALSE())</f>
        <v>1653.15</v>
      </c>
      <c r="H26" s="29" t="n">
        <f aca="false">G26-F26</f>
        <v>423.16</v>
      </c>
      <c r="I26" s="29" t="n">
        <f aca="false">C26*H26</f>
        <v>27505.4</v>
      </c>
      <c r="J26" s="31" t="n">
        <f aca="false">IFERROR(H26/G26,0)</f>
        <v>0.255971932371533</v>
      </c>
      <c r="K26" s="32" t="str">
        <f aca="false">VLOOKUP(A26,'Inventory Management'!$A$5:$Q$104,16,FALSE())</f>
        <v>Healthy Stock</v>
      </c>
    </row>
    <row r="27" customFormat="false" ht="15" hidden="false" customHeight="false" outlineLevel="0" collapsed="false">
      <c r="A27" s="18" t="s">
        <v>198</v>
      </c>
      <c r="B27" s="20" t="str">
        <f aca="false">VLOOKUP(A27,'Product Master'!$A$5:$K$104,2,FALSE())</f>
        <v>Everyday Personal Item 004</v>
      </c>
      <c r="C27" s="17" t="n">
        <f aca="false">SUMIF('Order Tracking'!$G$5:$G$604,A27,'Order Tracking'!$J$5:$J$604)</f>
        <v>27</v>
      </c>
      <c r="D27" s="16" t="n">
        <f aca="false">SUMIF('Order Tracking'!$G$5:$G$604,A27,'Order Tracking'!$L$5:$L$604)</f>
        <v>146952.63</v>
      </c>
      <c r="E27" s="20" t="str">
        <f aca="false">VLOOKUP(A27,'Product Master'!$A$5:$K$104,3,FALSE())</f>
        <v>Personal Care</v>
      </c>
      <c r="F27" s="16" t="n">
        <f aca="false">VLOOKUP(A27,'Product Master'!$A$5:$K$104,5,FALSE())</f>
        <v>3791.99</v>
      </c>
      <c r="G27" s="16" t="n">
        <f aca="false">VLOOKUP(A27,'Product Master'!$A$5:$K$104,6,FALSE())</f>
        <v>5442.69</v>
      </c>
      <c r="H27" s="16" t="n">
        <f aca="false">G27-F27</f>
        <v>1650.7</v>
      </c>
      <c r="I27" s="16" t="n">
        <f aca="false">C27*H27</f>
        <v>44568.9</v>
      </c>
      <c r="J27" s="19" t="n">
        <f aca="false">IFERROR(H27/G27,0)</f>
        <v>0.30328752877713</v>
      </c>
      <c r="K27" s="23" t="str">
        <f aca="false">VLOOKUP(A27,'Inventory Management'!$A$5:$Q$104,16,FALSE())</f>
        <v>Healthy Stock</v>
      </c>
    </row>
    <row r="28" customFormat="false" ht="15" hidden="false" customHeight="false" outlineLevel="0" collapsed="false">
      <c r="A28" s="26" t="s">
        <v>199</v>
      </c>
      <c r="B28" s="27" t="str">
        <f aca="false">VLOOKUP(A28,'Product Master'!$A$5:$K$104,2,FALSE())</f>
        <v>Everyday Industrial Item 005</v>
      </c>
      <c r="C28" s="28" t="n">
        <f aca="false">SUMIF('Order Tracking'!$G$5:$G$604,A28,'Order Tracking'!$J$5:$J$604)</f>
        <v>87</v>
      </c>
      <c r="D28" s="29" t="n">
        <f aca="false">SUMIF('Order Tracking'!$G$5:$G$604,A28,'Order Tracking'!$L$5:$L$604)</f>
        <v>136911.03</v>
      </c>
      <c r="E28" s="27" t="str">
        <f aca="false">VLOOKUP(A28,'Product Master'!$A$5:$K$104,3,FALSE())</f>
        <v>Industrial</v>
      </c>
      <c r="F28" s="29" t="n">
        <f aca="false">VLOOKUP(A28,'Product Master'!$A$5:$K$104,5,FALSE())</f>
        <v>988.05</v>
      </c>
      <c r="G28" s="29" t="n">
        <f aca="false">VLOOKUP(A28,'Product Master'!$A$5:$K$104,6,FALSE())</f>
        <v>1573.69</v>
      </c>
      <c r="H28" s="29" t="n">
        <f aca="false">G28-F28</f>
        <v>585.64</v>
      </c>
      <c r="I28" s="29" t="n">
        <f aca="false">C28*H28</f>
        <v>50950.68</v>
      </c>
      <c r="J28" s="31" t="n">
        <f aca="false">IFERROR(H28/G28,0)</f>
        <v>0.372144450304698</v>
      </c>
      <c r="K28" s="32" t="str">
        <f aca="false">VLOOKUP(A28,'Inventory Management'!$A$5:$Q$104,16,FALSE())</f>
        <v>Out of Stock</v>
      </c>
    </row>
    <row r="29" customFormat="false" ht="15" hidden="false" customHeight="false" outlineLevel="0" collapsed="false">
      <c r="A29" s="18" t="s">
        <v>200</v>
      </c>
      <c r="B29" s="20" t="str">
        <f aca="false">VLOOKUP(A29,'Product Master'!$A$5:$K$104,2,FALSE())</f>
        <v>Pro Packaging Item 006</v>
      </c>
      <c r="C29" s="17" t="n">
        <f aca="false">SUMIF('Order Tracking'!$G$5:$G$604,A29,'Order Tracking'!$J$5:$J$604)</f>
        <v>94</v>
      </c>
      <c r="D29" s="16" t="n">
        <f aca="false">SUMIF('Order Tracking'!$G$5:$G$604,A29,'Order Tracking'!$L$5:$L$604)</f>
        <v>175509.28</v>
      </c>
      <c r="E29" s="20" t="str">
        <f aca="false">VLOOKUP(A29,'Product Master'!$A$5:$K$104,3,FALSE())</f>
        <v>Packaging</v>
      </c>
      <c r="F29" s="16" t="n">
        <f aca="false">VLOOKUP(A29,'Product Master'!$A$5:$K$104,5,FALSE())</f>
        <v>1422.65</v>
      </c>
      <c r="G29" s="16" t="n">
        <f aca="false">VLOOKUP(A29,'Product Master'!$A$5:$K$104,6,FALSE())</f>
        <v>1867.12</v>
      </c>
      <c r="H29" s="16" t="n">
        <f aca="false">G29-F29</f>
        <v>444.47</v>
      </c>
      <c r="I29" s="16" t="n">
        <f aca="false">C29*H29</f>
        <v>41780.18</v>
      </c>
      <c r="J29" s="19" t="n">
        <f aca="false">IFERROR(H29/G29,0)</f>
        <v>0.238051116157505</v>
      </c>
      <c r="K29" s="23" t="str">
        <f aca="false">VLOOKUP(A29,'Inventory Management'!$A$5:$Q$104,16,FALSE())</f>
        <v>Healthy Stock</v>
      </c>
    </row>
    <row r="30" customFormat="false" ht="15" hidden="false" customHeight="false" outlineLevel="0" collapsed="false">
      <c r="A30" s="26" t="s">
        <v>201</v>
      </c>
      <c r="B30" s="27" t="str">
        <f aca="false">VLOOKUP(A30,'Product Master'!$A$5:$K$104,2,FALSE())</f>
        <v>Everyday Apparel Item 007</v>
      </c>
      <c r="C30" s="28" t="n">
        <f aca="false">SUMIF('Order Tracking'!$G$5:$G$604,A30,'Order Tracking'!$J$5:$J$604)</f>
        <v>37</v>
      </c>
      <c r="D30" s="29" t="n">
        <f aca="false">SUMIF('Order Tracking'!$G$5:$G$604,A30,'Order Tracking'!$L$5:$L$604)</f>
        <v>381168.82</v>
      </c>
      <c r="E30" s="27" t="str">
        <f aca="false">VLOOKUP(A30,'Product Master'!$A$5:$K$104,3,FALSE())</f>
        <v>Apparel</v>
      </c>
      <c r="F30" s="29" t="n">
        <f aca="false">VLOOKUP(A30,'Product Master'!$A$5:$K$104,5,FALSE())</f>
        <v>7267.41</v>
      </c>
      <c r="G30" s="29" t="n">
        <f aca="false">VLOOKUP(A30,'Product Master'!$A$5:$K$104,6,FALSE())</f>
        <v>10301.86</v>
      </c>
      <c r="H30" s="29" t="n">
        <f aca="false">G30-F30</f>
        <v>3034.45</v>
      </c>
      <c r="I30" s="29" t="n">
        <f aca="false">C30*H30</f>
        <v>112274.65</v>
      </c>
      <c r="J30" s="31" t="n">
        <f aca="false">IFERROR(H30/G30,0)</f>
        <v>0.294553604883002</v>
      </c>
      <c r="K30" s="32" t="str">
        <f aca="false">VLOOKUP(A30,'Inventory Management'!$A$5:$Q$104,16,FALSE())</f>
        <v>Healthy Stock</v>
      </c>
    </row>
    <row r="31" customFormat="false" ht="15" hidden="false" customHeight="false" outlineLevel="0" collapsed="false">
      <c r="A31" s="18" t="s">
        <v>202</v>
      </c>
      <c r="B31" s="20" t="str">
        <f aca="false">VLOOKUP(A31,'Product Master'!$A$5:$K$104,2,FALSE())</f>
        <v>Smart Automotive Item 008</v>
      </c>
      <c r="C31" s="17" t="n">
        <f aca="false">SUMIF('Order Tracking'!$G$5:$G$604,A31,'Order Tracking'!$J$5:$J$604)</f>
        <v>149</v>
      </c>
      <c r="D31" s="16" t="n">
        <f aca="false">SUMIF('Order Tracking'!$G$5:$G$604,A31,'Order Tracking'!$L$5:$L$604)</f>
        <v>1264863.98</v>
      </c>
      <c r="E31" s="20" t="str">
        <f aca="false">VLOOKUP(A31,'Product Master'!$A$5:$K$104,3,FALSE())</f>
        <v>Automotive</v>
      </c>
      <c r="F31" s="16" t="n">
        <f aca="false">VLOOKUP(A31,'Product Master'!$A$5:$K$104,5,FALSE())</f>
        <v>7069.94</v>
      </c>
      <c r="G31" s="16" t="n">
        <f aca="false">VLOOKUP(A31,'Product Master'!$A$5:$K$104,6,FALSE())</f>
        <v>8489.02</v>
      </c>
      <c r="H31" s="16" t="n">
        <f aca="false">G31-F31</f>
        <v>1419.08</v>
      </c>
      <c r="I31" s="16" t="n">
        <f aca="false">C31*H31</f>
        <v>211442.92</v>
      </c>
      <c r="J31" s="19" t="n">
        <f aca="false">IFERROR(H31/G31,0)</f>
        <v>0.167166528056242</v>
      </c>
      <c r="K31" s="23" t="str">
        <f aca="false">VLOOKUP(A31,'Inventory Management'!$A$5:$Q$104,16,FALSE())</f>
        <v>Overstocked</v>
      </c>
    </row>
    <row r="32" customFormat="false" ht="15" hidden="false" customHeight="false" outlineLevel="0" collapsed="false">
      <c r="A32" s="26" t="s">
        <v>203</v>
      </c>
      <c r="B32" s="27" t="str">
        <f aca="false">VLOOKUP(A32,'Product Master'!$A$5:$K$104,2,FALSE())</f>
        <v>Essential Electronics Item 009</v>
      </c>
      <c r="C32" s="28" t="n">
        <f aca="false">SUMIF('Order Tracking'!$G$5:$G$604,A32,'Order Tracking'!$J$5:$J$604)</f>
        <v>80</v>
      </c>
      <c r="D32" s="29" t="n">
        <f aca="false">SUMIF('Order Tracking'!$G$5:$G$604,A32,'Order Tracking'!$L$5:$L$604)</f>
        <v>462276.8</v>
      </c>
      <c r="E32" s="27" t="str">
        <f aca="false">VLOOKUP(A32,'Product Master'!$A$5:$K$104,3,FALSE())</f>
        <v>Electronics</v>
      </c>
      <c r="F32" s="29" t="n">
        <f aca="false">VLOOKUP(A32,'Product Master'!$A$5:$K$104,5,FALSE())</f>
        <v>3822.58</v>
      </c>
      <c r="G32" s="29" t="n">
        <f aca="false">VLOOKUP(A32,'Product Master'!$A$5:$K$104,6,FALSE())</f>
        <v>5778.46</v>
      </c>
      <c r="H32" s="29" t="n">
        <f aca="false">G32-F32</f>
        <v>1955.88</v>
      </c>
      <c r="I32" s="29" t="n">
        <f aca="false">C32*H32</f>
        <v>156470.4</v>
      </c>
      <c r="J32" s="31" t="n">
        <f aca="false">IFERROR(H32/G32,0)</f>
        <v>0.338477725899288</v>
      </c>
      <c r="K32" s="32" t="str">
        <f aca="false">VLOOKUP(A32,'Inventory Management'!$A$5:$Q$104,16,FALSE())</f>
        <v>Out of Stock</v>
      </c>
    </row>
    <row r="33" customFormat="false" ht="15" hidden="false" customHeight="false" outlineLevel="0" collapsed="false">
      <c r="A33" s="18" t="s">
        <v>204</v>
      </c>
      <c r="B33" s="20" t="str">
        <f aca="false">VLOOKUP(A33,'Product Master'!$A$5:$K$104,2,FALSE())</f>
        <v>Essential Home Item 010</v>
      </c>
      <c r="C33" s="17" t="n">
        <f aca="false">SUMIF('Order Tracking'!$G$5:$G$604,A33,'Order Tracking'!$J$5:$J$604)</f>
        <v>147</v>
      </c>
      <c r="D33" s="16" t="n">
        <f aca="false">SUMIF('Order Tracking'!$G$5:$G$604,A33,'Order Tracking'!$L$5:$L$604)</f>
        <v>1086146.25</v>
      </c>
      <c r="E33" s="20" t="str">
        <f aca="false">VLOOKUP(A33,'Product Master'!$A$5:$K$104,3,FALSE())</f>
        <v>Home &amp; Kitchen</v>
      </c>
      <c r="F33" s="16" t="n">
        <f aca="false">VLOOKUP(A33,'Product Master'!$A$5:$K$104,5,FALSE())</f>
        <v>5910.74</v>
      </c>
      <c r="G33" s="16" t="n">
        <f aca="false">VLOOKUP(A33,'Product Master'!$A$5:$K$104,6,FALSE())</f>
        <v>7388.75</v>
      </c>
      <c r="H33" s="16" t="n">
        <f aca="false">G33-F33</f>
        <v>1478.01</v>
      </c>
      <c r="I33" s="16" t="n">
        <f aca="false">C33*H33</f>
        <v>217267.47</v>
      </c>
      <c r="J33" s="19" t="n">
        <f aca="false">IFERROR(H33/G33,0)</f>
        <v>0.200035188631365</v>
      </c>
      <c r="K33" s="23" t="str">
        <f aca="false">VLOOKUP(A33,'Inventory Management'!$A$5:$Q$104,16,FALSE())</f>
        <v>Low Stock</v>
      </c>
    </row>
    <row r="34" customFormat="false" ht="15" hidden="false" customHeight="false" outlineLevel="0" collapsed="false">
      <c r="A34" s="26" t="s">
        <v>205</v>
      </c>
      <c r="B34" s="27" t="str">
        <f aca="false">VLOOKUP(A34,'Product Master'!$A$5:$K$104,2,FALSE())</f>
        <v>Essential Office Item 011</v>
      </c>
      <c r="C34" s="28" t="n">
        <f aca="false">SUMIF('Order Tracking'!$G$5:$G$604,A34,'Order Tracking'!$J$5:$J$604)</f>
        <v>37</v>
      </c>
      <c r="D34" s="29" t="n">
        <f aca="false">SUMIF('Order Tracking'!$G$5:$G$604,A34,'Order Tracking'!$L$5:$L$604)</f>
        <v>23527.19</v>
      </c>
      <c r="E34" s="27" t="str">
        <f aca="false">VLOOKUP(A34,'Product Master'!$A$5:$K$104,3,FALSE())</f>
        <v>Office Supplies</v>
      </c>
      <c r="F34" s="29" t="n">
        <f aca="false">VLOOKUP(A34,'Product Master'!$A$5:$K$104,5,FALSE())</f>
        <v>470.53</v>
      </c>
      <c r="G34" s="29" t="n">
        <f aca="false">VLOOKUP(A34,'Product Master'!$A$5:$K$104,6,FALSE())</f>
        <v>635.87</v>
      </c>
      <c r="H34" s="29" t="n">
        <f aca="false">G34-F34</f>
        <v>165.34</v>
      </c>
      <c r="I34" s="29" t="n">
        <f aca="false">C34*H34</f>
        <v>6117.58</v>
      </c>
      <c r="J34" s="31" t="n">
        <f aca="false">IFERROR(H34/G34,0)</f>
        <v>0.260021702549263</v>
      </c>
      <c r="K34" s="32" t="str">
        <f aca="false">VLOOKUP(A34,'Inventory Management'!$A$5:$Q$104,16,FALSE())</f>
        <v>Overstocked</v>
      </c>
    </row>
    <row r="35" customFormat="false" ht="15" hidden="false" customHeight="false" outlineLevel="0" collapsed="false">
      <c r="A35" s="18" t="s">
        <v>206</v>
      </c>
      <c r="B35" s="20" t="str">
        <f aca="false">VLOOKUP(A35,'Product Master'!$A$5:$K$104,2,FALSE())</f>
        <v>Eco Personal Item 012</v>
      </c>
      <c r="C35" s="17" t="n">
        <f aca="false">SUMIF('Order Tracking'!$G$5:$G$604,A35,'Order Tracking'!$J$5:$J$604)</f>
        <v>149</v>
      </c>
      <c r="D35" s="16" t="n">
        <f aca="false">SUMIF('Order Tracking'!$G$5:$G$604,A35,'Order Tracking'!$L$5:$L$604)</f>
        <v>1145138.01</v>
      </c>
      <c r="E35" s="20" t="str">
        <f aca="false">VLOOKUP(A35,'Product Master'!$A$5:$K$104,3,FALSE())</f>
        <v>Personal Care</v>
      </c>
      <c r="F35" s="16" t="n">
        <f aca="false">VLOOKUP(A35,'Product Master'!$A$5:$K$104,5,FALSE())</f>
        <v>5708.9</v>
      </c>
      <c r="G35" s="16" t="n">
        <f aca="false">VLOOKUP(A35,'Product Master'!$A$5:$K$104,6,FALSE())</f>
        <v>7685.49</v>
      </c>
      <c r="H35" s="16" t="n">
        <f aca="false">G35-F35</f>
        <v>1976.59</v>
      </c>
      <c r="I35" s="16" t="n">
        <f aca="false">C35*H35</f>
        <v>294511.91</v>
      </c>
      <c r="J35" s="19" t="n">
        <f aca="false">IFERROR(H35/G35,0)</f>
        <v>0.257184642748868</v>
      </c>
      <c r="K35" s="23" t="str">
        <f aca="false">VLOOKUP(A35,'Inventory Management'!$A$5:$Q$104,16,FALSE())</f>
        <v>Healthy Stock</v>
      </c>
    </row>
    <row r="36" customFormat="false" ht="15" hidden="false" customHeight="false" outlineLevel="0" collapsed="false">
      <c r="A36" s="26" t="s">
        <v>207</v>
      </c>
      <c r="B36" s="27" t="str">
        <f aca="false">VLOOKUP(A36,'Product Master'!$A$5:$K$104,2,FALSE())</f>
        <v>Eco Industrial Item 013</v>
      </c>
      <c r="C36" s="28" t="n">
        <f aca="false">SUMIF('Order Tracking'!$G$5:$G$604,A36,'Order Tracking'!$J$5:$J$604)</f>
        <v>47</v>
      </c>
      <c r="D36" s="29" t="n">
        <f aca="false">SUMIF('Order Tracking'!$G$5:$G$604,A36,'Order Tracking'!$L$5:$L$604)</f>
        <v>609015.19</v>
      </c>
      <c r="E36" s="27" t="str">
        <f aca="false">VLOOKUP(A36,'Product Master'!$A$5:$K$104,3,FALSE())</f>
        <v>Industrial</v>
      </c>
      <c r="F36" s="29" t="n">
        <f aca="false">VLOOKUP(A36,'Product Master'!$A$5:$K$104,5,FALSE())</f>
        <v>8300.61</v>
      </c>
      <c r="G36" s="29" t="n">
        <f aca="false">VLOOKUP(A36,'Product Master'!$A$5:$K$104,6,FALSE())</f>
        <v>12957.77</v>
      </c>
      <c r="H36" s="29" t="n">
        <f aca="false">G36-F36</f>
        <v>4657.16</v>
      </c>
      <c r="I36" s="29" t="n">
        <f aca="false">C36*H36</f>
        <v>218886.52</v>
      </c>
      <c r="J36" s="31" t="n">
        <f aca="false">IFERROR(H36/G36,0)</f>
        <v>0.359410608461178</v>
      </c>
      <c r="K36" s="32" t="str">
        <f aca="false">VLOOKUP(A36,'Inventory Management'!$A$5:$Q$104,16,FALSE())</f>
        <v>Healthy Stock</v>
      </c>
    </row>
    <row r="37" customFormat="false" ht="15" hidden="false" customHeight="false" outlineLevel="0" collapsed="false">
      <c r="A37" s="18" t="s">
        <v>208</v>
      </c>
      <c r="B37" s="20" t="str">
        <f aca="false">VLOOKUP(A37,'Product Master'!$A$5:$K$104,2,FALSE())</f>
        <v>Pro Packaging Item 014</v>
      </c>
      <c r="C37" s="17" t="n">
        <f aca="false">SUMIF('Order Tracking'!$G$5:$G$604,A37,'Order Tracking'!$J$5:$J$604)</f>
        <v>54</v>
      </c>
      <c r="D37" s="16" t="n">
        <f aca="false">SUMIF('Order Tracking'!$G$5:$G$604,A37,'Order Tracking'!$L$5:$L$604)</f>
        <v>253621.8</v>
      </c>
      <c r="E37" s="20" t="str">
        <f aca="false">VLOOKUP(A37,'Product Master'!$A$5:$K$104,3,FALSE())</f>
        <v>Packaging</v>
      </c>
      <c r="F37" s="16" t="n">
        <f aca="false">VLOOKUP(A37,'Product Master'!$A$5:$K$104,5,FALSE())</f>
        <v>2903.71</v>
      </c>
      <c r="G37" s="16" t="n">
        <f aca="false">VLOOKUP(A37,'Product Master'!$A$5:$K$104,6,FALSE())</f>
        <v>4696.7</v>
      </c>
      <c r="H37" s="16" t="n">
        <f aca="false">G37-F37</f>
        <v>1792.99</v>
      </c>
      <c r="I37" s="16" t="n">
        <f aca="false">C37*H37</f>
        <v>96821.46</v>
      </c>
      <c r="J37" s="19" t="n">
        <f aca="false">IFERROR(H37/G37,0)</f>
        <v>0.381755274980305</v>
      </c>
      <c r="K37" s="23" t="str">
        <f aca="false">VLOOKUP(A37,'Inventory Management'!$A$5:$Q$104,16,FALSE())</f>
        <v>Overstocked</v>
      </c>
    </row>
    <row r="38" customFormat="false" ht="15" hidden="false" customHeight="false" outlineLevel="0" collapsed="false">
      <c r="A38" s="26" t="s">
        <v>209</v>
      </c>
      <c r="B38" s="27" t="str">
        <f aca="false">VLOOKUP(A38,'Product Master'!$A$5:$K$104,2,FALSE())</f>
        <v>Classic Apparel Item 015</v>
      </c>
      <c r="C38" s="28" t="n">
        <f aca="false">SUMIF('Order Tracking'!$G$5:$G$604,A38,'Order Tracking'!$J$5:$J$604)</f>
        <v>65</v>
      </c>
      <c r="D38" s="29" t="n">
        <f aca="false">SUMIF('Order Tracking'!$G$5:$G$604,A38,'Order Tracking'!$L$5:$L$604)</f>
        <v>106015</v>
      </c>
      <c r="E38" s="27" t="str">
        <f aca="false">VLOOKUP(A38,'Product Master'!$A$5:$K$104,3,FALSE())</f>
        <v>Apparel</v>
      </c>
      <c r="F38" s="29" t="n">
        <f aca="false">VLOOKUP(A38,'Product Master'!$A$5:$K$104,5,FALSE())</f>
        <v>1025.84</v>
      </c>
      <c r="G38" s="29" t="n">
        <f aca="false">VLOOKUP(A38,'Product Master'!$A$5:$K$104,6,FALSE())</f>
        <v>1631</v>
      </c>
      <c r="H38" s="29" t="n">
        <f aca="false">G38-F38</f>
        <v>605.16</v>
      </c>
      <c r="I38" s="29" t="n">
        <f aca="false">C38*H38</f>
        <v>39335.4</v>
      </c>
      <c r="J38" s="31" t="n">
        <f aca="false">IFERROR(H38/G38,0)</f>
        <v>0.371036174126303</v>
      </c>
      <c r="K38" s="32" t="str">
        <f aca="false">VLOOKUP(A38,'Inventory Management'!$A$5:$Q$104,16,FALSE())</f>
        <v>Healthy Stock</v>
      </c>
    </row>
    <row r="39" customFormat="false" ht="15" hidden="false" customHeight="false" outlineLevel="0" collapsed="false">
      <c r="A39" s="18" t="s">
        <v>210</v>
      </c>
      <c r="B39" s="20" t="str">
        <f aca="false">VLOOKUP(A39,'Product Master'!$A$5:$K$104,2,FALSE())</f>
        <v>Pro Automotive Item 016</v>
      </c>
      <c r="C39" s="17" t="n">
        <f aca="false">SUMIF('Order Tracking'!$G$5:$G$604,A39,'Order Tracking'!$J$5:$J$604)</f>
        <v>126</v>
      </c>
      <c r="D39" s="16" t="n">
        <f aca="false">SUMIF('Order Tracking'!$G$5:$G$604,A39,'Order Tracking'!$L$5:$L$604)</f>
        <v>663235.02</v>
      </c>
      <c r="E39" s="20" t="str">
        <f aca="false">VLOOKUP(A39,'Product Master'!$A$5:$K$104,3,FALSE())</f>
        <v>Automotive</v>
      </c>
      <c r="F39" s="16" t="n">
        <f aca="false">VLOOKUP(A39,'Product Master'!$A$5:$K$104,5,FALSE())</f>
        <v>3977.34</v>
      </c>
      <c r="G39" s="16" t="n">
        <f aca="false">VLOOKUP(A39,'Product Master'!$A$5:$K$104,6,FALSE())</f>
        <v>5263.77</v>
      </c>
      <c r="H39" s="16" t="n">
        <f aca="false">G39-F39</f>
        <v>1286.43</v>
      </c>
      <c r="I39" s="16" t="n">
        <f aca="false">C39*H39</f>
        <v>162090.18</v>
      </c>
      <c r="J39" s="19" t="n">
        <f aca="false">IFERROR(H39/G39,0)</f>
        <v>0.244393277061878</v>
      </c>
      <c r="K39" s="23" t="str">
        <f aca="false">VLOOKUP(A39,'Inventory Management'!$A$5:$Q$104,16,FALSE())</f>
        <v>Healthy Stock</v>
      </c>
    </row>
    <row r="40" customFormat="false" ht="15" hidden="false" customHeight="false" outlineLevel="0" collapsed="false">
      <c r="A40" s="26" t="s">
        <v>211</v>
      </c>
      <c r="B40" s="27" t="str">
        <f aca="false">VLOOKUP(A40,'Product Master'!$A$5:$K$104,2,FALSE())</f>
        <v>Premium Electronics Item 017</v>
      </c>
      <c r="C40" s="28" t="n">
        <f aca="false">SUMIF('Order Tracking'!$G$5:$G$604,A40,'Order Tracking'!$J$5:$J$604)</f>
        <v>28</v>
      </c>
      <c r="D40" s="29" t="n">
        <f aca="false">SUMIF('Order Tracking'!$G$5:$G$604,A40,'Order Tracking'!$L$5:$L$604)</f>
        <v>126972.72</v>
      </c>
      <c r="E40" s="27" t="str">
        <f aca="false">VLOOKUP(A40,'Product Master'!$A$5:$K$104,3,FALSE())</f>
        <v>Electronics</v>
      </c>
      <c r="F40" s="29" t="n">
        <f aca="false">VLOOKUP(A40,'Product Master'!$A$5:$K$104,5,FALSE())</f>
        <v>3459.14</v>
      </c>
      <c r="G40" s="29" t="n">
        <f aca="false">VLOOKUP(A40,'Product Master'!$A$5:$K$104,6,FALSE())</f>
        <v>4534.74</v>
      </c>
      <c r="H40" s="29" t="n">
        <f aca="false">G40-F40</f>
        <v>1075.6</v>
      </c>
      <c r="I40" s="29" t="n">
        <f aca="false">C40*H40</f>
        <v>30116.8</v>
      </c>
      <c r="J40" s="31" t="n">
        <f aca="false">IFERROR(H40/G40,0)</f>
        <v>0.237191106877131</v>
      </c>
      <c r="K40" s="32" t="str">
        <f aca="false">VLOOKUP(A40,'Inventory Management'!$A$5:$Q$104,16,FALSE())</f>
        <v>Out of Stock</v>
      </c>
    </row>
    <row r="41" customFormat="false" ht="15" hidden="false" customHeight="false" outlineLevel="0" collapsed="false">
      <c r="A41" s="18" t="s">
        <v>212</v>
      </c>
      <c r="B41" s="20" t="str">
        <f aca="false">VLOOKUP(A41,'Product Master'!$A$5:$K$104,2,FALSE())</f>
        <v>Smart Home Item 018</v>
      </c>
      <c r="C41" s="17" t="n">
        <f aca="false">SUMIF('Order Tracking'!$G$5:$G$604,A41,'Order Tracking'!$J$5:$J$604)</f>
        <v>112</v>
      </c>
      <c r="D41" s="16" t="n">
        <f aca="false">SUMIF('Order Tracking'!$G$5:$G$604,A41,'Order Tracking'!$L$5:$L$604)</f>
        <v>637684.32</v>
      </c>
      <c r="E41" s="20" t="str">
        <f aca="false">VLOOKUP(A41,'Product Master'!$A$5:$K$104,3,FALSE())</f>
        <v>Home &amp; Kitchen</v>
      </c>
      <c r="F41" s="16" t="n">
        <f aca="false">VLOOKUP(A41,'Product Master'!$A$5:$K$104,5,FALSE())</f>
        <v>3469.3</v>
      </c>
      <c r="G41" s="16" t="n">
        <f aca="false">VLOOKUP(A41,'Product Master'!$A$5:$K$104,6,FALSE())</f>
        <v>5693.61</v>
      </c>
      <c r="H41" s="16" t="n">
        <f aca="false">G41-F41</f>
        <v>2224.31</v>
      </c>
      <c r="I41" s="16" t="n">
        <f aca="false">C41*H41</f>
        <v>249122.72</v>
      </c>
      <c r="J41" s="19" t="n">
        <f aca="false">IFERROR(H41/G41,0)</f>
        <v>0.390667783708403</v>
      </c>
      <c r="K41" s="23" t="str">
        <f aca="false">VLOOKUP(A41,'Inventory Management'!$A$5:$Q$104,16,FALSE())</f>
        <v>Healthy Stock</v>
      </c>
    </row>
    <row r="42" customFormat="false" ht="15" hidden="false" customHeight="false" outlineLevel="0" collapsed="false">
      <c r="A42" s="26" t="s">
        <v>213</v>
      </c>
      <c r="B42" s="27" t="str">
        <f aca="false">VLOOKUP(A42,'Product Master'!$A$5:$K$104,2,FALSE())</f>
        <v>Everyday Office Item 019</v>
      </c>
      <c r="C42" s="28" t="n">
        <f aca="false">SUMIF('Order Tracking'!$G$5:$G$604,A42,'Order Tracking'!$J$5:$J$604)</f>
        <v>65</v>
      </c>
      <c r="D42" s="29" t="n">
        <f aca="false">SUMIF('Order Tracking'!$G$5:$G$604,A42,'Order Tracking'!$L$5:$L$604)</f>
        <v>218052.9</v>
      </c>
      <c r="E42" s="27" t="str">
        <f aca="false">VLOOKUP(A42,'Product Master'!$A$5:$K$104,3,FALSE())</f>
        <v>Office Supplies</v>
      </c>
      <c r="F42" s="29" t="n">
        <f aca="false">VLOOKUP(A42,'Product Master'!$A$5:$K$104,5,FALSE())</f>
        <v>2308.98</v>
      </c>
      <c r="G42" s="29" t="n">
        <f aca="false">VLOOKUP(A42,'Product Master'!$A$5:$K$104,6,FALSE())</f>
        <v>3354.66</v>
      </c>
      <c r="H42" s="29" t="n">
        <f aca="false">G42-F42</f>
        <v>1045.68</v>
      </c>
      <c r="I42" s="29" t="n">
        <f aca="false">C42*H42</f>
        <v>67969.2</v>
      </c>
      <c r="J42" s="31" t="n">
        <f aca="false">IFERROR(H42/G42,0)</f>
        <v>0.311709681458031</v>
      </c>
      <c r="K42" s="32" t="str">
        <f aca="false">VLOOKUP(A42,'Inventory Management'!$A$5:$Q$104,16,FALSE())</f>
        <v>Healthy Stock</v>
      </c>
    </row>
    <row r="43" customFormat="false" ht="15" hidden="false" customHeight="false" outlineLevel="0" collapsed="false">
      <c r="A43" s="18" t="s">
        <v>214</v>
      </c>
      <c r="B43" s="20" t="str">
        <f aca="false">VLOOKUP(A43,'Product Master'!$A$5:$K$104,2,FALSE())</f>
        <v>Eco Personal Item 020</v>
      </c>
      <c r="C43" s="17" t="n">
        <f aca="false">SUMIF('Order Tracking'!$G$5:$G$604,A43,'Order Tracking'!$J$5:$J$604)</f>
        <v>77</v>
      </c>
      <c r="D43" s="16" t="n">
        <f aca="false">SUMIF('Order Tracking'!$G$5:$G$604,A43,'Order Tracking'!$L$5:$L$604)</f>
        <v>359974.23</v>
      </c>
      <c r="E43" s="20" t="str">
        <f aca="false">VLOOKUP(A43,'Product Master'!$A$5:$K$104,3,FALSE())</f>
        <v>Personal Care</v>
      </c>
      <c r="F43" s="16" t="n">
        <f aca="false">VLOOKUP(A43,'Product Master'!$A$5:$K$104,5,FALSE())</f>
        <v>3016.86</v>
      </c>
      <c r="G43" s="16" t="n">
        <f aca="false">VLOOKUP(A43,'Product Master'!$A$5:$K$104,6,FALSE())</f>
        <v>4674.99</v>
      </c>
      <c r="H43" s="16" t="n">
        <f aca="false">G43-F43</f>
        <v>1658.13</v>
      </c>
      <c r="I43" s="16" t="n">
        <f aca="false">C43*H43</f>
        <v>127676.01</v>
      </c>
      <c r="J43" s="19" t="n">
        <f aca="false">IFERROR(H43/G43,0)</f>
        <v>0.35468097257962</v>
      </c>
      <c r="K43" s="23" t="str">
        <f aca="false">VLOOKUP(A43,'Inventory Management'!$A$5:$Q$104,16,FALSE())</f>
        <v>Healthy Stock</v>
      </c>
    </row>
    <row r="44" customFormat="false" ht="15" hidden="false" customHeight="false" outlineLevel="0" collapsed="false">
      <c r="A44" s="26" t="s">
        <v>215</v>
      </c>
      <c r="B44" s="27" t="str">
        <f aca="false">VLOOKUP(A44,'Product Master'!$A$5:$K$104,2,FALSE())</f>
        <v>Eco Industrial Item 021</v>
      </c>
      <c r="C44" s="28" t="n">
        <f aca="false">SUMIF('Order Tracking'!$G$5:$G$604,A44,'Order Tracking'!$J$5:$J$604)</f>
        <v>69</v>
      </c>
      <c r="D44" s="29" t="n">
        <f aca="false">SUMIF('Order Tracking'!$G$5:$G$604,A44,'Order Tracking'!$L$5:$L$604)</f>
        <v>141926.79</v>
      </c>
      <c r="E44" s="27" t="str">
        <f aca="false">VLOOKUP(A44,'Product Master'!$A$5:$K$104,3,FALSE())</f>
        <v>Industrial</v>
      </c>
      <c r="F44" s="29" t="n">
        <f aca="false">VLOOKUP(A44,'Product Master'!$A$5:$K$104,5,FALSE())</f>
        <v>1712.86</v>
      </c>
      <c r="G44" s="29" t="n">
        <f aca="false">VLOOKUP(A44,'Product Master'!$A$5:$K$104,6,FALSE())</f>
        <v>2056.91</v>
      </c>
      <c r="H44" s="29" t="n">
        <f aca="false">G44-F44</f>
        <v>344.05</v>
      </c>
      <c r="I44" s="29" t="n">
        <f aca="false">C44*H44</f>
        <v>23739.45</v>
      </c>
      <c r="J44" s="31" t="n">
        <f aca="false">IFERROR(H44/G44,0)</f>
        <v>0.167265461298744</v>
      </c>
      <c r="K44" s="32" t="str">
        <f aca="false">VLOOKUP(A44,'Inventory Management'!$A$5:$Q$104,16,FALSE())</f>
        <v>Healthy Stock</v>
      </c>
    </row>
    <row r="45" customFormat="false" ht="15" hidden="false" customHeight="false" outlineLevel="0" collapsed="false">
      <c r="A45" s="18" t="s">
        <v>216</v>
      </c>
      <c r="B45" s="20" t="str">
        <f aca="false">VLOOKUP(A45,'Product Master'!$A$5:$K$104,2,FALSE())</f>
        <v>Smart Packaging Item 022</v>
      </c>
      <c r="C45" s="17" t="n">
        <f aca="false">SUMIF('Order Tracking'!$G$5:$G$604,A45,'Order Tracking'!$J$5:$J$604)</f>
        <v>41</v>
      </c>
      <c r="D45" s="16" t="n">
        <f aca="false">SUMIF('Order Tracking'!$G$5:$G$604,A45,'Order Tracking'!$L$5:$L$604)</f>
        <v>43216.05</v>
      </c>
      <c r="E45" s="20" t="str">
        <f aca="false">VLOOKUP(A45,'Product Master'!$A$5:$K$104,3,FALSE())</f>
        <v>Packaging</v>
      </c>
      <c r="F45" s="16" t="n">
        <f aca="false">VLOOKUP(A45,'Product Master'!$A$5:$K$104,5,FALSE())</f>
        <v>706.38</v>
      </c>
      <c r="G45" s="16" t="n">
        <f aca="false">VLOOKUP(A45,'Product Master'!$A$5:$K$104,6,FALSE())</f>
        <v>1054.05</v>
      </c>
      <c r="H45" s="16" t="n">
        <f aca="false">G45-F45</f>
        <v>347.67</v>
      </c>
      <c r="I45" s="16" t="n">
        <f aca="false">C45*H45</f>
        <v>14254.47</v>
      </c>
      <c r="J45" s="19" t="n">
        <f aca="false">IFERROR(H45/G45,0)</f>
        <v>0.329842037853992</v>
      </c>
      <c r="K45" s="23" t="str">
        <f aca="false">VLOOKUP(A45,'Inventory Management'!$A$5:$Q$104,16,FALSE())</f>
        <v>Healthy Stock</v>
      </c>
    </row>
    <row r="46" customFormat="false" ht="15" hidden="false" customHeight="false" outlineLevel="0" collapsed="false">
      <c r="A46" s="26" t="s">
        <v>217</v>
      </c>
      <c r="B46" s="27" t="str">
        <f aca="false">VLOOKUP(A46,'Product Master'!$A$5:$K$104,2,FALSE())</f>
        <v>Eco Apparel Item 023</v>
      </c>
      <c r="C46" s="28" t="n">
        <f aca="false">SUMIF('Order Tracking'!$G$5:$G$604,A46,'Order Tracking'!$J$5:$J$604)</f>
        <v>28</v>
      </c>
      <c r="D46" s="29" t="n">
        <f aca="false">SUMIF('Order Tracking'!$G$5:$G$604,A46,'Order Tracking'!$L$5:$L$604)</f>
        <v>97848.52</v>
      </c>
      <c r="E46" s="27" t="str">
        <f aca="false">VLOOKUP(A46,'Product Master'!$A$5:$K$104,3,FALSE())</f>
        <v>Apparel</v>
      </c>
      <c r="F46" s="29" t="n">
        <f aca="false">VLOOKUP(A46,'Product Master'!$A$5:$K$104,5,FALSE())</f>
        <v>2636.7</v>
      </c>
      <c r="G46" s="29" t="n">
        <f aca="false">VLOOKUP(A46,'Product Master'!$A$5:$K$104,6,FALSE())</f>
        <v>3494.59</v>
      </c>
      <c r="H46" s="29" t="n">
        <f aca="false">G46-F46</f>
        <v>857.89</v>
      </c>
      <c r="I46" s="29" t="n">
        <f aca="false">C46*H46</f>
        <v>24020.92</v>
      </c>
      <c r="J46" s="31" t="n">
        <f aca="false">IFERROR(H46/G46,0)</f>
        <v>0.245490887343007</v>
      </c>
      <c r="K46" s="32" t="str">
        <f aca="false">VLOOKUP(A46,'Inventory Management'!$A$5:$Q$104,16,FALSE())</f>
        <v>Overstocked</v>
      </c>
    </row>
    <row r="47" customFormat="false" ht="15" hidden="false" customHeight="false" outlineLevel="0" collapsed="false">
      <c r="A47" s="18" t="s">
        <v>218</v>
      </c>
      <c r="B47" s="20" t="str">
        <f aca="false">VLOOKUP(A47,'Product Master'!$A$5:$K$104,2,FALSE())</f>
        <v>Eco Automotive Item 024</v>
      </c>
      <c r="C47" s="17" t="n">
        <f aca="false">SUMIF('Order Tracking'!$G$5:$G$604,A47,'Order Tracking'!$J$5:$J$604)</f>
        <v>5</v>
      </c>
      <c r="D47" s="16" t="n">
        <f aca="false">SUMIF('Order Tracking'!$G$5:$G$604,A47,'Order Tracking'!$L$5:$L$604)</f>
        <v>30267.9</v>
      </c>
      <c r="E47" s="20" t="str">
        <f aca="false">VLOOKUP(A47,'Product Master'!$A$5:$K$104,3,FALSE())</f>
        <v>Automotive</v>
      </c>
      <c r="F47" s="16" t="n">
        <f aca="false">VLOOKUP(A47,'Product Master'!$A$5:$K$104,5,FALSE())</f>
        <v>4765.98</v>
      </c>
      <c r="G47" s="16" t="n">
        <f aca="false">VLOOKUP(A47,'Product Master'!$A$5:$K$104,6,FALSE())</f>
        <v>6053.58</v>
      </c>
      <c r="H47" s="16" t="n">
        <f aca="false">G47-F47</f>
        <v>1287.6</v>
      </c>
      <c r="I47" s="16" t="n">
        <f aca="false">C47*H47</f>
        <v>6438</v>
      </c>
      <c r="J47" s="19" t="n">
        <f aca="false">IFERROR(H47/G47,0)</f>
        <v>0.212700583786784</v>
      </c>
      <c r="K47" s="23" t="str">
        <f aca="false">VLOOKUP(A47,'Inventory Management'!$A$5:$Q$104,16,FALSE())</f>
        <v>Healthy Stock</v>
      </c>
    </row>
    <row r="48" customFormat="false" ht="15" hidden="false" customHeight="false" outlineLevel="0" collapsed="false">
      <c r="A48" s="26" t="s">
        <v>219</v>
      </c>
      <c r="B48" s="27" t="str">
        <f aca="false">VLOOKUP(A48,'Product Master'!$A$5:$K$104,2,FALSE())</f>
        <v>Pro Electronics Item 025</v>
      </c>
      <c r="C48" s="28" t="n">
        <f aca="false">SUMIF('Order Tracking'!$G$5:$G$604,A48,'Order Tracking'!$J$5:$J$604)</f>
        <v>141</v>
      </c>
      <c r="D48" s="29" t="n">
        <f aca="false">SUMIF('Order Tracking'!$G$5:$G$604,A48,'Order Tracking'!$L$5:$L$604)</f>
        <v>1325511.39</v>
      </c>
      <c r="E48" s="27" t="str">
        <f aca="false">VLOOKUP(A48,'Product Master'!$A$5:$K$104,3,FALSE())</f>
        <v>Electronics</v>
      </c>
      <c r="F48" s="29" t="n">
        <f aca="false">VLOOKUP(A48,'Product Master'!$A$5:$K$104,5,FALSE())</f>
        <v>7106.62</v>
      </c>
      <c r="G48" s="29" t="n">
        <f aca="false">VLOOKUP(A48,'Product Master'!$A$5:$K$104,6,FALSE())</f>
        <v>9400.79</v>
      </c>
      <c r="H48" s="29" t="n">
        <f aca="false">G48-F48</f>
        <v>2294.17</v>
      </c>
      <c r="I48" s="29" t="n">
        <f aca="false">C48*H48</f>
        <v>323477.97</v>
      </c>
      <c r="J48" s="31" t="n">
        <f aca="false">IFERROR(H48/G48,0)</f>
        <v>0.244040128542389</v>
      </c>
      <c r="K48" s="32" t="str">
        <f aca="false">VLOOKUP(A48,'Inventory Management'!$A$5:$Q$104,16,FALSE())</f>
        <v>Out of Stock</v>
      </c>
    </row>
    <row r="49" customFormat="false" ht="15" hidden="false" customHeight="false" outlineLevel="0" collapsed="false">
      <c r="A49" s="18" t="s">
        <v>220</v>
      </c>
      <c r="B49" s="20" t="str">
        <f aca="false">VLOOKUP(A49,'Product Master'!$A$5:$K$104,2,FALSE())</f>
        <v>Classic Home Item 026</v>
      </c>
      <c r="C49" s="17" t="n">
        <f aca="false">SUMIF('Order Tracking'!$G$5:$G$604,A49,'Order Tracking'!$J$5:$J$604)</f>
        <v>106</v>
      </c>
      <c r="D49" s="16" t="n">
        <f aca="false">SUMIF('Order Tracking'!$G$5:$G$604,A49,'Order Tracking'!$L$5:$L$604)</f>
        <v>519195.42</v>
      </c>
      <c r="E49" s="20" t="str">
        <f aca="false">VLOOKUP(A49,'Product Master'!$A$5:$K$104,3,FALSE())</f>
        <v>Home &amp; Kitchen</v>
      </c>
      <c r="F49" s="16" t="n">
        <f aca="false">VLOOKUP(A49,'Product Master'!$A$5:$K$104,5,FALSE())</f>
        <v>3825.3</v>
      </c>
      <c r="G49" s="16" t="n">
        <f aca="false">VLOOKUP(A49,'Product Master'!$A$5:$K$104,6,FALSE())</f>
        <v>4898.07</v>
      </c>
      <c r="H49" s="16" t="n">
        <f aca="false">G49-F49</f>
        <v>1072.77</v>
      </c>
      <c r="I49" s="16" t="n">
        <f aca="false">C49*H49</f>
        <v>113713.62</v>
      </c>
      <c r="J49" s="19" t="n">
        <f aca="false">IFERROR(H49/G49,0)</f>
        <v>0.219018919696942</v>
      </c>
      <c r="K49" s="23" t="str">
        <f aca="false">VLOOKUP(A49,'Inventory Management'!$A$5:$Q$104,16,FALSE())</f>
        <v>Low Stock</v>
      </c>
    </row>
    <row r="50" customFormat="false" ht="15" hidden="false" customHeight="false" outlineLevel="0" collapsed="false">
      <c r="A50" s="26" t="s">
        <v>221</v>
      </c>
      <c r="B50" s="27" t="str">
        <f aca="false">VLOOKUP(A50,'Product Master'!$A$5:$K$104,2,FALSE())</f>
        <v>Premium Office Item 027</v>
      </c>
      <c r="C50" s="28" t="n">
        <f aca="false">SUMIF('Order Tracking'!$G$5:$G$604,A50,'Order Tracking'!$J$5:$J$604)</f>
        <v>75</v>
      </c>
      <c r="D50" s="29" t="n">
        <f aca="false">SUMIF('Order Tracking'!$G$5:$G$604,A50,'Order Tracking'!$L$5:$L$604)</f>
        <v>627010.5</v>
      </c>
      <c r="E50" s="27" t="str">
        <f aca="false">VLOOKUP(A50,'Product Master'!$A$5:$K$104,3,FALSE())</f>
        <v>Office Supplies</v>
      </c>
      <c r="F50" s="29" t="n">
        <f aca="false">VLOOKUP(A50,'Product Master'!$A$5:$K$104,5,FALSE())</f>
        <v>5683.1</v>
      </c>
      <c r="G50" s="29" t="n">
        <f aca="false">VLOOKUP(A50,'Product Master'!$A$5:$K$104,6,FALSE())</f>
        <v>8360.14</v>
      </c>
      <c r="H50" s="29" t="n">
        <f aca="false">G50-F50</f>
        <v>2677.04</v>
      </c>
      <c r="I50" s="29" t="n">
        <f aca="false">C50*H50</f>
        <v>200778</v>
      </c>
      <c r="J50" s="31" t="n">
        <f aca="false">IFERROR(H50/G50,0)</f>
        <v>0.320214733246094</v>
      </c>
      <c r="K50" s="32" t="str">
        <f aca="false">VLOOKUP(A50,'Inventory Management'!$A$5:$Q$104,16,FALSE())</f>
        <v>Healthy Stock</v>
      </c>
    </row>
    <row r="51" customFormat="false" ht="15" hidden="false" customHeight="false" outlineLevel="0" collapsed="false">
      <c r="A51" s="18" t="s">
        <v>222</v>
      </c>
      <c r="B51" s="20" t="str">
        <f aca="false">VLOOKUP(A51,'Product Master'!$A$5:$K$104,2,FALSE())</f>
        <v>Pro Personal Item 028</v>
      </c>
      <c r="C51" s="17" t="n">
        <f aca="false">SUMIF('Order Tracking'!$G$5:$G$604,A51,'Order Tracking'!$J$5:$J$604)</f>
        <v>26</v>
      </c>
      <c r="D51" s="16" t="n">
        <f aca="false">SUMIF('Order Tracking'!$G$5:$G$604,A51,'Order Tracking'!$L$5:$L$604)</f>
        <v>55411.46</v>
      </c>
      <c r="E51" s="20" t="str">
        <f aca="false">VLOOKUP(A51,'Product Master'!$A$5:$K$104,3,FALSE())</f>
        <v>Personal Care</v>
      </c>
      <c r="F51" s="16" t="n">
        <f aca="false">VLOOKUP(A51,'Product Master'!$A$5:$K$104,5,FALSE())</f>
        <v>1788.71</v>
      </c>
      <c r="G51" s="16" t="n">
        <f aca="false">VLOOKUP(A51,'Product Master'!$A$5:$K$104,6,FALSE())</f>
        <v>2131.21</v>
      </c>
      <c r="H51" s="16" t="n">
        <f aca="false">G51-F51</f>
        <v>342.5</v>
      </c>
      <c r="I51" s="16" t="n">
        <f aca="false">C51*H51</f>
        <v>8905</v>
      </c>
      <c r="J51" s="19" t="n">
        <f aca="false">IFERROR(H51/G51,0)</f>
        <v>0.160706828515257</v>
      </c>
      <c r="K51" s="23" t="str">
        <f aca="false">VLOOKUP(A51,'Inventory Management'!$A$5:$Q$104,16,FALSE())</f>
        <v>Healthy Stock</v>
      </c>
    </row>
    <row r="52" customFormat="false" ht="15" hidden="false" customHeight="false" outlineLevel="0" collapsed="false">
      <c r="A52" s="26" t="s">
        <v>223</v>
      </c>
      <c r="B52" s="27" t="str">
        <f aca="false">VLOOKUP(A52,'Product Master'!$A$5:$K$104,2,FALSE())</f>
        <v>Eco Industrial Item 029</v>
      </c>
      <c r="C52" s="28" t="n">
        <f aca="false">SUMIF('Order Tracking'!$G$5:$G$604,A52,'Order Tracking'!$J$5:$J$604)</f>
        <v>63</v>
      </c>
      <c r="D52" s="29" t="n">
        <f aca="false">SUMIF('Order Tracking'!$G$5:$G$604,A52,'Order Tracking'!$L$5:$L$604)</f>
        <v>689580.36</v>
      </c>
      <c r="E52" s="27" t="str">
        <f aca="false">VLOOKUP(A52,'Product Master'!$A$5:$K$104,3,FALSE())</f>
        <v>Industrial</v>
      </c>
      <c r="F52" s="29" t="n">
        <f aca="false">VLOOKUP(A52,'Product Master'!$A$5:$K$104,5,FALSE())</f>
        <v>7545.83</v>
      </c>
      <c r="G52" s="29" t="n">
        <f aca="false">VLOOKUP(A52,'Product Master'!$A$5:$K$104,6,FALSE())</f>
        <v>10945.72</v>
      </c>
      <c r="H52" s="29" t="n">
        <f aca="false">G52-F52</f>
        <v>3399.89</v>
      </c>
      <c r="I52" s="29" t="n">
        <f aca="false">C52*H52</f>
        <v>214193.07</v>
      </c>
      <c r="J52" s="31" t="n">
        <f aca="false">IFERROR(H52/G52,0)</f>
        <v>0.310613646247118</v>
      </c>
      <c r="K52" s="32" t="str">
        <f aca="false">VLOOKUP(A52,'Inventory Management'!$A$5:$Q$104,16,FALSE())</f>
        <v>Overstocked</v>
      </c>
    </row>
    <row r="53" customFormat="false" ht="15" hidden="false" customHeight="false" outlineLevel="0" collapsed="false">
      <c r="A53" s="18" t="s">
        <v>224</v>
      </c>
      <c r="B53" s="20" t="str">
        <f aca="false">VLOOKUP(A53,'Product Master'!$A$5:$K$104,2,FALSE())</f>
        <v>Premium Packaging Item 030</v>
      </c>
      <c r="C53" s="17" t="n">
        <f aca="false">SUMIF('Order Tracking'!$G$5:$G$604,A53,'Order Tracking'!$J$5:$J$604)</f>
        <v>60</v>
      </c>
      <c r="D53" s="16" t="n">
        <f aca="false">SUMIF('Order Tracking'!$G$5:$G$604,A53,'Order Tracking'!$L$5:$L$604)</f>
        <v>398616.6</v>
      </c>
      <c r="E53" s="20" t="str">
        <f aca="false">VLOOKUP(A53,'Product Master'!$A$5:$K$104,3,FALSE())</f>
        <v>Packaging</v>
      </c>
      <c r="F53" s="16" t="n">
        <f aca="false">VLOOKUP(A53,'Product Master'!$A$5:$K$104,5,FALSE())</f>
        <v>5617.77</v>
      </c>
      <c r="G53" s="16" t="n">
        <f aca="false">VLOOKUP(A53,'Product Master'!$A$5:$K$104,6,FALSE())</f>
        <v>6643.61</v>
      </c>
      <c r="H53" s="16" t="n">
        <f aca="false">G53-F53</f>
        <v>1025.84</v>
      </c>
      <c r="I53" s="16" t="n">
        <f aca="false">C53*H53</f>
        <v>61550.4</v>
      </c>
      <c r="J53" s="19" t="n">
        <f aca="false">IFERROR(H53/G53,0)</f>
        <v>0.154410027078651</v>
      </c>
      <c r="K53" s="23" t="str">
        <f aca="false">VLOOKUP(A53,'Inventory Management'!$A$5:$Q$104,16,FALSE())</f>
        <v>Healthy Stock</v>
      </c>
    </row>
    <row r="54" customFormat="false" ht="15" hidden="false" customHeight="false" outlineLevel="0" collapsed="false">
      <c r="A54" s="26" t="s">
        <v>225</v>
      </c>
      <c r="B54" s="27" t="str">
        <f aca="false">VLOOKUP(A54,'Product Master'!$A$5:$K$104,2,FALSE())</f>
        <v>Essential Apparel Item 031</v>
      </c>
      <c r="C54" s="28" t="n">
        <f aca="false">SUMIF('Order Tracking'!$G$5:$G$604,A54,'Order Tracking'!$J$5:$J$604)</f>
        <v>117</v>
      </c>
      <c r="D54" s="29" t="n">
        <f aca="false">SUMIF('Order Tracking'!$G$5:$G$604,A54,'Order Tracking'!$L$5:$L$604)</f>
        <v>1356948.45</v>
      </c>
      <c r="E54" s="27" t="str">
        <f aca="false">VLOOKUP(A54,'Product Master'!$A$5:$K$104,3,FALSE())</f>
        <v>Apparel</v>
      </c>
      <c r="F54" s="29" t="n">
        <f aca="false">VLOOKUP(A54,'Product Master'!$A$5:$K$104,5,FALSE())</f>
        <v>8147.76</v>
      </c>
      <c r="G54" s="29" t="n">
        <f aca="false">VLOOKUP(A54,'Product Master'!$A$5:$K$104,6,FALSE())</f>
        <v>11597.85</v>
      </c>
      <c r="H54" s="29" t="n">
        <f aca="false">G54-F54</f>
        <v>3450.09</v>
      </c>
      <c r="I54" s="29" t="n">
        <f aca="false">C54*H54</f>
        <v>403660.53</v>
      </c>
      <c r="J54" s="31" t="n">
        <f aca="false">IFERROR(H54/G54,0)</f>
        <v>0.297476687489492</v>
      </c>
      <c r="K54" s="32" t="str">
        <f aca="false">VLOOKUP(A54,'Inventory Management'!$A$5:$Q$104,16,FALSE())</f>
        <v>Healthy Stock</v>
      </c>
    </row>
    <row r="55" customFormat="false" ht="15" hidden="false" customHeight="false" outlineLevel="0" collapsed="false">
      <c r="A55" s="18" t="s">
        <v>226</v>
      </c>
      <c r="B55" s="20" t="str">
        <f aca="false">VLOOKUP(A55,'Product Master'!$A$5:$K$104,2,FALSE())</f>
        <v>Smart Automotive Item 032</v>
      </c>
      <c r="C55" s="17" t="n">
        <f aca="false">SUMIF('Order Tracking'!$G$5:$G$604,A55,'Order Tracking'!$J$5:$J$604)</f>
        <v>130</v>
      </c>
      <c r="D55" s="16" t="n">
        <f aca="false">SUMIF('Order Tracking'!$G$5:$G$604,A55,'Order Tracking'!$L$5:$L$604)</f>
        <v>1327450.8</v>
      </c>
      <c r="E55" s="20" t="str">
        <f aca="false">VLOOKUP(A55,'Product Master'!$A$5:$K$104,3,FALSE())</f>
        <v>Automotive</v>
      </c>
      <c r="F55" s="16" t="n">
        <f aca="false">VLOOKUP(A55,'Product Master'!$A$5:$K$104,5,FALSE())</f>
        <v>6835.87</v>
      </c>
      <c r="G55" s="16" t="n">
        <f aca="false">VLOOKUP(A55,'Product Master'!$A$5:$K$104,6,FALSE())</f>
        <v>10211.16</v>
      </c>
      <c r="H55" s="16" t="n">
        <f aca="false">G55-F55</f>
        <v>3375.29</v>
      </c>
      <c r="I55" s="16" t="n">
        <f aca="false">C55*H55</f>
        <v>438787.7</v>
      </c>
      <c r="J55" s="19" t="n">
        <f aca="false">IFERROR(H55/G55,0)</f>
        <v>0.33054912468319</v>
      </c>
      <c r="K55" s="23" t="str">
        <f aca="false">VLOOKUP(A55,'Inventory Management'!$A$5:$Q$104,16,FALSE())</f>
        <v>Overstocked</v>
      </c>
    </row>
    <row r="56" customFormat="false" ht="15" hidden="false" customHeight="false" outlineLevel="0" collapsed="false">
      <c r="A56" s="26" t="s">
        <v>227</v>
      </c>
      <c r="B56" s="27" t="str">
        <f aca="false">VLOOKUP(A56,'Product Master'!$A$5:$K$104,2,FALSE())</f>
        <v>Compact Electronics Item 033</v>
      </c>
      <c r="C56" s="28" t="n">
        <f aca="false">SUMIF('Order Tracking'!$G$5:$G$604,A56,'Order Tracking'!$J$5:$J$604)</f>
        <v>68</v>
      </c>
      <c r="D56" s="29" t="n">
        <f aca="false">SUMIF('Order Tracking'!$G$5:$G$604,A56,'Order Tracking'!$L$5:$L$604)</f>
        <v>729420.36</v>
      </c>
      <c r="E56" s="27" t="str">
        <f aca="false">VLOOKUP(A56,'Product Master'!$A$5:$K$104,3,FALSE())</f>
        <v>Electronics</v>
      </c>
      <c r="F56" s="29" t="n">
        <f aca="false">VLOOKUP(A56,'Product Master'!$A$5:$K$104,5,FALSE())</f>
        <v>7719.44</v>
      </c>
      <c r="G56" s="29" t="n">
        <f aca="false">VLOOKUP(A56,'Product Master'!$A$5:$K$104,6,FALSE())</f>
        <v>10726.77</v>
      </c>
      <c r="H56" s="29" t="n">
        <f aca="false">G56-F56</f>
        <v>3007.33</v>
      </c>
      <c r="I56" s="29" t="n">
        <f aca="false">C56*H56</f>
        <v>204498.44</v>
      </c>
      <c r="J56" s="31" t="n">
        <f aca="false">IFERROR(H56/G56,0)</f>
        <v>0.280357460819986</v>
      </c>
      <c r="K56" s="32" t="str">
        <f aca="false">VLOOKUP(A56,'Inventory Management'!$A$5:$Q$104,16,FALSE())</f>
        <v>Out of Stock</v>
      </c>
    </row>
    <row r="57" customFormat="false" ht="15" hidden="false" customHeight="false" outlineLevel="0" collapsed="false">
      <c r="A57" s="18" t="s">
        <v>228</v>
      </c>
      <c r="B57" s="20" t="str">
        <f aca="false">VLOOKUP(A57,'Product Master'!$A$5:$K$104,2,FALSE())</f>
        <v>Classic Home Item 034</v>
      </c>
      <c r="C57" s="17" t="n">
        <f aca="false">SUMIF('Order Tracking'!$G$5:$G$604,A57,'Order Tracking'!$J$5:$J$604)</f>
        <v>95</v>
      </c>
      <c r="D57" s="16" t="n">
        <f aca="false">SUMIF('Order Tracking'!$G$5:$G$604,A57,'Order Tracking'!$L$5:$L$604)</f>
        <v>308114.45</v>
      </c>
      <c r="E57" s="20" t="str">
        <f aca="false">VLOOKUP(A57,'Product Master'!$A$5:$K$104,3,FALSE())</f>
        <v>Home &amp; Kitchen</v>
      </c>
      <c r="F57" s="16" t="n">
        <f aca="false">VLOOKUP(A57,'Product Master'!$A$5:$K$104,5,FALSE())</f>
        <v>2191.87</v>
      </c>
      <c r="G57" s="16" t="n">
        <f aca="false">VLOOKUP(A57,'Product Master'!$A$5:$K$104,6,FALSE())</f>
        <v>3243.31</v>
      </c>
      <c r="H57" s="16" t="n">
        <f aca="false">G57-F57</f>
        <v>1051.44</v>
      </c>
      <c r="I57" s="16" t="n">
        <f aca="false">C57*H57</f>
        <v>99886.8</v>
      </c>
      <c r="J57" s="19" t="n">
        <f aca="false">IFERROR(H57/G57,0)</f>
        <v>0.324187327144183</v>
      </c>
      <c r="K57" s="23" t="str">
        <f aca="false">VLOOKUP(A57,'Inventory Management'!$A$5:$Q$104,16,FALSE())</f>
        <v>Low Stock</v>
      </c>
    </row>
    <row r="58" customFormat="false" ht="15" hidden="false" customHeight="false" outlineLevel="0" collapsed="false">
      <c r="A58" s="26" t="s">
        <v>229</v>
      </c>
      <c r="B58" s="27" t="str">
        <f aca="false">VLOOKUP(A58,'Product Master'!$A$5:$K$104,2,FALSE())</f>
        <v>Smart Office Item 035</v>
      </c>
      <c r="C58" s="28" t="n">
        <f aca="false">SUMIF('Order Tracking'!$G$5:$G$604,A58,'Order Tracking'!$J$5:$J$604)</f>
        <v>62</v>
      </c>
      <c r="D58" s="29" t="n">
        <f aca="false">SUMIF('Order Tracking'!$G$5:$G$604,A58,'Order Tracking'!$L$5:$L$604)</f>
        <v>487918.92</v>
      </c>
      <c r="E58" s="27" t="str">
        <f aca="false">VLOOKUP(A58,'Product Master'!$A$5:$K$104,3,FALSE())</f>
        <v>Office Supplies</v>
      </c>
      <c r="F58" s="29" t="n">
        <f aca="false">VLOOKUP(A58,'Product Master'!$A$5:$K$104,5,FALSE())</f>
        <v>6099.51</v>
      </c>
      <c r="G58" s="29" t="n">
        <f aca="false">VLOOKUP(A58,'Product Master'!$A$5:$K$104,6,FALSE())</f>
        <v>7869.66</v>
      </c>
      <c r="H58" s="29" t="n">
        <f aca="false">G58-F58</f>
        <v>1770.15</v>
      </c>
      <c r="I58" s="29" t="n">
        <f aca="false">C58*H58</f>
        <v>109749.3</v>
      </c>
      <c r="J58" s="31" t="n">
        <f aca="false">IFERROR(H58/G58,0)</f>
        <v>0.224933478701748</v>
      </c>
      <c r="K58" s="32" t="str">
        <f aca="false">VLOOKUP(A58,'Inventory Management'!$A$5:$Q$104,16,FALSE())</f>
        <v>Overstocked</v>
      </c>
    </row>
    <row r="59" customFormat="false" ht="15" hidden="false" customHeight="false" outlineLevel="0" collapsed="false">
      <c r="A59" s="18" t="s">
        <v>230</v>
      </c>
      <c r="B59" s="20" t="str">
        <f aca="false">VLOOKUP(A59,'Product Master'!$A$5:$K$104,2,FALSE())</f>
        <v>Pro Personal Item 036</v>
      </c>
      <c r="C59" s="17" t="n">
        <f aca="false">SUMIF('Order Tracking'!$G$5:$G$604,A59,'Order Tracking'!$J$5:$J$604)</f>
        <v>65</v>
      </c>
      <c r="D59" s="16" t="n">
        <f aca="false">SUMIF('Order Tracking'!$G$5:$G$604,A59,'Order Tracking'!$L$5:$L$604)</f>
        <v>201475.3</v>
      </c>
      <c r="E59" s="20" t="str">
        <f aca="false">VLOOKUP(A59,'Product Master'!$A$5:$K$104,3,FALSE())</f>
        <v>Personal Care</v>
      </c>
      <c r="F59" s="16" t="n">
        <f aca="false">VLOOKUP(A59,'Product Master'!$A$5:$K$104,5,FALSE())</f>
        <v>2057.97</v>
      </c>
      <c r="G59" s="16" t="n">
        <f aca="false">VLOOKUP(A59,'Product Master'!$A$5:$K$104,6,FALSE())</f>
        <v>3099.62</v>
      </c>
      <c r="H59" s="16" t="n">
        <f aca="false">G59-F59</f>
        <v>1041.65</v>
      </c>
      <c r="I59" s="16" t="n">
        <f aca="false">C59*H59</f>
        <v>67707.25</v>
      </c>
      <c r="J59" s="19" t="n">
        <f aca="false">IFERROR(H59/G59,0)</f>
        <v>0.336057323155742</v>
      </c>
      <c r="K59" s="23" t="str">
        <f aca="false">VLOOKUP(A59,'Inventory Management'!$A$5:$Q$104,16,FALSE())</f>
        <v>Healthy Stock</v>
      </c>
    </row>
    <row r="60" customFormat="false" ht="15" hidden="false" customHeight="false" outlineLevel="0" collapsed="false">
      <c r="A60" s="26" t="s">
        <v>231</v>
      </c>
      <c r="B60" s="27" t="str">
        <f aca="false">VLOOKUP(A60,'Product Master'!$A$5:$K$104,2,FALSE())</f>
        <v>Pro Industrial Item 037</v>
      </c>
      <c r="C60" s="28" t="n">
        <f aca="false">SUMIF('Order Tracking'!$G$5:$G$604,A60,'Order Tracking'!$J$5:$J$604)</f>
        <v>143</v>
      </c>
      <c r="D60" s="29" t="n">
        <f aca="false">SUMIF('Order Tracking'!$G$5:$G$604,A60,'Order Tracking'!$L$5:$L$604)</f>
        <v>917941.31</v>
      </c>
      <c r="E60" s="27" t="str">
        <f aca="false">VLOOKUP(A60,'Product Master'!$A$5:$K$104,3,FALSE())</f>
        <v>Industrial</v>
      </c>
      <c r="F60" s="29" t="n">
        <f aca="false">VLOOKUP(A60,'Product Master'!$A$5:$K$104,5,FALSE())</f>
        <v>4667.08</v>
      </c>
      <c r="G60" s="29" t="n">
        <f aca="false">VLOOKUP(A60,'Product Master'!$A$5:$K$104,6,FALSE())</f>
        <v>6419.17</v>
      </c>
      <c r="H60" s="29" t="n">
        <f aca="false">G60-F60</f>
        <v>1752.09</v>
      </c>
      <c r="I60" s="29" t="n">
        <f aca="false">C60*H60</f>
        <v>250548.87</v>
      </c>
      <c r="J60" s="31" t="n">
        <f aca="false">IFERROR(H60/G60,0)</f>
        <v>0.272946502429442</v>
      </c>
      <c r="K60" s="32" t="str">
        <f aca="false">VLOOKUP(A60,'Inventory Management'!$A$5:$Q$104,16,FALSE())</f>
        <v>Healthy Stock</v>
      </c>
    </row>
    <row r="61" customFormat="false" ht="15" hidden="false" customHeight="false" outlineLevel="0" collapsed="false">
      <c r="A61" s="18" t="s">
        <v>232</v>
      </c>
      <c r="B61" s="20" t="str">
        <f aca="false">VLOOKUP(A61,'Product Master'!$A$5:$K$104,2,FALSE())</f>
        <v>Eco Packaging Item 038</v>
      </c>
      <c r="C61" s="17" t="n">
        <f aca="false">SUMIF('Order Tracking'!$G$5:$G$604,A61,'Order Tracking'!$J$5:$J$604)</f>
        <v>68</v>
      </c>
      <c r="D61" s="16" t="n">
        <f aca="false">SUMIF('Order Tracking'!$G$5:$G$604,A61,'Order Tracking'!$L$5:$L$604)</f>
        <v>513839.28</v>
      </c>
      <c r="E61" s="20" t="str">
        <f aca="false">VLOOKUP(A61,'Product Master'!$A$5:$K$104,3,FALSE())</f>
        <v>Packaging</v>
      </c>
      <c r="F61" s="16" t="n">
        <f aca="false">VLOOKUP(A61,'Product Master'!$A$5:$K$104,5,FALSE())</f>
        <v>5014.59</v>
      </c>
      <c r="G61" s="16" t="n">
        <f aca="false">VLOOKUP(A61,'Product Master'!$A$5:$K$104,6,FALSE())</f>
        <v>7556.46</v>
      </c>
      <c r="H61" s="16" t="n">
        <f aca="false">G61-F61</f>
        <v>2541.87</v>
      </c>
      <c r="I61" s="16" t="n">
        <f aca="false">C61*H61</f>
        <v>172847.16</v>
      </c>
      <c r="J61" s="19" t="n">
        <f aca="false">IFERROR(H61/G61,0)</f>
        <v>0.336383703480201</v>
      </c>
      <c r="K61" s="23" t="str">
        <f aca="false">VLOOKUP(A61,'Inventory Management'!$A$5:$Q$104,16,FALSE())</f>
        <v>Overstocked</v>
      </c>
    </row>
    <row r="62" customFormat="false" ht="15" hidden="false" customHeight="false" outlineLevel="0" collapsed="false">
      <c r="A62" s="26" t="s">
        <v>233</v>
      </c>
      <c r="B62" s="27" t="str">
        <f aca="false">VLOOKUP(A62,'Product Master'!$A$5:$K$104,2,FALSE())</f>
        <v>Eco Apparel Item 039</v>
      </c>
      <c r="C62" s="28" t="n">
        <f aca="false">SUMIF('Order Tracking'!$G$5:$G$604,A62,'Order Tracking'!$J$5:$J$604)</f>
        <v>56</v>
      </c>
      <c r="D62" s="29" t="n">
        <f aca="false">SUMIF('Order Tracking'!$G$5:$G$604,A62,'Order Tracking'!$L$5:$L$604)</f>
        <v>200203.36</v>
      </c>
      <c r="E62" s="27" t="str">
        <f aca="false">VLOOKUP(A62,'Product Master'!$A$5:$K$104,3,FALSE())</f>
        <v>Apparel</v>
      </c>
      <c r="F62" s="29" t="n">
        <f aca="false">VLOOKUP(A62,'Product Master'!$A$5:$K$104,5,FALSE())</f>
        <v>2622.37</v>
      </c>
      <c r="G62" s="29" t="n">
        <f aca="false">VLOOKUP(A62,'Product Master'!$A$5:$K$104,6,FALSE())</f>
        <v>3575.06</v>
      </c>
      <c r="H62" s="29" t="n">
        <f aca="false">G62-F62</f>
        <v>952.69</v>
      </c>
      <c r="I62" s="29" t="n">
        <f aca="false">C62*H62</f>
        <v>53350.64</v>
      </c>
      <c r="J62" s="31" t="n">
        <f aca="false">IFERROR(H62/G62,0)</f>
        <v>0.266482240857496</v>
      </c>
      <c r="K62" s="32" t="str">
        <f aca="false">VLOOKUP(A62,'Inventory Management'!$A$5:$Q$104,16,FALSE())</f>
        <v>Healthy Stock</v>
      </c>
    </row>
    <row r="63" customFormat="false" ht="15" hidden="false" customHeight="false" outlineLevel="0" collapsed="false">
      <c r="A63" s="18" t="s">
        <v>234</v>
      </c>
      <c r="B63" s="20" t="str">
        <f aca="false">VLOOKUP(A63,'Product Master'!$A$5:$K$104,2,FALSE())</f>
        <v>Smart Automotive Item 040</v>
      </c>
      <c r="C63" s="17" t="n">
        <f aca="false">SUMIF('Order Tracking'!$G$5:$G$604,A63,'Order Tracking'!$J$5:$J$604)</f>
        <v>92</v>
      </c>
      <c r="D63" s="16" t="n">
        <f aca="false">SUMIF('Order Tracking'!$G$5:$G$604,A63,'Order Tracking'!$L$5:$L$604)</f>
        <v>414256.68</v>
      </c>
      <c r="E63" s="20" t="str">
        <f aca="false">VLOOKUP(A63,'Product Master'!$A$5:$K$104,3,FALSE())</f>
        <v>Automotive</v>
      </c>
      <c r="F63" s="16" t="n">
        <f aca="false">VLOOKUP(A63,'Product Master'!$A$5:$K$104,5,FALSE())</f>
        <v>3772.31</v>
      </c>
      <c r="G63" s="16" t="n">
        <f aca="false">VLOOKUP(A63,'Product Master'!$A$5:$K$104,6,FALSE())</f>
        <v>4502.79</v>
      </c>
      <c r="H63" s="16" t="n">
        <f aca="false">G63-F63</f>
        <v>730.48</v>
      </c>
      <c r="I63" s="16" t="n">
        <f aca="false">C63*H63</f>
        <v>67204.16</v>
      </c>
      <c r="J63" s="19" t="n">
        <f aca="false">IFERROR(H63/G63,0)</f>
        <v>0.162228307338339</v>
      </c>
      <c r="K63" s="23" t="str">
        <f aca="false">VLOOKUP(A63,'Inventory Management'!$A$5:$Q$104,16,FALSE())</f>
        <v>Healthy Stock</v>
      </c>
    </row>
    <row r="64" customFormat="false" ht="15" hidden="false" customHeight="false" outlineLevel="0" collapsed="false">
      <c r="A64" s="26" t="s">
        <v>235</v>
      </c>
      <c r="B64" s="27" t="str">
        <f aca="false">VLOOKUP(A64,'Product Master'!$A$5:$K$104,2,FALSE())</f>
        <v>Essential Electronics Item 041</v>
      </c>
      <c r="C64" s="28" t="n">
        <f aca="false">SUMIF('Order Tracking'!$G$5:$G$604,A64,'Order Tracking'!$J$5:$J$604)</f>
        <v>47</v>
      </c>
      <c r="D64" s="29" t="n">
        <f aca="false">SUMIF('Order Tracking'!$G$5:$G$604,A64,'Order Tracking'!$L$5:$L$604)</f>
        <v>603555.2</v>
      </c>
      <c r="E64" s="27" t="str">
        <f aca="false">VLOOKUP(A64,'Product Master'!$A$5:$K$104,3,FALSE())</f>
        <v>Electronics</v>
      </c>
      <c r="F64" s="29" t="n">
        <f aca="false">VLOOKUP(A64,'Product Master'!$A$5:$K$104,5,FALSE())</f>
        <v>7825.76</v>
      </c>
      <c r="G64" s="29" t="n">
        <f aca="false">VLOOKUP(A64,'Product Master'!$A$5:$K$104,6,FALSE())</f>
        <v>12841.6</v>
      </c>
      <c r="H64" s="29" t="n">
        <f aca="false">G64-F64</f>
        <v>5015.84</v>
      </c>
      <c r="I64" s="29" t="n">
        <f aca="false">C64*H64</f>
        <v>235744.48</v>
      </c>
      <c r="J64" s="31" t="n">
        <f aca="false">IFERROR(H64/G64,0)</f>
        <v>0.390593072514328</v>
      </c>
      <c r="K64" s="32" t="str">
        <f aca="false">VLOOKUP(A64,'Inventory Management'!$A$5:$Q$104,16,FALSE())</f>
        <v>Out of Stock</v>
      </c>
    </row>
    <row r="65" customFormat="false" ht="15" hidden="false" customHeight="false" outlineLevel="0" collapsed="false">
      <c r="A65" s="18" t="s">
        <v>236</v>
      </c>
      <c r="B65" s="20" t="str">
        <f aca="false">VLOOKUP(A65,'Product Master'!$A$5:$K$104,2,FALSE())</f>
        <v>Compact Home Item 042</v>
      </c>
      <c r="C65" s="17" t="n">
        <f aca="false">SUMIF('Order Tracking'!$G$5:$G$604,A65,'Order Tracking'!$J$5:$J$604)</f>
        <v>69</v>
      </c>
      <c r="D65" s="16" t="n">
        <f aca="false">SUMIF('Order Tracking'!$G$5:$G$604,A65,'Order Tracking'!$L$5:$L$604)</f>
        <v>406558.35</v>
      </c>
      <c r="E65" s="20" t="str">
        <f aca="false">VLOOKUP(A65,'Product Master'!$A$5:$K$104,3,FALSE())</f>
        <v>Home &amp; Kitchen</v>
      </c>
      <c r="F65" s="16" t="n">
        <f aca="false">VLOOKUP(A65,'Product Master'!$A$5:$K$104,5,FALSE())</f>
        <v>3711.78</v>
      </c>
      <c r="G65" s="16" t="n">
        <f aca="false">VLOOKUP(A65,'Product Master'!$A$5:$K$104,6,FALSE())</f>
        <v>5892.15</v>
      </c>
      <c r="H65" s="16" t="n">
        <f aca="false">G65-F65</f>
        <v>2180.37</v>
      </c>
      <c r="I65" s="16" t="n">
        <f aca="false">C65*H65</f>
        <v>150445.53</v>
      </c>
      <c r="J65" s="19" t="n">
        <f aca="false">IFERROR(H65/G65,0)</f>
        <v>0.370046587408671</v>
      </c>
      <c r="K65" s="23" t="str">
        <f aca="false">VLOOKUP(A65,'Inventory Management'!$A$5:$Q$104,16,FALSE())</f>
        <v>Low Stock</v>
      </c>
    </row>
    <row r="66" customFormat="false" ht="15" hidden="false" customHeight="false" outlineLevel="0" collapsed="false">
      <c r="A66" s="26" t="s">
        <v>237</v>
      </c>
      <c r="B66" s="27" t="str">
        <f aca="false">VLOOKUP(A66,'Product Master'!$A$5:$K$104,2,FALSE())</f>
        <v>Eco Office Item 043</v>
      </c>
      <c r="C66" s="28" t="n">
        <f aca="false">SUMIF('Order Tracking'!$G$5:$G$604,A66,'Order Tracking'!$J$5:$J$604)</f>
        <v>133</v>
      </c>
      <c r="D66" s="29" t="n">
        <f aca="false">SUMIF('Order Tracking'!$G$5:$G$604,A66,'Order Tracking'!$L$5:$L$604)</f>
        <v>335888.84</v>
      </c>
      <c r="E66" s="27" t="str">
        <f aca="false">VLOOKUP(A66,'Product Master'!$A$5:$K$104,3,FALSE())</f>
        <v>Office Supplies</v>
      </c>
      <c r="F66" s="29" t="n">
        <f aca="false">VLOOKUP(A66,'Product Master'!$A$5:$K$104,5,FALSE())</f>
        <v>1893.71</v>
      </c>
      <c r="G66" s="29" t="n">
        <f aca="false">VLOOKUP(A66,'Product Master'!$A$5:$K$104,6,FALSE())</f>
        <v>2525.48</v>
      </c>
      <c r="H66" s="29" t="n">
        <f aca="false">G66-F66</f>
        <v>631.77</v>
      </c>
      <c r="I66" s="29" t="n">
        <f aca="false">C66*H66</f>
        <v>84025.41</v>
      </c>
      <c r="J66" s="31" t="n">
        <f aca="false">IFERROR(H66/G66,0)</f>
        <v>0.250158385732613</v>
      </c>
      <c r="K66" s="32" t="str">
        <f aca="false">VLOOKUP(A66,'Inventory Management'!$A$5:$Q$104,16,FALSE())</f>
        <v>Healthy Stock</v>
      </c>
    </row>
    <row r="67" customFormat="false" ht="15" hidden="false" customHeight="false" outlineLevel="0" collapsed="false">
      <c r="A67" s="18" t="s">
        <v>238</v>
      </c>
      <c r="B67" s="20" t="str">
        <f aca="false">VLOOKUP(A67,'Product Master'!$A$5:$K$104,2,FALSE())</f>
        <v>Essential Personal Item 044</v>
      </c>
      <c r="C67" s="17" t="n">
        <f aca="false">SUMIF('Order Tracking'!$G$5:$G$604,A67,'Order Tracking'!$J$5:$J$604)</f>
        <v>91</v>
      </c>
      <c r="D67" s="16" t="n">
        <f aca="false">SUMIF('Order Tracking'!$G$5:$G$604,A67,'Order Tracking'!$L$5:$L$604)</f>
        <v>87256.26</v>
      </c>
      <c r="E67" s="20" t="str">
        <f aca="false">VLOOKUP(A67,'Product Master'!$A$5:$K$104,3,FALSE())</f>
        <v>Personal Care</v>
      </c>
      <c r="F67" s="16" t="n">
        <f aca="false">VLOOKUP(A67,'Product Master'!$A$5:$K$104,5,FALSE())</f>
        <v>806.37</v>
      </c>
      <c r="G67" s="16" t="n">
        <f aca="false">VLOOKUP(A67,'Product Master'!$A$5:$K$104,6,FALSE())</f>
        <v>958.86</v>
      </c>
      <c r="H67" s="16" t="n">
        <f aca="false">G67-F67</f>
        <v>152.49</v>
      </c>
      <c r="I67" s="16" t="n">
        <f aca="false">C67*H67</f>
        <v>13876.59</v>
      </c>
      <c r="J67" s="19" t="n">
        <f aca="false">IFERROR(H67/G67,0)</f>
        <v>0.159032601213942</v>
      </c>
      <c r="K67" s="23" t="str">
        <f aca="false">VLOOKUP(A67,'Inventory Management'!$A$5:$Q$104,16,FALSE())</f>
        <v>Overstocked</v>
      </c>
    </row>
    <row r="68" customFormat="false" ht="15" hidden="false" customHeight="false" outlineLevel="0" collapsed="false">
      <c r="A68" s="26" t="s">
        <v>239</v>
      </c>
      <c r="B68" s="27" t="str">
        <f aca="false">VLOOKUP(A68,'Product Master'!$A$5:$K$104,2,FALSE())</f>
        <v>Essential Industrial Item 045</v>
      </c>
      <c r="C68" s="28" t="n">
        <f aca="false">SUMIF('Order Tracking'!$G$5:$G$604,A68,'Order Tracking'!$J$5:$J$604)</f>
        <v>143</v>
      </c>
      <c r="D68" s="29" t="n">
        <f aca="false">SUMIF('Order Tracking'!$G$5:$G$604,A68,'Order Tracking'!$L$5:$L$604)</f>
        <v>1416976.99</v>
      </c>
      <c r="E68" s="27" t="str">
        <f aca="false">VLOOKUP(A68,'Product Master'!$A$5:$K$104,3,FALSE())</f>
        <v>Industrial</v>
      </c>
      <c r="F68" s="29" t="n">
        <f aca="false">VLOOKUP(A68,'Product Master'!$A$5:$K$104,5,FALSE())</f>
        <v>6666.73</v>
      </c>
      <c r="G68" s="29" t="n">
        <f aca="false">VLOOKUP(A68,'Product Master'!$A$5:$K$104,6,FALSE())</f>
        <v>9908.93</v>
      </c>
      <c r="H68" s="29" t="n">
        <f aca="false">G68-F68</f>
        <v>3242.2</v>
      </c>
      <c r="I68" s="29" t="n">
        <f aca="false">C68*H68</f>
        <v>463634.6</v>
      </c>
      <c r="J68" s="31" t="n">
        <f aca="false">IFERROR(H68/G68,0)</f>
        <v>0.327199808657443</v>
      </c>
      <c r="K68" s="32" t="str">
        <f aca="false">VLOOKUP(A68,'Inventory Management'!$A$5:$Q$104,16,FALSE())</f>
        <v>Healthy Stock</v>
      </c>
    </row>
    <row r="69" customFormat="false" ht="15" hidden="false" customHeight="false" outlineLevel="0" collapsed="false">
      <c r="A69" s="18" t="s">
        <v>240</v>
      </c>
      <c r="B69" s="20" t="str">
        <f aca="false">VLOOKUP(A69,'Product Master'!$A$5:$K$104,2,FALSE())</f>
        <v>Classic Packaging Item 046</v>
      </c>
      <c r="C69" s="17" t="n">
        <f aca="false">SUMIF('Order Tracking'!$G$5:$G$604,A69,'Order Tracking'!$J$5:$J$604)</f>
        <v>76</v>
      </c>
      <c r="D69" s="16" t="n">
        <f aca="false">SUMIF('Order Tracking'!$G$5:$G$604,A69,'Order Tracking'!$L$5:$L$604)</f>
        <v>523095.08</v>
      </c>
      <c r="E69" s="20" t="str">
        <f aca="false">VLOOKUP(A69,'Product Master'!$A$5:$K$104,3,FALSE())</f>
        <v>Packaging</v>
      </c>
      <c r="F69" s="16" t="n">
        <f aca="false">VLOOKUP(A69,'Product Master'!$A$5:$K$104,5,FALSE())</f>
        <v>5326.79</v>
      </c>
      <c r="G69" s="16" t="n">
        <f aca="false">VLOOKUP(A69,'Product Master'!$A$5:$K$104,6,FALSE())</f>
        <v>6882.83</v>
      </c>
      <c r="H69" s="16" t="n">
        <f aca="false">G69-F69</f>
        <v>1556.04</v>
      </c>
      <c r="I69" s="16" t="n">
        <f aca="false">C69*H69</f>
        <v>118259.04</v>
      </c>
      <c r="J69" s="19" t="n">
        <f aca="false">IFERROR(H69/G69,0)</f>
        <v>0.226075611340103</v>
      </c>
      <c r="K69" s="23" t="str">
        <f aca="false">VLOOKUP(A69,'Inventory Management'!$A$5:$Q$104,16,FALSE())</f>
        <v>Healthy Stock</v>
      </c>
    </row>
    <row r="70" customFormat="false" ht="15" hidden="false" customHeight="false" outlineLevel="0" collapsed="false">
      <c r="A70" s="26" t="s">
        <v>241</v>
      </c>
      <c r="B70" s="27" t="str">
        <f aca="false">VLOOKUP(A70,'Product Master'!$A$5:$K$104,2,FALSE())</f>
        <v>Premium Apparel Item 047</v>
      </c>
      <c r="C70" s="28" t="n">
        <f aca="false">SUMIF('Order Tracking'!$G$5:$G$604,A70,'Order Tracking'!$J$5:$J$604)</f>
        <v>97</v>
      </c>
      <c r="D70" s="29" t="n">
        <f aca="false">SUMIF('Order Tracking'!$G$5:$G$604,A70,'Order Tracking'!$L$5:$L$604)</f>
        <v>297649.35</v>
      </c>
      <c r="E70" s="27" t="str">
        <f aca="false">VLOOKUP(A70,'Product Master'!$A$5:$K$104,3,FALSE())</f>
        <v>Apparel</v>
      </c>
      <c r="F70" s="29" t="n">
        <f aca="false">VLOOKUP(A70,'Product Master'!$A$5:$K$104,5,FALSE())</f>
        <v>2267.32</v>
      </c>
      <c r="G70" s="29" t="n">
        <f aca="false">VLOOKUP(A70,'Product Master'!$A$5:$K$104,6,FALSE())</f>
        <v>3068.55</v>
      </c>
      <c r="H70" s="29" t="n">
        <f aca="false">G70-F70</f>
        <v>801.23</v>
      </c>
      <c r="I70" s="29" t="n">
        <f aca="false">C70*H70</f>
        <v>77719.31</v>
      </c>
      <c r="J70" s="31" t="n">
        <f aca="false">IFERROR(H70/G70,0)</f>
        <v>0.261110296394062</v>
      </c>
      <c r="K70" s="32" t="str">
        <f aca="false">VLOOKUP(A70,'Inventory Management'!$A$5:$Q$104,16,FALSE())</f>
        <v>Healthy Stock</v>
      </c>
    </row>
    <row r="71" customFormat="false" ht="15" hidden="false" customHeight="false" outlineLevel="0" collapsed="false">
      <c r="A71" s="18" t="s">
        <v>242</v>
      </c>
      <c r="B71" s="20" t="str">
        <f aca="false">VLOOKUP(A71,'Product Master'!$A$5:$K$104,2,FALSE())</f>
        <v>Eco Automotive Item 048</v>
      </c>
      <c r="C71" s="17" t="n">
        <f aca="false">SUMIF('Order Tracking'!$G$5:$G$604,A71,'Order Tracking'!$J$5:$J$604)</f>
        <v>154</v>
      </c>
      <c r="D71" s="16" t="n">
        <f aca="false">SUMIF('Order Tracking'!$G$5:$G$604,A71,'Order Tracking'!$L$5:$L$604)</f>
        <v>68479.18</v>
      </c>
      <c r="E71" s="20" t="str">
        <f aca="false">VLOOKUP(A71,'Product Master'!$A$5:$K$104,3,FALSE())</f>
        <v>Automotive</v>
      </c>
      <c r="F71" s="16" t="n">
        <f aca="false">VLOOKUP(A71,'Product Master'!$A$5:$K$104,5,FALSE())</f>
        <v>335.19</v>
      </c>
      <c r="G71" s="16" t="n">
        <f aca="false">VLOOKUP(A71,'Product Master'!$A$5:$K$104,6,FALSE())</f>
        <v>444.67</v>
      </c>
      <c r="H71" s="16" t="n">
        <f aca="false">G71-F71</f>
        <v>109.48</v>
      </c>
      <c r="I71" s="16" t="n">
        <f aca="false">C71*H71</f>
        <v>16859.92</v>
      </c>
      <c r="J71" s="19" t="n">
        <f aca="false">IFERROR(H71/G71,0)</f>
        <v>0.24620505093665</v>
      </c>
      <c r="K71" s="23" t="str">
        <f aca="false">VLOOKUP(A71,'Inventory Management'!$A$5:$Q$104,16,FALSE())</f>
        <v>Healthy Stock</v>
      </c>
    </row>
    <row r="72" customFormat="false" ht="15" hidden="false" customHeight="false" outlineLevel="0" collapsed="false">
      <c r="A72" s="26" t="s">
        <v>243</v>
      </c>
      <c r="B72" s="27" t="str">
        <f aca="false">VLOOKUP(A72,'Product Master'!$A$5:$K$104,2,FALSE())</f>
        <v>Premium Electronics Item 049</v>
      </c>
      <c r="C72" s="28" t="n">
        <f aca="false">SUMIF('Order Tracking'!$G$5:$G$604,A72,'Order Tracking'!$J$5:$J$604)</f>
        <v>128</v>
      </c>
      <c r="D72" s="29" t="n">
        <f aca="false">SUMIF('Order Tracking'!$G$5:$G$604,A72,'Order Tracking'!$L$5:$L$604)</f>
        <v>1115159.04</v>
      </c>
      <c r="E72" s="27" t="str">
        <f aca="false">VLOOKUP(A72,'Product Master'!$A$5:$K$104,3,FALSE())</f>
        <v>Electronics</v>
      </c>
      <c r="F72" s="29" t="n">
        <f aca="false">VLOOKUP(A72,'Product Master'!$A$5:$K$104,5,FALSE())</f>
        <v>5907.35</v>
      </c>
      <c r="G72" s="29" t="n">
        <f aca="false">VLOOKUP(A72,'Product Master'!$A$5:$K$104,6,FALSE())</f>
        <v>8712.18</v>
      </c>
      <c r="H72" s="29" t="n">
        <f aca="false">G72-F72</f>
        <v>2804.83</v>
      </c>
      <c r="I72" s="29" t="n">
        <f aca="false">C72*H72</f>
        <v>359018.24</v>
      </c>
      <c r="J72" s="31" t="n">
        <f aca="false">IFERROR(H72/G72,0)</f>
        <v>0.321943531928863</v>
      </c>
      <c r="K72" s="32" t="str">
        <f aca="false">VLOOKUP(A72,'Inventory Management'!$A$5:$Q$104,16,FALSE())</f>
        <v>Out of Stock</v>
      </c>
    </row>
    <row r="73" customFormat="false" ht="15" hidden="false" customHeight="false" outlineLevel="0" collapsed="false">
      <c r="A73" s="18" t="s">
        <v>244</v>
      </c>
      <c r="B73" s="20" t="str">
        <f aca="false">VLOOKUP(A73,'Product Master'!$A$5:$K$104,2,FALSE())</f>
        <v>Eco Home Item 050</v>
      </c>
      <c r="C73" s="17" t="n">
        <f aca="false">SUMIF('Order Tracking'!$G$5:$G$604,A73,'Order Tracking'!$J$5:$J$604)</f>
        <v>54</v>
      </c>
      <c r="D73" s="16" t="n">
        <f aca="false">SUMIF('Order Tracking'!$G$5:$G$604,A73,'Order Tracking'!$L$5:$L$604)</f>
        <v>314907.48</v>
      </c>
      <c r="E73" s="20" t="str">
        <f aca="false">VLOOKUP(A73,'Product Master'!$A$5:$K$104,3,FALSE())</f>
        <v>Home &amp; Kitchen</v>
      </c>
      <c r="F73" s="16" t="n">
        <f aca="false">VLOOKUP(A73,'Product Master'!$A$5:$K$104,5,FALSE())</f>
        <v>4862.51</v>
      </c>
      <c r="G73" s="16" t="n">
        <f aca="false">VLOOKUP(A73,'Product Master'!$A$5:$K$104,6,FALSE())</f>
        <v>5831.62</v>
      </c>
      <c r="H73" s="16" t="n">
        <f aca="false">G73-F73</f>
        <v>969.11</v>
      </c>
      <c r="I73" s="16" t="n">
        <f aca="false">C73*H73</f>
        <v>52331.94</v>
      </c>
      <c r="J73" s="19" t="n">
        <f aca="false">IFERROR(H73/G73,0)</f>
        <v>0.166181952870729</v>
      </c>
      <c r="K73" s="23" t="str">
        <f aca="false">VLOOKUP(A73,'Inventory Management'!$A$5:$Q$104,16,FALSE())</f>
        <v>Low Stock</v>
      </c>
    </row>
    <row r="74" customFormat="false" ht="15" hidden="false" customHeight="false" outlineLevel="0" collapsed="false">
      <c r="A74" s="26" t="s">
        <v>245</v>
      </c>
      <c r="B74" s="27" t="str">
        <f aca="false">VLOOKUP(A74,'Product Master'!$A$5:$K$104,2,FALSE())</f>
        <v>Classic Office Item 051</v>
      </c>
      <c r="C74" s="28" t="n">
        <f aca="false">SUMIF('Order Tracking'!$G$5:$G$604,A74,'Order Tracking'!$J$5:$J$604)</f>
        <v>53</v>
      </c>
      <c r="D74" s="29" t="n">
        <f aca="false">SUMIF('Order Tracking'!$G$5:$G$604,A74,'Order Tracking'!$L$5:$L$604)</f>
        <v>249394.68</v>
      </c>
      <c r="E74" s="27" t="str">
        <f aca="false">VLOOKUP(A74,'Product Master'!$A$5:$K$104,3,FALSE())</f>
        <v>Office Supplies</v>
      </c>
      <c r="F74" s="29" t="n">
        <f aca="false">VLOOKUP(A74,'Product Master'!$A$5:$K$104,5,FALSE())</f>
        <v>2979.52</v>
      </c>
      <c r="G74" s="29" t="n">
        <f aca="false">VLOOKUP(A74,'Product Master'!$A$5:$K$104,6,FALSE())</f>
        <v>4705.56</v>
      </c>
      <c r="H74" s="29" t="n">
        <f aca="false">G74-F74</f>
        <v>1726.04</v>
      </c>
      <c r="I74" s="29" t="n">
        <f aca="false">C74*H74</f>
        <v>91480.12</v>
      </c>
      <c r="J74" s="31" t="n">
        <f aca="false">IFERROR(H74/G74,0)</f>
        <v>0.366808626390908</v>
      </c>
      <c r="K74" s="32" t="str">
        <f aca="false">VLOOKUP(A74,'Inventory Management'!$A$5:$Q$104,16,FALSE())</f>
        <v>Healthy Stock</v>
      </c>
    </row>
    <row r="75" customFormat="false" ht="15" hidden="false" customHeight="false" outlineLevel="0" collapsed="false">
      <c r="A75" s="18" t="s">
        <v>246</v>
      </c>
      <c r="B75" s="20" t="str">
        <f aca="false">VLOOKUP(A75,'Product Master'!$A$5:$K$104,2,FALSE())</f>
        <v>Compact Personal Item 052</v>
      </c>
      <c r="C75" s="17" t="n">
        <f aca="false">SUMIF('Order Tracking'!$G$5:$G$604,A75,'Order Tracking'!$J$5:$J$604)</f>
        <v>74</v>
      </c>
      <c r="D75" s="16" t="n">
        <f aca="false">SUMIF('Order Tracking'!$G$5:$G$604,A75,'Order Tracking'!$L$5:$L$604)</f>
        <v>632534.98</v>
      </c>
      <c r="E75" s="20" t="str">
        <f aca="false">VLOOKUP(A75,'Product Master'!$A$5:$K$104,3,FALSE())</f>
        <v>Personal Care</v>
      </c>
      <c r="F75" s="16" t="n">
        <f aca="false">VLOOKUP(A75,'Product Master'!$A$5:$K$104,5,FALSE())</f>
        <v>5446.2</v>
      </c>
      <c r="G75" s="16" t="n">
        <f aca="false">VLOOKUP(A75,'Product Master'!$A$5:$K$104,6,FALSE())</f>
        <v>8547.77</v>
      </c>
      <c r="H75" s="16" t="n">
        <f aca="false">G75-F75</f>
        <v>3101.57</v>
      </c>
      <c r="I75" s="16" t="n">
        <f aca="false">C75*H75</f>
        <v>229516.18</v>
      </c>
      <c r="J75" s="19" t="n">
        <f aca="false">IFERROR(H75/G75,0)</f>
        <v>0.362851363572019</v>
      </c>
      <c r="K75" s="23" t="str">
        <f aca="false">VLOOKUP(A75,'Inventory Management'!$A$5:$Q$104,16,FALSE())</f>
        <v>Healthy Stock</v>
      </c>
    </row>
    <row r="76" customFormat="false" ht="15" hidden="false" customHeight="false" outlineLevel="0" collapsed="false">
      <c r="A76" s="26" t="s">
        <v>247</v>
      </c>
      <c r="B76" s="27" t="str">
        <f aca="false">VLOOKUP(A76,'Product Master'!$A$5:$K$104,2,FALSE())</f>
        <v>Classic Industrial Item 053</v>
      </c>
      <c r="C76" s="28" t="n">
        <f aca="false">SUMIF('Order Tracking'!$G$5:$G$604,A76,'Order Tracking'!$J$5:$J$604)</f>
        <v>145</v>
      </c>
      <c r="D76" s="29" t="n">
        <f aca="false">SUMIF('Order Tracking'!$G$5:$G$604,A76,'Order Tracking'!$L$5:$L$604)</f>
        <v>1555971.8</v>
      </c>
      <c r="E76" s="27" t="str">
        <f aca="false">VLOOKUP(A76,'Product Master'!$A$5:$K$104,3,FALSE())</f>
        <v>Industrial</v>
      </c>
      <c r="F76" s="29" t="n">
        <f aca="false">VLOOKUP(A76,'Product Master'!$A$5:$K$104,5,FALSE())</f>
        <v>8210.67</v>
      </c>
      <c r="G76" s="29" t="n">
        <f aca="false">VLOOKUP(A76,'Product Master'!$A$5:$K$104,6,FALSE())</f>
        <v>10730.84</v>
      </c>
      <c r="H76" s="29" t="n">
        <f aca="false">G76-F76</f>
        <v>2520.17</v>
      </c>
      <c r="I76" s="29" t="n">
        <f aca="false">C76*H76</f>
        <v>365424.65</v>
      </c>
      <c r="J76" s="31" t="n">
        <f aca="false">IFERROR(H76/G76,0)</f>
        <v>0.234853003119979</v>
      </c>
      <c r="K76" s="32" t="str">
        <f aca="false">VLOOKUP(A76,'Inventory Management'!$A$5:$Q$104,16,FALSE())</f>
        <v>Overstocked</v>
      </c>
    </row>
    <row r="77" customFormat="false" ht="15" hidden="false" customHeight="false" outlineLevel="0" collapsed="false">
      <c r="A77" s="18" t="s">
        <v>248</v>
      </c>
      <c r="B77" s="20" t="str">
        <f aca="false">VLOOKUP(A77,'Product Master'!$A$5:$K$104,2,FALSE())</f>
        <v>Pro Packaging Item 054</v>
      </c>
      <c r="C77" s="17" t="n">
        <f aca="false">SUMIF('Order Tracking'!$G$5:$G$604,A77,'Order Tracking'!$J$5:$J$604)</f>
        <v>110</v>
      </c>
      <c r="D77" s="16" t="n">
        <f aca="false">SUMIF('Order Tracking'!$G$5:$G$604,A77,'Order Tracking'!$L$5:$L$604)</f>
        <v>744756.1</v>
      </c>
      <c r="E77" s="20" t="str">
        <f aca="false">VLOOKUP(A77,'Product Master'!$A$5:$K$104,3,FALSE())</f>
        <v>Packaging</v>
      </c>
      <c r="F77" s="16" t="n">
        <f aca="false">VLOOKUP(A77,'Product Master'!$A$5:$K$104,5,FALSE())</f>
        <v>5084.94</v>
      </c>
      <c r="G77" s="16" t="n">
        <f aca="false">VLOOKUP(A77,'Product Master'!$A$5:$K$104,6,FALSE())</f>
        <v>6770.51</v>
      </c>
      <c r="H77" s="16" t="n">
        <f aca="false">G77-F77</f>
        <v>1685.57</v>
      </c>
      <c r="I77" s="16" t="n">
        <f aca="false">C77*H77</f>
        <v>185412.7</v>
      </c>
      <c r="J77" s="19" t="n">
        <f aca="false">IFERROR(H77/G77,0)</f>
        <v>0.248957611760414</v>
      </c>
      <c r="K77" s="23" t="str">
        <f aca="false">VLOOKUP(A77,'Inventory Management'!$A$5:$Q$104,16,FALSE())</f>
        <v>Healthy Stock</v>
      </c>
    </row>
    <row r="78" customFormat="false" ht="15" hidden="false" customHeight="false" outlineLevel="0" collapsed="false">
      <c r="A78" s="26" t="s">
        <v>249</v>
      </c>
      <c r="B78" s="27" t="str">
        <f aca="false">VLOOKUP(A78,'Product Master'!$A$5:$K$104,2,FALSE())</f>
        <v>Eco Apparel Item 055</v>
      </c>
      <c r="C78" s="28" t="n">
        <f aca="false">SUMIF('Order Tracking'!$G$5:$G$604,A78,'Order Tracking'!$J$5:$J$604)</f>
        <v>43</v>
      </c>
      <c r="D78" s="29" t="n">
        <f aca="false">SUMIF('Order Tracking'!$G$5:$G$604,A78,'Order Tracking'!$L$5:$L$604)</f>
        <v>130099.94</v>
      </c>
      <c r="E78" s="27" t="str">
        <f aca="false">VLOOKUP(A78,'Product Master'!$A$5:$K$104,3,FALSE())</f>
        <v>Apparel</v>
      </c>
      <c r="F78" s="29" t="n">
        <f aca="false">VLOOKUP(A78,'Product Master'!$A$5:$K$104,5,FALSE())</f>
        <v>2163.58</v>
      </c>
      <c r="G78" s="29" t="n">
        <f aca="false">VLOOKUP(A78,'Product Master'!$A$5:$K$104,6,FALSE())</f>
        <v>3025.58</v>
      </c>
      <c r="H78" s="29" t="n">
        <f aca="false">G78-F78</f>
        <v>862</v>
      </c>
      <c r="I78" s="29" t="n">
        <f aca="false">C78*H78</f>
        <v>37066</v>
      </c>
      <c r="J78" s="31" t="n">
        <f aca="false">IFERROR(H78/G78,0)</f>
        <v>0.284904051454597</v>
      </c>
      <c r="K78" s="32" t="str">
        <f aca="false">VLOOKUP(A78,'Inventory Management'!$A$5:$Q$104,16,FALSE())</f>
        <v>Healthy Stock</v>
      </c>
    </row>
    <row r="79" customFormat="false" ht="15" hidden="false" customHeight="false" outlineLevel="0" collapsed="false">
      <c r="A79" s="18" t="s">
        <v>250</v>
      </c>
      <c r="B79" s="20" t="str">
        <f aca="false">VLOOKUP(A79,'Product Master'!$A$5:$K$104,2,FALSE())</f>
        <v>Smart Automotive Item 056</v>
      </c>
      <c r="C79" s="17" t="n">
        <f aca="false">SUMIF('Order Tracking'!$G$5:$G$604,A79,'Order Tracking'!$J$5:$J$604)</f>
        <v>44</v>
      </c>
      <c r="D79" s="16" t="n">
        <f aca="false">SUMIF('Order Tracking'!$G$5:$G$604,A79,'Order Tracking'!$L$5:$L$604)</f>
        <v>176311.52</v>
      </c>
      <c r="E79" s="20" t="str">
        <f aca="false">VLOOKUP(A79,'Product Master'!$A$5:$K$104,3,FALSE())</f>
        <v>Automotive</v>
      </c>
      <c r="F79" s="16" t="n">
        <f aca="false">VLOOKUP(A79,'Product Master'!$A$5:$K$104,5,FALSE())</f>
        <v>2843.62</v>
      </c>
      <c r="G79" s="16" t="n">
        <f aca="false">VLOOKUP(A79,'Product Master'!$A$5:$K$104,6,FALSE())</f>
        <v>4007.08</v>
      </c>
      <c r="H79" s="16" t="n">
        <f aca="false">G79-F79</f>
        <v>1163.46</v>
      </c>
      <c r="I79" s="16" t="n">
        <f aca="false">C79*H79</f>
        <v>51192.24</v>
      </c>
      <c r="J79" s="19" t="n">
        <f aca="false">IFERROR(H79/G79,0)</f>
        <v>0.290351078590894</v>
      </c>
      <c r="K79" s="23" t="str">
        <f aca="false">VLOOKUP(A79,'Inventory Management'!$A$5:$Q$104,16,FALSE())</f>
        <v>Overstocked</v>
      </c>
    </row>
    <row r="80" customFormat="false" ht="15" hidden="false" customHeight="false" outlineLevel="0" collapsed="false">
      <c r="A80" s="26" t="s">
        <v>251</v>
      </c>
      <c r="B80" s="27" t="str">
        <f aca="false">VLOOKUP(A80,'Product Master'!$A$5:$K$104,2,FALSE())</f>
        <v>Essential Electronics Item 057</v>
      </c>
      <c r="C80" s="28" t="n">
        <f aca="false">SUMIF('Order Tracking'!$G$5:$G$604,A80,'Order Tracking'!$J$5:$J$604)</f>
        <v>96</v>
      </c>
      <c r="D80" s="29" t="n">
        <f aca="false">SUMIF('Order Tracking'!$G$5:$G$604,A80,'Order Tracking'!$L$5:$L$604)</f>
        <v>782665.92</v>
      </c>
      <c r="E80" s="27" t="str">
        <f aca="false">VLOOKUP(A80,'Product Master'!$A$5:$K$104,3,FALSE())</f>
        <v>Electronics</v>
      </c>
      <c r="F80" s="29" t="n">
        <f aca="false">VLOOKUP(A80,'Product Master'!$A$5:$K$104,5,FALSE())</f>
        <v>5115.78</v>
      </c>
      <c r="G80" s="29" t="n">
        <f aca="false">VLOOKUP(A80,'Product Master'!$A$5:$K$104,6,FALSE())</f>
        <v>8152.77</v>
      </c>
      <c r="H80" s="29" t="n">
        <f aca="false">G80-F80</f>
        <v>3036.99</v>
      </c>
      <c r="I80" s="29" t="n">
        <f aca="false">C80*H80</f>
        <v>291551.04</v>
      </c>
      <c r="J80" s="31" t="n">
        <f aca="false">IFERROR(H80/G80,0)</f>
        <v>0.372510202054026</v>
      </c>
      <c r="K80" s="32" t="str">
        <f aca="false">VLOOKUP(A80,'Inventory Management'!$A$5:$Q$104,16,FALSE())</f>
        <v>Out of Stock</v>
      </c>
    </row>
    <row r="81" customFormat="false" ht="15" hidden="false" customHeight="false" outlineLevel="0" collapsed="false">
      <c r="A81" s="18" t="s">
        <v>252</v>
      </c>
      <c r="B81" s="20" t="str">
        <f aca="false">VLOOKUP(A81,'Product Master'!$A$5:$K$104,2,FALSE())</f>
        <v>Pro Home Item 058</v>
      </c>
      <c r="C81" s="17" t="n">
        <f aca="false">SUMIF('Order Tracking'!$G$5:$G$604,A81,'Order Tracking'!$J$5:$J$604)</f>
        <v>31</v>
      </c>
      <c r="D81" s="16" t="n">
        <f aca="false">SUMIF('Order Tracking'!$G$5:$G$604,A81,'Order Tracking'!$L$5:$L$604)</f>
        <v>157496.74</v>
      </c>
      <c r="E81" s="20" t="str">
        <f aca="false">VLOOKUP(A81,'Product Master'!$A$5:$K$104,3,FALSE())</f>
        <v>Home &amp; Kitchen</v>
      </c>
      <c r="F81" s="16" t="n">
        <f aca="false">VLOOKUP(A81,'Product Master'!$A$5:$K$104,5,FALSE())</f>
        <v>3525.87</v>
      </c>
      <c r="G81" s="16" t="n">
        <f aca="false">VLOOKUP(A81,'Product Master'!$A$5:$K$104,6,FALSE())</f>
        <v>5080.54</v>
      </c>
      <c r="H81" s="16" t="n">
        <f aca="false">G81-F81</f>
        <v>1554.67</v>
      </c>
      <c r="I81" s="16" t="n">
        <f aca="false">C81*H81</f>
        <v>48194.77</v>
      </c>
      <c r="J81" s="19" t="n">
        <f aca="false">IFERROR(H81/G81,0)</f>
        <v>0.306004873497699</v>
      </c>
      <c r="K81" s="23" t="str">
        <f aca="false">VLOOKUP(A81,'Inventory Management'!$A$5:$Q$104,16,FALSE())</f>
        <v>Low Stock</v>
      </c>
    </row>
    <row r="82" customFormat="false" ht="15" hidden="false" customHeight="false" outlineLevel="0" collapsed="false">
      <c r="A82" s="26" t="s">
        <v>253</v>
      </c>
      <c r="B82" s="27" t="str">
        <f aca="false">VLOOKUP(A82,'Product Master'!$A$5:$K$104,2,FALSE())</f>
        <v>Eco Office Item 059</v>
      </c>
      <c r="C82" s="28" t="n">
        <f aca="false">SUMIF('Order Tracking'!$G$5:$G$604,A82,'Order Tracking'!$J$5:$J$604)</f>
        <v>164</v>
      </c>
      <c r="D82" s="29" t="n">
        <f aca="false">SUMIF('Order Tracking'!$G$5:$G$604,A82,'Order Tracking'!$L$5:$L$604)</f>
        <v>57185.16</v>
      </c>
      <c r="E82" s="27" t="str">
        <f aca="false">VLOOKUP(A82,'Product Master'!$A$5:$K$104,3,FALSE())</f>
        <v>Office Supplies</v>
      </c>
      <c r="F82" s="29" t="n">
        <f aca="false">VLOOKUP(A82,'Product Master'!$A$5:$K$104,5,FALSE())</f>
        <v>264.5</v>
      </c>
      <c r="G82" s="29" t="n">
        <f aca="false">VLOOKUP(A82,'Product Master'!$A$5:$K$104,6,FALSE())</f>
        <v>348.69</v>
      </c>
      <c r="H82" s="29" t="n">
        <f aca="false">G82-F82</f>
        <v>84.19</v>
      </c>
      <c r="I82" s="29" t="n">
        <f aca="false">C82*H82</f>
        <v>13807.16</v>
      </c>
      <c r="J82" s="31" t="n">
        <f aca="false">IFERROR(H82/G82,0)</f>
        <v>0.241446557113769</v>
      </c>
      <c r="K82" s="32" t="str">
        <f aca="false">VLOOKUP(A82,'Inventory Management'!$A$5:$Q$104,16,FALSE())</f>
        <v>Overstocked</v>
      </c>
    </row>
    <row r="83" customFormat="false" ht="15" hidden="false" customHeight="false" outlineLevel="0" collapsed="false">
      <c r="A83" s="18" t="s">
        <v>254</v>
      </c>
      <c r="B83" s="20" t="str">
        <f aca="false">VLOOKUP(A83,'Product Master'!$A$5:$K$104,2,FALSE())</f>
        <v>Smart Personal Item 060</v>
      </c>
      <c r="C83" s="17" t="n">
        <f aca="false">SUMIF('Order Tracking'!$G$5:$G$604,A83,'Order Tracking'!$J$5:$J$604)</f>
        <v>37</v>
      </c>
      <c r="D83" s="16" t="n">
        <f aca="false">SUMIF('Order Tracking'!$G$5:$G$604,A83,'Order Tracking'!$L$5:$L$604)</f>
        <v>171171.99</v>
      </c>
      <c r="E83" s="20" t="str">
        <f aca="false">VLOOKUP(A83,'Product Master'!$A$5:$K$104,3,FALSE())</f>
        <v>Personal Care</v>
      </c>
      <c r="F83" s="16" t="n">
        <f aca="false">VLOOKUP(A83,'Product Master'!$A$5:$K$104,5,FALSE())</f>
        <v>3212.39</v>
      </c>
      <c r="G83" s="16" t="n">
        <f aca="false">VLOOKUP(A83,'Product Master'!$A$5:$K$104,6,FALSE())</f>
        <v>4626.27</v>
      </c>
      <c r="H83" s="16" t="n">
        <f aca="false">G83-F83</f>
        <v>1413.88</v>
      </c>
      <c r="I83" s="16" t="n">
        <f aca="false">C83*H83</f>
        <v>52313.56</v>
      </c>
      <c r="J83" s="19" t="n">
        <f aca="false">IFERROR(H83/G83,0)</f>
        <v>0.305619862221617</v>
      </c>
      <c r="K83" s="23" t="str">
        <f aca="false">VLOOKUP(A83,'Inventory Management'!$A$5:$Q$104,16,FALSE())</f>
        <v>Healthy Stock</v>
      </c>
    </row>
    <row r="84" customFormat="false" ht="15" hidden="false" customHeight="false" outlineLevel="0" collapsed="false">
      <c r="A84" s="26" t="s">
        <v>255</v>
      </c>
      <c r="B84" s="27" t="str">
        <f aca="false">VLOOKUP(A84,'Product Master'!$A$5:$K$104,2,FALSE())</f>
        <v>Pro Industrial Item 061</v>
      </c>
      <c r="C84" s="28" t="n">
        <f aca="false">SUMIF('Order Tracking'!$G$5:$G$604,A84,'Order Tracking'!$J$5:$J$604)</f>
        <v>102</v>
      </c>
      <c r="D84" s="29" t="n">
        <f aca="false">SUMIF('Order Tracking'!$G$5:$G$604,A84,'Order Tracking'!$L$5:$L$604)</f>
        <v>529756.38</v>
      </c>
      <c r="E84" s="27" t="str">
        <f aca="false">VLOOKUP(A84,'Product Master'!$A$5:$K$104,3,FALSE())</f>
        <v>Industrial</v>
      </c>
      <c r="F84" s="29" t="n">
        <f aca="false">VLOOKUP(A84,'Product Master'!$A$5:$K$104,5,FALSE())</f>
        <v>3922.39</v>
      </c>
      <c r="G84" s="29" t="n">
        <f aca="false">VLOOKUP(A84,'Product Master'!$A$5:$K$104,6,FALSE())</f>
        <v>5193.69</v>
      </c>
      <c r="H84" s="29" t="n">
        <f aca="false">G84-F84</f>
        <v>1271.3</v>
      </c>
      <c r="I84" s="29" t="n">
        <f aca="false">C84*H84</f>
        <v>129672.6</v>
      </c>
      <c r="J84" s="31" t="n">
        <f aca="false">IFERROR(H84/G84,0)</f>
        <v>0.244777797673716</v>
      </c>
      <c r="K84" s="32" t="str">
        <f aca="false">VLOOKUP(A84,'Inventory Management'!$A$5:$Q$104,16,FALSE())</f>
        <v>Healthy Stock</v>
      </c>
    </row>
    <row r="85" customFormat="false" ht="15" hidden="false" customHeight="false" outlineLevel="0" collapsed="false">
      <c r="A85" s="18" t="s">
        <v>256</v>
      </c>
      <c r="B85" s="20" t="str">
        <f aca="false">VLOOKUP(A85,'Product Master'!$A$5:$K$104,2,FALSE())</f>
        <v>Compact Packaging Item 062</v>
      </c>
      <c r="C85" s="17" t="n">
        <f aca="false">SUMIF('Order Tracking'!$G$5:$G$604,A85,'Order Tracking'!$J$5:$J$604)</f>
        <v>193</v>
      </c>
      <c r="D85" s="16" t="n">
        <f aca="false">SUMIF('Order Tracking'!$G$5:$G$604,A85,'Order Tracking'!$L$5:$L$604)</f>
        <v>1992398.83</v>
      </c>
      <c r="E85" s="20" t="str">
        <f aca="false">VLOOKUP(A85,'Product Master'!$A$5:$K$104,3,FALSE())</f>
        <v>Packaging</v>
      </c>
      <c r="F85" s="16" t="n">
        <f aca="false">VLOOKUP(A85,'Product Master'!$A$5:$K$104,5,FALSE())</f>
        <v>6345.34</v>
      </c>
      <c r="G85" s="16" t="n">
        <f aca="false">VLOOKUP(A85,'Product Master'!$A$5:$K$104,6,FALSE())</f>
        <v>10323.31</v>
      </c>
      <c r="H85" s="16" t="n">
        <f aca="false">G85-F85</f>
        <v>3977.97</v>
      </c>
      <c r="I85" s="16" t="n">
        <f aca="false">C85*H85</f>
        <v>767748.21</v>
      </c>
      <c r="J85" s="19" t="n">
        <f aca="false">IFERROR(H85/G85,0)</f>
        <v>0.385338617168331</v>
      </c>
      <c r="K85" s="23" t="str">
        <f aca="false">VLOOKUP(A85,'Inventory Management'!$A$5:$Q$104,16,FALSE())</f>
        <v>Healthy Stock</v>
      </c>
    </row>
    <row r="86" customFormat="false" ht="15" hidden="false" customHeight="false" outlineLevel="0" collapsed="false">
      <c r="A86" s="26" t="s">
        <v>257</v>
      </c>
      <c r="B86" s="27" t="str">
        <f aca="false">VLOOKUP(A86,'Product Master'!$A$5:$K$104,2,FALSE())</f>
        <v>Everyday Apparel Item 063</v>
      </c>
      <c r="C86" s="28" t="n">
        <f aca="false">SUMIF('Order Tracking'!$G$5:$G$604,A86,'Order Tracking'!$J$5:$J$604)</f>
        <v>89</v>
      </c>
      <c r="D86" s="29" t="n">
        <f aca="false">SUMIF('Order Tracking'!$G$5:$G$604,A86,'Order Tracking'!$L$5:$L$604)</f>
        <v>316045.23</v>
      </c>
      <c r="E86" s="27" t="str">
        <f aca="false">VLOOKUP(A86,'Product Master'!$A$5:$K$104,3,FALSE())</f>
        <v>Apparel</v>
      </c>
      <c r="F86" s="29" t="n">
        <f aca="false">VLOOKUP(A86,'Product Master'!$A$5:$K$104,5,FALSE())</f>
        <v>2437.07</v>
      </c>
      <c r="G86" s="29" t="n">
        <f aca="false">VLOOKUP(A86,'Product Master'!$A$5:$K$104,6,FALSE())</f>
        <v>3551.07</v>
      </c>
      <c r="H86" s="29" t="n">
        <f aca="false">G86-F86</f>
        <v>1114</v>
      </c>
      <c r="I86" s="29" t="n">
        <f aca="false">C86*H86</f>
        <v>99146</v>
      </c>
      <c r="J86" s="31" t="n">
        <f aca="false">IFERROR(H86/G86,0)</f>
        <v>0.313708262580011</v>
      </c>
      <c r="K86" s="32" t="str">
        <f aca="false">VLOOKUP(A86,'Inventory Management'!$A$5:$Q$104,16,FALSE())</f>
        <v>Healthy Stock</v>
      </c>
    </row>
    <row r="87" customFormat="false" ht="15" hidden="false" customHeight="false" outlineLevel="0" collapsed="false">
      <c r="A87" s="18" t="s">
        <v>258</v>
      </c>
      <c r="B87" s="20" t="str">
        <f aca="false">VLOOKUP(A87,'Product Master'!$A$5:$K$104,2,FALSE())</f>
        <v>Compact Automotive Item 064</v>
      </c>
      <c r="C87" s="17" t="n">
        <f aca="false">SUMIF('Order Tracking'!$G$5:$G$604,A87,'Order Tracking'!$J$5:$J$604)</f>
        <v>38</v>
      </c>
      <c r="D87" s="16" t="n">
        <f aca="false">SUMIF('Order Tracking'!$G$5:$G$604,A87,'Order Tracking'!$L$5:$L$604)</f>
        <v>157958.78</v>
      </c>
      <c r="E87" s="20" t="str">
        <f aca="false">VLOOKUP(A87,'Product Master'!$A$5:$K$104,3,FALSE())</f>
        <v>Automotive</v>
      </c>
      <c r="F87" s="16" t="n">
        <f aca="false">VLOOKUP(A87,'Product Master'!$A$5:$K$104,5,FALSE())</f>
        <v>3144.18</v>
      </c>
      <c r="G87" s="16" t="n">
        <f aca="false">VLOOKUP(A87,'Product Master'!$A$5:$K$104,6,FALSE())</f>
        <v>4156.81</v>
      </c>
      <c r="H87" s="16" t="n">
        <f aca="false">G87-F87</f>
        <v>1012.63</v>
      </c>
      <c r="I87" s="16" t="n">
        <f aca="false">C87*H87</f>
        <v>38479.94</v>
      </c>
      <c r="J87" s="19" t="n">
        <f aca="false">IFERROR(H87/G87,0)</f>
        <v>0.243607477849601</v>
      </c>
      <c r="K87" s="23" t="str">
        <f aca="false">VLOOKUP(A87,'Inventory Management'!$A$5:$Q$104,16,FALSE())</f>
        <v>Healthy Stock</v>
      </c>
    </row>
    <row r="88" customFormat="false" ht="15" hidden="false" customHeight="false" outlineLevel="0" collapsed="false">
      <c r="A88" s="26" t="s">
        <v>259</v>
      </c>
      <c r="B88" s="27" t="str">
        <f aca="false">VLOOKUP(A88,'Product Master'!$A$5:$K$104,2,FALSE())</f>
        <v>Compact Electronics Item 065</v>
      </c>
      <c r="C88" s="28" t="n">
        <f aca="false">SUMIF('Order Tracking'!$G$5:$G$604,A88,'Order Tracking'!$J$5:$J$604)</f>
        <v>142</v>
      </c>
      <c r="D88" s="29" t="n">
        <f aca="false">SUMIF('Order Tracking'!$G$5:$G$604,A88,'Order Tracking'!$L$5:$L$604)</f>
        <v>1018533.34</v>
      </c>
      <c r="E88" s="27" t="str">
        <f aca="false">VLOOKUP(A88,'Product Master'!$A$5:$K$104,3,FALSE())</f>
        <v>Electronics</v>
      </c>
      <c r="F88" s="29" t="n">
        <f aca="false">VLOOKUP(A88,'Product Master'!$A$5:$K$104,5,FALSE())</f>
        <v>4757.15</v>
      </c>
      <c r="G88" s="29" t="n">
        <f aca="false">VLOOKUP(A88,'Product Master'!$A$5:$K$104,6,FALSE())</f>
        <v>7172.77</v>
      </c>
      <c r="H88" s="29" t="n">
        <f aca="false">G88-F88</f>
        <v>2415.62</v>
      </c>
      <c r="I88" s="29" t="n">
        <f aca="false">C88*H88</f>
        <v>343018.04</v>
      </c>
      <c r="J88" s="31" t="n">
        <f aca="false">IFERROR(H88/G88,0)</f>
        <v>0.336776447592771</v>
      </c>
      <c r="K88" s="32" t="str">
        <f aca="false">VLOOKUP(A88,'Inventory Management'!$A$5:$Q$104,16,FALSE())</f>
        <v>Out of Stock</v>
      </c>
    </row>
    <row r="89" customFormat="false" ht="15" hidden="false" customHeight="false" outlineLevel="0" collapsed="false">
      <c r="A89" s="18" t="s">
        <v>260</v>
      </c>
      <c r="B89" s="20" t="str">
        <f aca="false">VLOOKUP(A89,'Product Master'!$A$5:$K$104,2,FALSE())</f>
        <v>Classic Home Item 066</v>
      </c>
      <c r="C89" s="17" t="n">
        <f aca="false">SUMIF('Order Tracking'!$G$5:$G$604,A89,'Order Tracking'!$J$5:$J$604)</f>
        <v>22</v>
      </c>
      <c r="D89" s="16" t="n">
        <f aca="false">SUMIF('Order Tracking'!$G$5:$G$604,A89,'Order Tracking'!$L$5:$L$604)</f>
        <v>151931.12</v>
      </c>
      <c r="E89" s="20" t="str">
        <f aca="false">VLOOKUP(A89,'Product Master'!$A$5:$K$104,3,FALSE())</f>
        <v>Home &amp; Kitchen</v>
      </c>
      <c r="F89" s="16" t="n">
        <f aca="false">VLOOKUP(A89,'Product Master'!$A$5:$K$104,5,FALSE())</f>
        <v>4930.66</v>
      </c>
      <c r="G89" s="16" t="n">
        <f aca="false">VLOOKUP(A89,'Product Master'!$A$5:$K$104,6,FALSE())</f>
        <v>6905.96</v>
      </c>
      <c r="H89" s="16" t="n">
        <f aca="false">G89-F89</f>
        <v>1975.3</v>
      </c>
      <c r="I89" s="16" t="n">
        <f aca="false">C89*H89</f>
        <v>43456.6</v>
      </c>
      <c r="J89" s="19" t="n">
        <f aca="false">IFERROR(H89/G89,0)</f>
        <v>0.286028300192877</v>
      </c>
      <c r="K89" s="23" t="str">
        <f aca="false">VLOOKUP(A89,'Inventory Management'!$A$5:$Q$104,16,FALSE())</f>
        <v>Low Stock</v>
      </c>
    </row>
    <row r="90" customFormat="false" ht="15" hidden="false" customHeight="false" outlineLevel="0" collapsed="false">
      <c r="A90" s="26" t="s">
        <v>261</v>
      </c>
      <c r="B90" s="27" t="str">
        <f aca="false">VLOOKUP(A90,'Product Master'!$A$5:$K$104,2,FALSE())</f>
        <v>Premium Office Item 067</v>
      </c>
      <c r="C90" s="28" t="n">
        <f aca="false">SUMIF('Order Tracking'!$G$5:$G$604,A90,'Order Tracking'!$J$5:$J$604)</f>
        <v>90</v>
      </c>
      <c r="D90" s="29" t="n">
        <f aca="false">SUMIF('Order Tracking'!$G$5:$G$604,A90,'Order Tracking'!$L$5:$L$604)</f>
        <v>318934.8</v>
      </c>
      <c r="E90" s="27" t="str">
        <f aca="false">VLOOKUP(A90,'Product Master'!$A$5:$K$104,3,FALSE())</f>
        <v>Office Supplies</v>
      </c>
      <c r="F90" s="29" t="n">
        <f aca="false">VLOOKUP(A90,'Product Master'!$A$5:$K$104,5,FALSE())</f>
        <v>2235.77</v>
      </c>
      <c r="G90" s="29" t="n">
        <f aca="false">VLOOKUP(A90,'Product Master'!$A$5:$K$104,6,FALSE())</f>
        <v>3543.72</v>
      </c>
      <c r="H90" s="29" t="n">
        <f aca="false">G90-F90</f>
        <v>1307.95</v>
      </c>
      <c r="I90" s="29" t="n">
        <f aca="false">C90*H90</f>
        <v>117715.5</v>
      </c>
      <c r="J90" s="31" t="n">
        <f aca="false">IFERROR(H90/G90,0)</f>
        <v>0.369089544320657</v>
      </c>
      <c r="K90" s="32" t="str">
        <f aca="false">VLOOKUP(A90,'Inventory Management'!$A$5:$Q$104,16,FALSE())</f>
        <v>Healthy Stock</v>
      </c>
    </row>
    <row r="91" customFormat="false" ht="15" hidden="false" customHeight="false" outlineLevel="0" collapsed="false">
      <c r="A91" s="18" t="s">
        <v>262</v>
      </c>
      <c r="B91" s="20" t="str">
        <f aca="false">VLOOKUP(A91,'Product Master'!$A$5:$K$104,2,FALSE())</f>
        <v>Compact Personal Item 068</v>
      </c>
      <c r="C91" s="17" t="n">
        <f aca="false">SUMIF('Order Tracking'!$G$5:$G$604,A91,'Order Tracking'!$J$5:$J$604)</f>
        <v>52</v>
      </c>
      <c r="D91" s="16" t="n">
        <f aca="false">SUMIF('Order Tracking'!$G$5:$G$604,A91,'Order Tracking'!$L$5:$L$604)</f>
        <v>387202.4</v>
      </c>
      <c r="E91" s="20" t="str">
        <f aca="false">VLOOKUP(A91,'Product Master'!$A$5:$K$104,3,FALSE())</f>
        <v>Personal Care</v>
      </c>
      <c r="F91" s="16" t="n">
        <f aca="false">VLOOKUP(A91,'Product Master'!$A$5:$K$104,5,FALSE())</f>
        <v>4955.44</v>
      </c>
      <c r="G91" s="16" t="n">
        <f aca="false">VLOOKUP(A91,'Product Master'!$A$5:$K$104,6,FALSE())</f>
        <v>7446.2</v>
      </c>
      <c r="H91" s="16" t="n">
        <f aca="false">G91-F91</f>
        <v>2490.76</v>
      </c>
      <c r="I91" s="16" t="n">
        <f aca="false">C91*H91</f>
        <v>129519.52</v>
      </c>
      <c r="J91" s="19" t="n">
        <f aca="false">IFERROR(H91/G91,0)</f>
        <v>0.334500819209798</v>
      </c>
      <c r="K91" s="23" t="str">
        <f aca="false">VLOOKUP(A91,'Inventory Management'!$A$5:$Q$104,16,FALSE())</f>
        <v>Healthy Stock</v>
      </c>
    </row>
    <row r="92" customFormat="false" ht="15" hidden="false" customHeight="false" outlineLevel="0" collapsed="false">
      <c r="A92" s="26" t="s">
        <v>263</v>
      </c>
      <c r="B92" s="27" t="str">
        <f aca="false">VLOOKUP(A92,'Product Master'!$A$5:$K$104,2,FALSE())</f>
        <v>Eco Industrial Item 069</v>
      </c>
      <c r="C92" s="28" t="n">
        <f aca="false">SUMIF('Order Tracking'!$G$5:$G$604,A92,'Order Tracking'!$J$5:$J$604)</f>
        <v>21</v>
      </c>
      <c r="D92" s="29" t="n">
        <f aca="false">SUMIF('Order Tracking'!$G$5:$G$604,A92,'Order Tracking'!$L$5:$L$604)</f>
        <v>66629.22</v>
      </c>
      <c r="E92" s="27" t="str">
        <f aca="false">VLOOKUP(A92,'Product Master'!$A$5:$K$104,3,FALSE())</f>
        <v>Industrial</v>
      </c>
      <c r="F92" s="29" t="n">
        <f aca="false">VLOOKUP(A92,'Product Master'!$A$5:$K$104,5,FALSE())</f>
        <v>2199.84</v>
      </c>
      <c r="G92" s="29" t="n">
        <f aca="false">VLOOKUP(A92,'Product Master'!$A$5:$K$104,6,FALSE())</f>
        <v>3172.82</v>
      </c>
      <c r="H92" s="29" t="n">
        <f aca="false">G92-F92</f>
        <v>972.98</v>
      </c>
      <c r="I92" s="29" t="n">
        <f aca="false">C92*H92</f>
        <v>20432.58</v>
      </c>
      <c r="J92" s="31" t="n">
        <f aca="false">IFERROR(H92/G92,0)</f>
        <v>0.306660951456433</v>
      </c>
      <c r="K92" s="32" t="str">
        <f aca="false">VLOOKUP(A92,'Inventory Management'!$A$5:$Q$104,16,FALSE())</f>
        <v>Healthy Stock</v>
      </c>
    </row>
    <row r="93" customFormat="false" ht="15" hidden="false" customHeight="false" outlineLevel="0" collapsed="false">
      <c r="A93" s="18" t="s">
        <v>264</v>
      </c>
      <c r="B93" s="20" t="str">
        <f aca="false">VLOOKUP(A93,'Product Master'!$A$5:$K$104,2,FALSE())</f>
        <v>Eco Packaging Item 070</v>
      </c>
      <c r="C93" s="17" t="n">
        <f aca="false">SUMIF('Order Tracking'!$G$5:$G$604,A93,'Order Tracking'!$J$5:$J$604)</f>
        <v>84</v>
      </c>
      <c r="D93" s="16" t="n">
        <f aca="false">SUMIF('Order Tracking'!$G$5:$G$604,A93,'Order Tracking'!$L$5:$L$604)</f>
        <v>509694.36</v>
      </c>
      <c r="E93" s="20" t="str">
        <f aca="false">VLOOKUP(A93,'Product Master'!$A$5:$K$104,3,FALSE())</f>
        <v>Packaging</v>
      </c>
      <c r="F93" s="16" t="n">
        <f aca="false">VLOOKUP(A93,'Product Master'!$A$5:$K$104,5,FALSE())</f>
        <v>3830</v>
      </c>
      <c r="G93" s="16" t="n">
        <f aca="false">VLOOKUP(A93,'Product Master'!$A$5:$K$104,6,FALSE())</f>
        <v>6067.79</v>
      </c>
      <c r="H93" s="16" t="n">
        <f aca="false">G93-F93</f>
        <v>2237.79</v>
      </c>
      <c r="I93" s="16" t="n">
        <f aca="false">C93*H93</f>
        <v>187974.36</v>
      </c>
      <c r="J93" s="19" t="n">
        <f aca="false">IFERROR(H93/G93,0)</f>
        <v>0.368798195059486</v>
      </c>
      <c r="K93" s="23" t="str">
        <f aca="false">VLOOKUP(A93,'Inventory Management'!$A$5:$Q$104,16,FALSE())</f>
        <v>Healthy Stock</v>
      </c>
    </row>
    <row r="94" customFormat="false" ht="15" hidden="false" customHeight="false" outlineLevel="0" collapsed="false">
      <c r="A94" s="26" t="s">
        <v>265</v>
      </c>
      <c r="B94" s="27" t="str">
        <f aca="false">VLOOKUP(A94,'Product Master'!$A$5:$K$104,2,FALSE())</f>
        <v>Pro Apparel Item 071</v>
      </c>
      <c r="C94" s="28" t="n">
        <f aca="false">SUMIF('Order Tracking'!$G$5:$G$604,A94,'Order Tracking'!$J$5:$J$604)</f>
        <v>49</v>
      </c>
      <c r="D94" s="29" t="n">
        <f aca="false">SUMIF('Order Tracking'!$G$5:$G$604,A94,'Order Tracking'!$L$5:$L$604)</f>
        <v>503499.01</v>
      </c>
      <c r="E94" s="27" t="str">
        <f aca="false">VLOOKUP(A94,'Product Master'!$A$5:$K$104,3,FALSE())</f>
        <v>Apparel</v>
      </c>
      <c r="F94" s="29" t="n">
        <f aca="false">VLOOKUP(A94,'Product Master'!$A$5:$K$104,5,FALSE())</f>
        <v>6321.95</v>
      </c>
      <c r="G94" s="29" t="n">
        <f aca="false">VLOOKUP(A94,'Product Master'!$A$5:$K$104,6,FALSE())</f>
        <v>10275.49</v>
      </c>
      <c r="H94" s="29" t="n">
        <f aca="false">G94-F94</f>
        <v>3953.54</v>
      </c>
      <c r="I94" s="29" t="n">
        <f aca="false">C94*H94</f>
        <v>193723.46</v>
      </c>
      <c r="J94" s="31" t="n">
        <f aca="false">IFERROR(H94/G94,0)</f>
        <v>0.384754401006667</v>
      </c>
      <c r="K94" s="32" t="str">
        <f aca="false">VLOOKUP(A94,'Inventory Management'!$A$5:$Q$104,16,FALSE())</f>
        <v>Healthy Stock</v>
      </c>
    </row>
    <row r="95" customFormat="false" ht="15" hidden="false" customHeight="false" outlineLevel="0" collapsed="false">
      <c r="A95" s="18" t="s">
        <v>266</v>
      </c>
      <c r="B95" s="20" t="str">
        <f aca="false">VLOOKUP(A95,'Product Master'!$A$5:$K$104,2,FALSE())</f>
        <v>Premium Automotive Item 072</v>
      </c>
      <c r="C95" s="17" t="n">
        <f aca="false">SUMIF('Order Tracking'!$G$5:$G$604,A95,'Order Tracking'!$J$5:$J$604)</f>
        <v>36</v>
      </c>
      <c r="D95" s="16" t="n">
        <f aca="false">SUMIF('Order Tracking'!$G$5:$G$604,A95,'Order Tracking'!$L$5:$L$604)</f>
        <v>65230.92</v>
      </c>
      <c r="E95" s="20" t="str">
        <f aca="false">VLOOKUP(A95,'Product Master'!$A$5:$K$104,3,FALSE())</f>
        <v>Automotive</v>
      </c>
      <c r="F95" s="16" t="n">
        <f aca="false">VLOOKUP(A95,'Product Master'!$A$5:$K$104,5,FALSE())</f>
        <v>1436.14</v>
      </c>
      <c r="G95" s="16" t="n">
        <f aca="false">VLOOKUP(A95,'Product Master'!$A$5:$K$104,6,FALSE())</f>
        <v>1811.97</v>
      </c>
      <c r="H95" s="16" t="n">
        <f aca="false">G95-F95</f>
        <v>375.83</v>
      </c>
      <c r="I95" s="16" t="n">
        <f aca="false">C95*H95</f>
        <v>13529.88</v>
      </c>
      <c r="J95" s="19" t="n">
        <f aca="false">IFERROR(H95/G95,0)</f>
        <v>0.207415133804644</v>
      </c>
      <c r="K95" s="23" t="str">
        <f aca="false">VLOOKUP(A95,'Inventory Management'!$A$5:$Q$104,16,FALSE())</f>
        <v>Healthy Stock</v>
      </c>
    </row>
    <row r="96" customFormat="false" ht="15" hidden="false" customHeight="false" outlineLevel="0" collapsed="false">
      <c r="A96" s="26" t="s">
        <v>267</v>
      </c>
      <c r="B96" s="27" t="str">
        <f aca="false">VLOOKUP(A96,'Product Master'!$A$5:$K$104,2,FALSE())</f>
        <v>Essential Electronics Item 073</v>
      </c>
      <c r="C96" s="28" t="n">
        <f aca="false">SUMIF('Order Tracking'!$G$5:$G$604,A96,'Order Tracking'!$J$5:$J$604)</f>
        <v>74</v>
      </c>
      <c r="D96" s="29" t="n">
        <f aca="false">SUMIF('Order Tracking'!$G$5:$G$604,A96,'Order Tracking'!$L$5:$L$604)</f>
        <v>611296.98</v>
      </c>
      <c r="E96" s="27" t="str">
        <f aca="false">VLOOKUP(A96,'Product Master'!$A$5:$K$104,3,FALSE())</f>
        <v>Electronics</v>
      </c>
      <c r="F96" s="29" t="n">
        <f aca="false">VLOOKUP(A96,'Product Master'!$A$5:$K$104,5,FALSE())</f>
        <v>5896.93</v>
      </c>
      <c r="G96" s="29" t="n">
        <f aca="false">VLOOKUP(A96,'Product Master'!$A$5:$K$104,6,FALSE())</f>
        <v>8260.77</v>
      </c>
      <c r="H96" s="29" t="n">
        <f aca="false">G96-F96</f>
        <v>2363.84</v>
      </c>
      <c r="I96" s="29" t="n">
        <f aca="false">C96*H96</f>
        <v>174924.16</v>
      </c>
      <c r="J96" s="31" t="n">
        <f aca="false">IFERROR(H96/G96,0)</f>
        <v>0.286152501522255</v>
      </c>
      <c r="K96" s="32" t="str">
        <f aca="false">VLOOKUP(A96,'Inventory Management'!$A$5:$Q$104,16,FALSE())</f>
        <v>Out of Stock</v>
      </c>
    </row>
    <row r="97" customFormat="false" ht="15" hidden="false" customHeight="false" outlineLevel="0" collapsed="false">
      <c r="A97" s="18" t="s">
        <v>268</v>
      </c>
      <c r="B97" s="20" t="str">
        <f aca="false">VLOOKUP(A97,'Product Master'!$A$5:$K$104,2,FALSE())</f>
        <v>Pro Home Item 074</v>
      </c>
      <c r="C97" s="17" t="n">
        <f aca="false">SUMIF('Order Tracking'!$G$5:$G$604,A97,'Order Tracking'!$J$5:$J$604)</f>
        <v>123</v>
      </c>
      <c r="D97" s="16" t="n">
        <f aca="false">SUMIF('Order Tracking'!$G$5:$G$604,A97,'Order Tracking'!$L$5:$L$604)</f>
        <v>1030217.25</v>
      </c>
      <c r="E97" s="20" t="str">
        <f aca="false">VLOOKUP(A97,'Product Master'!$A$5:$K$104,3,FALSE())</f>
        <v>Home &amp; Kitchen</v>
      </c>
      <c r="F97" s="16" t="n">
        <f aca="false">VLOOKUP(A97,'Product Master'!$A$5:$K$104,5,FALSE())</f>
        <v>6011.04</v>
      </c>
      <c r="G97" s="16" t="n">
        <f aca="false">VLOOKUP(A97,'Product Master'!$A$5:$K$104,6,FALSE())</f>
        <v>8375.75</v>
      </c>
      <c r="H97" s="16" t="n">
        <f aca="false">G97-F97</f>
        <v>2364.71</v>
      </c>
      <c r="I97" s="16" t="n">
        <f aca="false">C97*H97</f>
        <v>290859.33</v>
      </c>
      <c r="J97" s="19" t="n">
        <f aca="false">IFERROR(H97/G97,0)</f>
        <v>0.282328149717936</v>
      </c>
      <c r="K97" s="23" t="str">
        <f aca="false">VLOOKUP(A97,'Inventory Management'!$A$5:$Q$104,16,FALSE())</f>
        <v>Low Stock</v>
      </c>
    </row>
    <row r="98" customFormat="false" ht="15" hidden="false" customHeight="false" outlineLevel="0" collapsed="false">
      <c r="A98" s="26" t="s">
        <v>269</v>
      </c>
      <c r="B98" s="27" t="str">
        <f aca="false">VLOOKUP(A98,'Product Master'!$A$5:$K$104,2,FALSE())</f>
        <v>Everyday Office Item 075</v>
      </c>
      <c r="C98" s="28" t="n">
        <f aca="false">SUMIF('Order Tracking'!$G$5:$G$604,A98,'Order Tracking'!$J$5:$J$604)</f>
        <v>34</v>
      </c>
      <c r="D98" s="29" t="n">
        <f aca="false">SUMIF('Order Tracking'!$G$5:$G$604,A98,'Order Tracking'!$L$5:$L$604)</f>
        <v>236369.02</v>
      </c>
      <c r="E98" s="27" t="str">
        <f aca="false">VLOOKUP(A98,'Product Master'!$A$5:$K$104,3,FALSE())</f>
        <v>Office Supplies</v>
      </c>
      <c r="F98" s="29" t="n">
        <f aca="false">VLOOKUP(A98,'Product Master'!$A$5:$K$104,5,FALSE())</f>
        <v>4683.43</v>
      </c>
      <c r="G98" s="29" t="n">
        <f aca="false">VLOOKUP(A98,'Product Master'!$A$5:$K$104,6,FALSE())</f>
        <v>6952.03</v>
      </c>
      <c r="H98" s="29" t="n">
        <f aca="false">G98-F98</f>
        <v>2268.6</v>
      </c>
      <c r="I98" s="29" t="n">
        <f aca="false">C98*H98</f>
        <v>77132.4</v>
      </c>
      <c r="J98" s="31" t="n">
        <f aca="false">IFERROR(H98/G98,0)</f>
        <v>0.326321952005385</v>
      </c>
      <c r="K98" s="32" t="str">
        <f aca="false">VLOOKUP(A98,'Inventory Management'!$A$5:$Q$104,16,FALSE())</f>
        <v>Healthy Stock</v>
      </c>
    </row>
    <row r="99" customFormat="false" ht="15" hidden="false" customHeight="false" outlineLevel="0" collapsed="false">
      <c r="A99" s="18" t="s">
        <v>270</v>
      </c>
      <c r="B99" s="20" t="str">
        <f aca="false">VLOOKUP(A99,'Product Master'!$A$5:$K$104,2,FALSE())</f>
        <v>Everyday Personal Item 076</v>
      </c>
      <c r="C99" s="17" t="n">
        <f aca="false">SUMIF('Order Tracking'!$G$5:$G$604,A99,'Order Tracking'!$J$5:$J$604)</f>
        <v>82</v>
      </c>
      <c r="D99" s="16" t="n">
        <f aca="false">SUMIF('Order Tracking'!$G$5:$G$604,A99,'Order Tracking'!$L$5:$L$604)</f>
        <v>809391.66</v>
      </c>
      <c r="E99" s="20" t="str">
        <f aca="false">VLOOKUP(A99,'Product Master'!$A$5:$K$104,3,FALSE())</f>
        <v>Personal Care</v>
      </c>
      <c r="F99" s="16" t="n">
        <f aca="false">VLOOKUP(A99,'Product Master'!$A$5:$K$104,5,FALSE())</f>
        <v>6762.23</v>
      </c>
      <c r="G99" s="16" t="n">
        <f aca="false">VLOOKUP(A99,'Product Master'!$A$5:$K$104,6,FALSE())</f>
        <v>9870.63</v>
      </c>
      <c r="H99" s="16" t="n">
        <f aca="false">G99-F99</f>
        <v>3108.4</v>
      </c>
      <c r="I99" s="16" t="n">
        <f aca="false">C99*H99</f>
        <v>254888.8</v>
      </c>
      <c r="J99" s="19" t="n">
        <f aca="false">IFERROR(H99/G99,0)</f>
        <v>0.314914042973954</v>
      </c>
      <c r="K99" s="23" t="str">
        <f aca="false">VLOOKUP(A99,'Inventory Management'!$A$5:$Q$104,16,FALSE())</f>
        <v>Healthy Stock</v>
      </c>
    </row>
    <row r="100" customFormat="false" ht="15" hidden="false" customHeight="false" outlineLevel="0" collapsed="false">
      <c r="A100" s="26" t="s">
        <v>271</v>
      </c>
      <c r="B100" s="27" t="str">
        <f aca="false">VLOOKUP(A100,'Product Master'!$A$5:$K$104,2,FALSE())</f>
        <v>Everyday Industrial Item 077</v>
      </c>
      <c r="C100" s="28" t="n">
        <f aca="false">SUMIF('Order Tracking'!$G$5:$G$604,A100,'Order Tracking'!$J$5:$J$604)</f>
        <v>117</v>
      </c>
      <c r="D100" s="29" t="n">
        <f aca="false">SUMIF('Order Tracking'!$G$5:$G$604,A100,'Order Tracking'!$L$5:$L$604)</f>
        <v>427441.95</v>
      </c>
      <c r="E100" s="27" t="str">
        <f aca="false">VLOOKUP(A100,'Product Master'!$A$5:$K$104,3,FALSE())</f>
        <v>Industrial</v>
      </c>
      <c r="F100" s="29" t="n">
        <f aca="false">VLOOKUP(A100,'Product Master'!$A$5:$K$104,5,FALSE())</f>
        <v>2668.28</v>
      </c>
      <c r="G100" s="29" t="n">
        <f aca="false">VLOOKUP(A100,'Product Master'!$A$5:$K$104,6,FALSE())</f>
        <v>3653.35</v>
      </c>
      <c r="H100" s="29" t="n">
        <f aca="false">G100-F100</f>
        <v>985.07</v>
      </c>
      <c r="I100" s="29" t="n">
        <f aca="false">C100*H100</f>
        <v>115253.19</v>
      </c>
      <c r="J100" s="31" t="n">
        <f aca="false">IFERROR(H100/G100,0)</f>
        <v>0.269634718819713</v>
      </c>
      <c r="K100" s="32" t="str">
        <f aca="false">VLOOKUP(A100,'Inventory Management'!$A$5:$Q$104,16,FALSE())</f>
        <v>Healthy Stock</v>
      </c>
    </row>
    <row r="101" customFormat="false" ht="15" hidden="false" customHeight="false" outlineLevel="0" collapsed="false">
      <c r="A101" s="18" t="s">
        <v>272</v>
      </c>
      <c r="B101" s="20" t="str">
        <f aca="false">VLOOKUP(A101,'Product Master'!$A$5:$K$104,2,FALSE())</f>
        <v>Smart Packaging Item 078</v>
      </c>
      <c r="C101" s="17" t="n">
        <f aca="false">SUMIF('Order Tracking'!$G$5:$G$604,A101,'Order Tracking'!$J$5:$J$604)</f>
        <v>94</v>
      </c>
      <c r="D101" s="16" t="n">
        <f aca="false">SUMIF('Order Tracking'!$G$5:$G$604,A101,'Order Tracking'!$L$5:$L$604)</f>
        <v>59027.3</v>
      </c>
      <c r="E101" s="20" t="str">
        <f aca="false">VLOOKUP(A101,'Product Master'!$A$5:$K$104,3,FALSE())</f>
        <v>Packaging</v>
      </c>
      <c r="F101" s="16" t="n">
        <f aca="false">VLOOKUP(A101,'Product Master'!$A$5:$K$104,5,FALSE())</f>
        <v>454.03</v>
      </c>
      <c r="G101" s="16" t="n">
        <f aca="false">VLOOKUP(A101,'Product Master'!$A$5:$K$104,6,FALSE())</f>
        <v>627.95</v>
      </c>
      <c r="H101" s="16" t="n">
        <f aca="false">G101-F101</f>
        <v>173.92</v>
      </c>
      <c r="I101" s="16" t="n">
        <f aca="false">C101*H101</f>
        <v>16348.48</v>
      </c>
      <c r="J101" s="19" t="n">
        <f aca="false">IFERROR(H101/G101,0)</f>
        <v>0.276964726490963</v>
      </c>
      <c r="K101" s="23" t="str">
        <f aca="false">VLOOKUP(A101,'Inventory Management'!$A$5:$Q$104,16,FALSE())</f>
        <v>Healthy Stock</v>
      </c>
    </row>
    <row r="102" customFormat="false" ht="15" hidden="false" customHeight="false" outlineLevel="0" collapsed="false">
      <c r="A102" s="26" t="s">
        <v>273</v>
      </c>
      <c r="B102" s="27" t="str">
        <f aca="false">VLOOKUP(A102,'Product Master'!$A$5:$K$104,2,FALSE())</f>
        <v>Essential Apparel Item 079</v>
      </c>
      <c r="C102" s="28" t="n">
        <f aca="false">SUMIF('Order Tracking'!$G$5:$G$604,A102,'Order Tracking'!$J$5:$J$604)</f>
        <v>120</v>
      </c>
      <c r="D102" s="29" t="n">
        <f aca="false">SUMIF('Order Tracking'!$G$5:$G$604,A102,'Order Tracking'!$L$5:$L$604)</f>
        <v>1544114.4</v>
      </c>
      <c r="E102" s="27" t="str">
        <f aca="false">VLOOKUP(A102,'Product Master'!$A$5:$K$104,3,FALSE())</f>
        <v>Apparel</v>
      </c>
      <c r="F102" s="29" t="n">
        <f aca="false">VLOOKUP(A102,'Product Master'!$A$5:$K$104,5,FALSE())</f>
        <v>8180.82</v>
      </c>
      <c r="G102" s="29" t="n">
        <f aca="false">VLOOKUP(A102,'Product Master'!$A$5:$K$104,6,FALSE())</f>
        <v>12867.62</v>
      </c>
      <c r="H102" s="29" t="n">
        <f aca="false">G102-F102</f>
        <v>4686.8</v>
      </c>
      <c r="I102" s="29" t="n">
        <f aca="false">C102*H102</f>
        <v>562416</v>
      </c>
      <c r="J102" s="31" t="n">
        <f aca="false">IFERROR(H102/G102,0)</f>
        <v>0.364232080213746</v>
      </c>
      <c r="K102" s="32" t="str">
        <f aca="false">VLOOKUP(A102,'Inventory Management'!$A$5:$Q$104,16,FALSE())</f>
        <v>Healthy Stock</v>
      </c>
    </row>
    <row r="103" customFormat="false" ht="15" hidden="false" customHeight="false" outlineLevel="0" collapsed="false">
      <c r="A103" s="18" t="s">
        <v>274</v>
      </c>
      <c r="B103" s="20" t="str">
        <f aca="false">VLOOKUP(A103,'Product Master'!$A$5:$K$104,2,FALSE())</f>
        <v>Classic Automotive Item 080</v>
      </c>
      <c r="C103" s="17" t="n">
        <f aca="false">SUMIF('Order Tracking'!$G$5:$G$604,A103,'Order Tracking'!$J$5:$J$604)</f>
        <v>43</v>
      </c>
      <c r="D103" s="16" t="n">
        <f aca="false">SUMIF('Order Tracking'!$G$5:$G$604,A103,'Order Tracking'!$L$5:$L$604)</f>
        <v>97236.76</v>
      </c>
      <c r="E103" s="20" t="str">
        <f aca="false">VLOOKUP(A103,'Product Master'!$A$5:$K$104,3,FALSE())</f>
        <v>Automotive</v>
      </c>
      <c r="F103" s="16" t="n">
        <f aca="false">VLOOKUP(A103,'Product Master'!$A$5:$K$104,5,FALSE())</f>
        <v>1588.1</v>
      </c>
      <c r="G103" s="16" t="n">
        <f aca="false">VLOOKUP(A103,'Product Master'!$A$5:$K$104,6,FALSE())</f>
        <v>2261.32</v>
      </c>
      <c r="H103" s="16" t="n">
        <f aca="false">G103-F103</f>
        <v>673.22</v>
      </c>
      <c r="I103" s="16" t="n">
        <f aca="false">C103*H103</f>
        <v>28948.46</v>
      </c>
      <c r="J103" s="19" t="n">
        <f aca="false">IFERROR(H103/G103,0)</f>
        <v>0.297711071409619</v>
      </c>
      <c r="K103" s="23" t="str">
        <f aca="false">VLOOKUP(A103,'Inventory Management'!$A$5:$Q$104,16,FALSE())</f>
        <v>Overstocked</v>
      </c>
    </row>
    <row r="104" customFormat="false" ht="15" hidden="false" customHeight="false" outlineLevel="0" collapsed="false">
      <c r="A104" s="26" t="s">
        <v>275</v>
      </c>
      <c r="B104" s="27" t="str">
        <f aca="false">VLOOKUP(A104,'Product Master'!$A$5:$K$104,2,FALSE())</f>
        <v>Premium Electronics Item 081</v>
      </c>
      <c r="C104" s="28" t="n">
        <f aca="false">SUMIF('Order Tracking'!$G$5:$G$604,A104,'Order Tracking'!$J$5:$J$604)</f>
        <v>32</v>
      </c>
      <c r="D104" s="29" t="n">
        <f aca="false">SUMIF('Order Tracking'!$G$5:$G$604,A104,'Order Tracking'!$L$5:$L$604)</f>
        <v>188659.52</v>
      </c>
      <c r="E104" s="27" t="str">
        <f aca="false">VLOOKUP(A104,'Product Master'!$A$5:$K$104,3,FALSE())</f>
        <v>Electronics</v>
      </c>
      <c r="F104" s="29" t="n">
        <f aca="false">VLOOKUP(A104,'Product Master'!$A$5:$K$104,5,FALSE())</f>
        <v>3772.72</v>
      </c>
      <c r="G104" s="29" t="n">
        <f aca="false">VLOOKUP(A104,'Product Master'!$A$5:$K$104,6,FALSE())</f>
        <v>5895.61</v>
      </c>
      <c r="H104" s="29" t="n">
        <f aca="false">G104-F104</f>
        <v>2122.89</v>
      </c>
      <c r="I104" s="29" t="n">
        <f aca="false">C104*H104</f>
        <v>67932.48</v>
      </c>
      <c r="J104" s="31" t="n">
        <f aca="false">IFERROR(H104/G104,0)</f>
        <v>0.360079788181376</v>
      </c>
      <c r="K104" s="32" t="str">
        <f aca="false">VLOOKUP(A104,'Inventory Management'!$A$5:$Q$104,16,FALSE())</f>
        <v>Healthy Stock</v>
      </c>
    </row>
    <row r="105" customFormat="false" ht="15" hidden="false" customHeight="false" outlineLevel="0" collapsed="false">
      <c r="A105" s="18" t="s">
        <v>276</v>
      </c>
      <c r="B105" s="20" t="str">
        <f aca="false">VLOOKUP(A105,'Product Master'!$A$5:$K$104,2,FALSE())</f>
        <v>Compact Home Item 082</v>
      </c>
      <c r="C105" s="17" t="n">
        <f aca="false">SUMIF('Order Tracking'!$G$5:$G$604,A105,'Order Tracking'!$J$5:$J$604)</f>
        <v>93</v>
      </c>
      <c r="D105" s="16" t="n">
        <f aca="false">SUMIF('Order Tracking'!$G$5:$G$604,A105,'Order Tracking'!$L$5:$L$604)</f>
        <v>321270.36</v>
      </c>
      <c r="E105" s="20" t="str">
        <f aca="false">VLOOKUP(A105,'Product Master'!$A$5:$K$104,3,FALSE())</f>
        <v>Home &amp; Kitchen</v>
      </c>
      <c r="F105" s="16" t="n">
        <f aca="false">VLOOKUP(A105,'Product Master'!$A$5:$K$104,5,FALSE())</f>
        <v>2810.47</v>
      </c>
      <c r="G105" s="16" t="n">
        <f aca="false">VLOOKUP(A105,'Product Master'!$A$5:$K$104,6,FALSE())</f>
        <v>3454.52</v>
      </c>
      <c r="H105" s="16" t="n">
        <f aca="false">G105-F105</f>
        <v>644.05</v>
      </c>
      <c r="I105" s="16" t="n">
        <f aca="false">C105*H105</f>
        <v>59896.65</v>
      </c>
      <c r="J105" s="19" t="n">
        <f aca="false">IFERROR(H105/G105,0)</f>
        <v>0.186436900061369</v>
      </c>
      <c r="K105" s="23" t="str">
        <f aca="false">VLOOKUP(A105,'Inventory Management'!$A$5:$Q$104,16,FALSE())</f>
        <v>Healthy Stock</v>
      </c>
    </row>
    <row r="106" customFormat="false" ht="15" hidden="false" customHeight="false" outlineLevel="0" collapsed="false">
      <c r="A106" s="26" t="s">
        <v>277</v>
      </c>
      <c r="B106" s="27" t="str">
        <f aca="false">VLOOKUP(A106,'Product Master'!$A$5:$K$104,2,FALSE())</f>
        <v>Essential Office Item 083</v>
      </c>
      <c r="C106" s="28" t="n">
        <f aca="false">SUMIF('Order Tracking'!$G$5:$G$604,A106,'Order Tracking'!$J$5:$J$604)</f>
        <v>120</v>
      </c>
      <c r="D106" s="29" t="n">
        <f aca="false">SUMIF('Order Tracking'!$G$5:$G$604,A106,'Order Tracking'!$L$5:$L$604)</f>
        <v>494146.8</v>
      </c>
      <c r="E106" s="27" t="str">
        <f aca="false">VLOOKUP(A106,'Product Master'!$A$5:$K$104,3,FALSE())</f>
        <v>Office Supplies</v>
      </c>
      <c r="F106" s="29" t="n">
        <f aca="false">VLOOKUP(A106,'Product Master'!$A$5:$K$104,5,FALSE())</f>
        <v>2535.27</v>
      </c>
      <c r="G106" s="29" t="n">
        <f aca="false">VLOOKUP(A106,'Product Master'!$A$5:$K$104,6,FALSE())</f>
        <v>4117.89</v>
      </c>
      <c r="H106" s="29" t="n">
        <f aca="false">G106-F106</f>
        <v>1582.62</v>
      </c>
      <c r="I106" s="29" t="n">
        <f aca="false">C106*H106</f>
        <v>189914.4</v>
      </c>
      <c r="J106" s="31" t="n">
        <f aca="false">IFERROR(H106/G106,0)</f>
        <v>0.384327896082703</v>
      </c>
      <c r="K106" s="32" t="str">
        <f aca="false">VLOOKUP(A106,'Inventory Management'!$A$5:$Q$104,16,FALSE())</f>
        <v>Overstocked</v>
      </c>
    </row>
    <row r="107" customFormat="false" ht="15" hidden="false" customHeight="false" outlineLevel="0" collapsed="false">
      <c r="A107" s="18" t="s">
        <v>278</v>
      </c>
      <c r="B107" s="20" t="str">
        <f aca="false">VLOOKUP(A107,'Product Master'!$A$5:$K$104,2,FALSE())</f>
        <v>Eco Personal Item 084</v>
      </c>
      <c r="C107" s="17" t="n">
        <f aca="false">SUMIF('Order Tracking'!$G$5:$G$604,A107,'Order Tracking'!$J$5:$J$604)</f>
        <v>74</v>
      </c>
      <c r="D107" s="16" t="n">
        <f aca="false">SUMIF('Order Tracking'!$G$5:$G$604,A107,'Order Tracking'!$L$5:$L$604)</f>
        <v>342491.24</v>
      </c>
      <c r="E107" s="20" t="str">
        <f aca="false">VLOOKUP(A107,'Product Master'!$A$5:$K$104,3,FALSE())</f>
        <v>Personal Care</v>
      </c>
      <c r="F107" s="16" t="n">
        <f aca="false">VLOOKUP(A107,'Product Master'!$A$5:$K$104,5,FALSE())</f>
        <v>2829.03</v>
      </c>
      <c r="G107" s="16" t="n">
        <f aca="false">VLOOKUP(A107,'Product Master'!$A$5:$K$104,6,FALSE())</f>
        <v>4628.26</v>
      </c>
      <c r="H107" s="16" t="n">
        <f aca="false">G107-F107</f>
        <v>1799.23</v>
      </c>
      <c r="I107" s="16" t="n">
        <f aca="false">C107*H107</f>
        <v>133143.02</v>
      </c>
      <c r="J107" s="19" t="n">
        <f aca="false">IFERROR(H107/G107,0)</f>
        <v>0.388748687411684</v>
      </c>
      <c r="K107" s="23" t="str">
        <f aca="false">VLOOKUP(A107,'Inventory Management'!$A$5:$Q$104,16,FALSE())</f>
        <v>Healthy Stock</v>
      </c>
    </row>
    <row r="108" customFormat="false" ht="15" hidden="false" customHeight="false" outlineLevel="0" collapsed="false">
      <c r="A108" s="26" t="s">
        <v>279</v>
      </c>
      <c r="B108" s="27" t="str">
        <f aca="false">VLOOKUP(A108,'Product Master'!$A$5:$K$104,2,FALSE())</f>
        <v>Classic Industrial Item 085</v>
      </c>
      <c r="C108" s="28" t="n">
        <f aca="false">SUMIF('Order Tracking'!$G$5:$G$604,A108,'Order Tracking'!$J$5:$J$604)</f>
        <v>75</v>
      </c>
      <c r="D108" s="29" t="n">
        <f aca="false">SUMIF('Order Tracking'!$G$5:$G$604,A108,'Order Tracking'!$L$5:$L$604)</f>
        <v>171313.5</v>
      </c>
      <c r="E108" s="27" t="str">
        <f aca="false">VLOOKUP(A108,'Product Master'!$A$5:$K$104,3,FALSE())</f>
        <v>Industrial</v>
      </c>
      <c r="F108" s="29" t="n">
        <f aca="false">VLOOKUP(A108,'Product Master'!$A$5:$K$104,5,FALSE())</f>
        <v>1691.94</v>
      </c>
      <c r="G108" s="29" t="n">
        <f aca="false">VLOOKUP(A108,'Product Master'!$A$5:$K$104,6,FALSE())</f>
        <v>2284.18</v>
      </c>
      <c r="H108" s="29" t="n">
        <f aca="false">G108-F108</f>
        <v>592.24</v>
      </c>
      <c r="I108" s="29" t="n">
        <f aca="false">C108*H108</f>
        <v>44418</v>
      </c>
      <c r="J108" s="31" t="n">
        <f aca="false">IFERROR(H108/G108,0)</f>
        <v>0.259279041056309</v>
      </c>
      <c r="K108" s="32" t="str">
        <f aca="false">VLOOKUP(A108,'Inventory Management'!$A$5:$Q$104,16,FALSE())</f>
        <v>Healthy Stock</v>
      </c>
    </row>
    <row r="109" customFormat="false" ht="15" hidden="false" customHeight="false" outlineLevel="0" collapsed="false">
      <c r="A109" s="18" t="s">
        <v>280</v>
      </c>
      <c r="B109" s="20" t="str">
        <f aca="false">VLOOKUP(A109,'Product Master'!$A$5:$K$104,2,FALSE())</f>
        <v>Classic Packaging Item 086</v>
      </c>
      <c r="C109" s="17" t="n">
        <f aca="false">SUMIF('Order Tracking'!$G$5:$G$604,A109,'Order Tracking'!$J$5:$J$604)</f>
        <v>70</v>
      </c>
      <c r="D109" s="16" t="n">
        <f aca="false">SUMIF('Order Tracking'!$G$5:$G$604,A109,'Order Tracking'!$L$5:$L$604)</f>
        <v>534206.4</v>
      </c>
      <c r="E109" s="20" t="str">
        <f aca="false">VLOOKUP(A109,'Product Master'!$A$5:$K$104,3,FALSE())</f>
        <v>Packaging</v>
      </c>
      <c r="F109" s="16" t="n">
        <f aca="false">VLOOKUP(A109,'Product Master'!$A$5:$K$104,5,FALSE())</f>
        <v>4722.46</v>
      </c>
      <c r="G109" s="16" t="n">
        <f aca="false">VLOOKUP(A109,'Product Master'!$A$5:$K$104,6,FALSE())</f>
        <v>7631.52</v>
      </c>
      <c r="H109" s="16" t="n">
        <f aca="false">G109-F109</f>
        <v>2909.06</v>
      </c>
      <c r="I109" s="16" t="n">
        <f aca="false">C109*H109</f>
        <v>203634.2</v>
      </c>
      <c r="J109" s="19" t="n">
        <f aca="false">IFERROR(H109/G109,0)</f>
        <v>0.381190116778833</v>
      </c>
      <c r="K109" s="23" t="str">
        <f aca="false">VLOOKUP(A109,'Inventory Management'!$A$5:$Q$104,16,FALSE())</f>
        <v>Overstocked</v>
      </c>
    </row>
    <row r="110" customFormat="false" ht="15" hidden="false" customHeight="false" outlineLevel="0" collapsed="false">
      <c r="A110" s="26" t="s">
        <v>281</v>
      </c>
      <c r="B110" s="27" t="str">
        <f aca="false">VLOOKUP(A110,'Product Master'!$A$5:$K$104,2,FALSE())</f>
        <v>Compact Apparel Item 087</v>
      </c>
      <c r="C110" s="28" t="n">
        <f aca="false">SUMIF('Order Tracking'!$G$5:$G$604,A110,'Order Tracking'!$J$5:$J$604)</f>
        <v>87</v>
      </c>
      <c r="D110" s="29" t="n">
        <f aca="false">SUMIF('Order Tracking'!$G$5:$G$604,A110,'Order Tracking'!$L$5:$L$604)</f>
        <v>730801.74</v>
      </c>
      <c r="E110" s="27" t="str">
        <f aca="false">VLOOKUP(A110,'Product Master'!$A$5:$K$104,3,FALSE())</f>
        <v>Apparel</v>
      </c>
      <c r="F110" s="29" t="n">
        <f aca="false">VLOOKUP(A110,'Product Master'!$A$5:$K$104,5,FALSE())</f>
        <v>5399.59</v>
      </c>
      <c r="G110" s="29" t="n">
        <f aca="false">VLOOKUP(A110,'Product Master'!$A$5:$K$104,6,FALSE())</f>
        <v>8400.02</v>
      </c>
      <c r="H110" s="29" t="n">
        <f aca="false">G110-F110</f>
        <v>3000.43</v>
      </c>
      <c r="I110" s="29" t="n">
        <f aca="false">C110*H110</f>
        <v>261037.41</v>
      </c>
      <c r="J110" s="31" t="n">
        <f aca="false">IFERROR(H110/G110,0)</f>
        <v>0.357193197159054</v>
      </c>
      <c r="K110" s="32" t="str">
        <f aca="false">VLOOKUP(A110,'Inventory Management'!$A$5:$Q$104,16,FALSE())</f>
        <v>Healthy Stock</v>
      </c>
    </row>
    <row r="111" customFormat="false" ht="15" hidden="false" customHeight="false" outlineLevel="0" collapsed="false">
      <c r="A111" s="18" t="s">
        <v>282</v>
      </c>
      <c r="B111" s="20" t="str">
        <f aca="false">VLOOKUP(A111,'Product Master'!$A$5:$K$104,2,FALSE())</f>
        <v>Premium Automotive Item 088</v>
      </c>
      <c r="C111" s="17" t="n">
        <f aca="false">SUMIF('Order Tracking'!$G$5:$G$604,A111,'Order Tracking'!$J$5:$J$604)</f>
        <v>52</v>
      </c>
      <c r="D111" s="16" t="n">
        <f aca="false">SUMIF('Order Tracking'!$G$5:$G$604,A111,'Order Tracking'!$L$5:$L$604)</f>
        <v>77143.04</v>
      </c>
      <c r="E111" s="20" t="str">
        <f aca="false">VLOOKUP(A111,'Product Master'!$A$5:$K$104,3,FALSE())</f>
        <v>Automotive</v>
      </c>
      <c r="F111" s="16" t="n">
        <f aca="false">VLOOKUP(A111,'Product Master'!$A$5:$K$104,5,FALSE())</f>
        <v>901.09</v>
      </c>
      <c r="G111" s="16" t="n">
        <f aca="false">VLOOKUP(A111,'Product Master'!$A$5:$K$104,6,FALSE())</f>
        <v>1483.52</v>
      </c>
      <c r="H111" s="16" t="n">
        <f aca="false">G111-F111</f>
        <v>582.43</v>
      </c>
      <c r="I111" s="16" t="n">
        <f aca="false">C111*H111</f>
        <v>30286.36</v>
      </c>
      <c r="J111" s="19" t="n">
        <f aca="false">IFERROR(H111/G111,0)</f>
        <v>0.392600032355479</v>
      </c>
      <c r="K111" s="23" t="str">
        <f aca="false">VLOOKUP(A111,'Inventory Management'!$A$5:$Q$104,16,FALSE())</f>
        <v>Healthy Stock</v>
      </c>
    </row>
    <row r="112" customFormat="false" ht="15" hidden="false" customHeight="false" outlineLevel="0" collapsed="false">
      <c r="A112" s="26" t="s">
        <v>283</v>
      </c>
      <c r="B112" s="27" t="str">
        <f aca="false">VLOOKUP(A112,'Product Master'!$A$5:$K$104,2,FALSE())</f>
        <v>Everyday Electronics Item 089</v>
      </c>
      <c r="C112" s="28" t="n">
        <f aca="false">SUMIF('Order Tracking'!$G$5:$G$604,A112,'Order Tracking'!$J$5:$J$604)</f>
        <v>110</v>
      </c>
      <c r="D112" s="29" t="n">
        <f aca="false">SUMIF('Order Tracking'!$G$5:$G$604,A112,'Order Tracking'!$L$5:$L$604)</f>
        <v>251055.2</v>
      </c>
      <c r="E112" s="27" t="str">
        <f aca="false">VLOOKUP(A112,'Product Master'!$A$5:$K$104,3,FALSE())</f>
        <v>Electronics</v>
      </c>
      <c r="F112" s="29" t="n">
        <f aca="false">VLOOKUP(A112,'Product Master'!$A$5:$K$104,5,FALSE())</f>
        <v>1410.28</v>
      </c>
      <c r="G112" s="29" t="n">
        <f aca="false">VLOOKUP(A112,'Product Master'!$A$5:$K$104,6,FALSE())</f>
        <v>2282.32</v>
      </c>
      <c r="H112" s="29" t="n">
        <f aca="false">G112-F112</f>
        <v>872.04</v>
      </c>
      <c r="I112" s="29" t="n">
        <f aca="false">C112*H112</f>
        <v>95924.4</v>
      </c>
      <c r="J112" s="31" t="n">
        <f aca="false">IFERROR(H112/G112,0)</f>
        <v>0.382084896070665</v>
      </c>
      <c r="K112" s="32" t="str">
        <f aca="false">VLOOKUP(A112,'Inventory Management'!$A$5:$Q$104,16,FALSE())</f>
        <v>Healthy Stock</v>
      </c>
    </row>
    <row r="113" customFormat="false" ht="15" hidden="false" customHeight="false" outlineLevel="0" collapsed="false">
      <c r="A113" s="18" t="s">
        <v>284</v>
      </c>
      <c r="B113" s="20" t="str">
        <f aca="false">VLOOKUP(A113,'Product Master'!$A$5:$K$104,2,FALSE())</f>
        <v>Compact Home Item 090</v>
      </c>
      <c r="C113" s="17" t="n">
        <f aca="false">SUMIF('Order Tracking'!$G$5:$G$604,A113,'Order Tracking'!$J$5:$J$604)</f>
        <v>67</v>
      </c>
      <c r="D113" s="16" t="n">
        <f aca="false">SUMIF('Order Tracking'!$G$5:$G$604,A113,'Order Tracking'!$L$5:$L$604)</f>
        <v>722889.13</v>
      </c>
      <c r="E113" s="20" t="str">
        <f aca="false">VLOOKUP(A113,'Product Master'!$A$5:$K$104,3,FALSE())</f>
        <v>Home &amp; Kitchen</v>
      </c>
      <c r="F113" s="16" t="n">
        <f aca="false">VLOOKUP(A113,'Product Master'!$A$5:$K$104,5,FALSE())</f>
        <v>8334.45</v>
      </c>
      <c r="G113" s="16" t="n">
        <f aca="false">VLOOKUP(A113,'Product Master'!$A$5:$K$104,6,FALSE())</f>
        <v>10789.39</v>
      </c>
      <c r="H113" s="16" t="n">
        <f aca="false">G113-F113</f>
        <v>2454.94</v>
      </c>
      <c r="I113" s="16" t="n">
        <f aca="false">C113*H113</f>
        <v>164480.98</v>
      </c>
      <c r="J113" s="19" t="n">
        <f aca="false">IFERROR(H113/G113,0)</f>
        <v>0.227532789156755</v>
      </c>
      <c r="K113" s="23" t="str">
        <f aca="false">VLOOKUP(A113,'Inventory Management'!$A$5:$Q$104,16,FALSE())</f>
        <v>Healthy Stock</v>
      </c>
    </row>
    <row r="114" customFormat="false" ht="15" hidden="false" customHeight="false" outlineLevel="0" collapsed="false">
      <c r="A114" s="26" t="s">
        <v>285</v>
      </c>
      <c r="B114" s="27" t="str">
        <f aca="false">VLOOKUP(A114,'Product Master'!$A$5:$K$104,2,FALSE())</f>
        <v>Premium Office Item 091</v>
      </c>
      <c r="C114" s="28" t="n">
        <f aca="false">SUMIF('Order Tracking'!$G$5:$G$604,A114,'Order Tracking'!$J$5:$J$604)</f>
        <v>113</v>
      </c>
      <c r="D114" s="29" t="n">
        <f aca="false">SUMIF('Order Tracking'!$G$5:$G$604,A114,'Order Tracking'!$L$5:$L$604)</f>
        <v>788410.04</v>
      </c>
      <c r="E114" s="27" t="str">
        <f aca="false">VLOOKUP(A114,'Product Master'!$A$5:$K$104,3,FALSE())</f>
        <v>Office Supplies</v>
      </c>
      <c r="F114" s="29" t="n">
        <f aca="false">VLOOKUP(A114,'Product Master'!$A$5:$K$104,5,FALSE())</f>
        <v>4379.06</v>
      </c>
      <c r="G114" s="29" t="n">
        <f aca="false">VLOOKUP(A114,'Product Master'!$A$5:$K$104,6,FALSE())</f>
        <v>6977.08</v>
      </c>
      <c r="H114" s="29" t="n">
        <f aca="false">G114-F114</f>
        <v>2598.02</v>
      </c>
      <c r="I114" s="29" t="n">
        <f aca="false">C114*H114</f>
        <v>293576.26</v>
      </c>
      <c r="J114" s="31" t="n">
        <f aca="false">IFERROR(H114/G114,0)</f>
        <v>0.372364943500719</v>
      </c>
      <c r="K114" s="32" t="str">
        <f aca="false">VLOOKUP(A114,'Inventory Management'!$A$5:$Q$104,16,FALSE())</f>
        <v>Healthy Stock</v>
      </c>
    </row>
    <row r="115" customFormat="false" ht="15" hidden="false" customHeight="false" outlineLevel="0" collapsed="false">
      <c r="A115" s="18" t="s">
        <v>286</v>
      </c>
      <c r="B115" s="20" t="str">
        <f aca="false">VLOOKUP(A115,'Product Master'!$A$5:$K$104,2,FALSE())</f>
        <v>Essential Personal Item 092</v>
      </c>
      <c r="C115" s="17" t="n">
        <f aca="false">SUMIF('Order Tracking'!$G$5:$G$604,A115,'Order Tracking'!$J$5:$J$604)</f>
        <v>58</v>
      </c>
      <c r="D115" s="16" t="n">
        <f aca="false">SUMIF('Order Tracking'!$G$5:$G$604,A115,'Order Tracking'!$L$5:$L$604)</f>
        <v>508940.72</v>
      </c>
      <c r="E115" s="20" t="str">
        <f aca="false">VLOOKUP(A115,'Product Master'!$A$5:$K$104,3,FALSE())</f>
        <v>Personal Care</v>
      </c>
      <c r="F115" s="16" t="n">
        <f aca="false">VLOOKUP(A115,'Product Master'!$A$5:$K$104,5,FALSE())</f>
        <v>6721.07</v>
      </c>
      <c r="G115" s="16" t="n">
        <f aca="false">VLOOKUP(A115,'Product Master'!$A$5:$K$104,6,FALSE())</f>
        <v>8774.84</v>
      </c>
      <c r="H115" s="16" t="n">
        <f aca="false">G115-F115</f>
        <v>2053.77</v>
      </c>
      <c r="I115" s="16" t="n">
        <f aca="false">C115*H115</f>
        <v>119118.66</v>
      </c>
      <c r="J115" s="19" t="n">
        <f aca="false">IFERROR(H115/G115,0)</f>
        <v>0.234052130865064</v>
      </c>
      <c r="K115" s="23" t="str">
        <f aca="false">VLOOKUP(A115,'Inventory Management'!$A$5:$Q$104,16,FALSE())</f>
        <v>Overstocked</v>
      </c>
    </row>
    <row r="116" customFormat="false" ht="15" hidden="false" customHeight="false" outlineLevel="0" collapsed="false">
      <c r="A116" s="26" t="s">
        <v>287</v>
      </c>
      <c r="B116" s="27" t="str">
        <f aca="false">VLOOKUP(A116,'Product Master'!$A$5:$K$104,2,FALSE())</f>
        <v>Compact Industrial Item 093</v>
      </c>
      <c r="C116" s="28" t="n">
        <f aca="false">SUMIF('Order Tracking'!$G$5:$G$604,A116,'Order Tracking'!$J$5:$J$604)</f>
        <v>127</v>
      </c>
      <c r="D116" s="29" t="n">
        <f aca="false">SUMIF('Order Tracking'!$G$5:$G$604,A116,'Order Tracking'!$L$5:$L$604)</f>
        <v>942428.9</v>
      </c>
      <c r="E116" s="27" t="str">
        <f aca="false">VLOOKUP(A116,'Product Master'!$A$5:$K$104,3,FALSE())</f>
        <v>Industrial</v>
      </c>
      <c r="F116" s="29" t="n">
        <f aca="false">VLOOKUP(A116,'Product Master'!$A$5:$K$104,5,FALSE())</f>
        <v>4979.76</v>
      </c>
      <c r="G116" s="29" t="n">
        <f aca="false">VLOOKUP(A116,'Product Master'!$A$5:$K$104,6,FALSE())</f>
        <v>7420.7</v>
      </c>
      <c r="H116" s="29" t="n">
        <f aca="false">G116-F116</f>
        <v>2440.94</v>
      </c>
      <c r="I116" s="29" t="n">
        <f aca="false">C116*H116</f>
        <v>309999.38</v>
      </c>
      <c r="J116" s="31" t="n">
        <f aca="false">IFERROR(H116/G116,0)</f>
        <v>0.328936623229614</v>
      </c>
      <c r="K116" s="32" t="str">
        <f aca="false">VLOOKUP(A116,'Inventory Management'!$A$5:$Q$104,16,FALSE())</f>
        <v>Healthy Stock</v>
      </c>
    </row>
    <row r="117" customFormat="false" ht="15" hidden="false" customHeight="false" outlineLevel="0" collapsed="false">
      <c r="A117" s="18" t="s">
        <v>288</v>
      </c>
      <c r="B117" s="20" t="str">
        <f aca="false">VLOOKUP(A117,'Product Master'!$A$5:$K$104,2,FALSE())</f>
        <v>Classic Packaging Item 094</v>
      </c>
      <c r="C117" s="17" t="n">
        <f aca="false">SUMIF('Order Tracking'!$G$5:$G$604,A117,'Order Tracking'!$J$5:$J$604)</f>
        <v>48</v>
      </c>
      <c r="D117" s="16" t="n">
        <f aca="false">SUMIF('Order Tracking'!$G$5:$G$604,A117,'Order Tracking'!$L$5:$L$604)</f>
        <v>326934.24</v>
      </c>
      <c r="E117" s="20" t="str">
        <f aca="false">VLOOKUP(A117,'Product Master'!$A$5:$K$104,3,FALSE())</f>
        <v>Packaging</v>
      </c>
      <c r="F117" s="16" t="n">
        <f aca="false">VLOOKUP(A117,'Product Master'!$A$5:$K$104,5,FALSE())</f>
        <v>4745.07</v>
      </c>
      <c r="G117" s="16" t="n">
        <f aca="false">VLOOKUP(A117,'Product Master'!$A$5:$K$104,6,FALSE())</f>
        <v>6811.13</v>
      </c>
      <c r="H117" s="16" t="n">
        <f aca="false">G117-F117</f>
        <v>2066.06</v>
      </c>
      <c r="I117" s="16" t="n">
        <f aca="false">C117*H117</f>
        <v>99170.88</v>
      </c>
      <c r="J117" s="19" t="n">
        <f aca="false">IFERROR(H117/G117,0)</f>
        <v>0.303335863505762</v>
      </c>
      <c r="K117" s="23" t="str">
        <f aca="false">VLOOKUP(A117,'Inventory Management'!$A$5:$Q$104,16,FALSE())</f>
        <v>Healthy Stock</v>
      </c>
    </row>
    <row r="118" customFormat="false" ht="15" hidden="false" customHeight="false" outlineLevel="0" collapsed="false">
      <c r="A118" s="26" t="s">
        <v>289</v>
      </c>
      <c r="B118" s="27" t="str">
        <f aca="false">VLOOKUP(A118,'Product Master'!$A$5:$K$104,2,FALSE())</f>
        <v>Eco Apparel Item 095</v>
      </c>
      <c r="C118" s="28" t="n">
        <f aca="false">SUMIF('Order Tracking'!$G$5:$G$604,A118,'Order Tracking'!$J$5:$J$604)</f>
        <v>131</v>
      </c>
      <c r="D118" s="29" t="n">
        <f aca="false">SUMIF('Order Tracking'!$G$5:$G$604,A118,'Order Tracking'!$L$5:$L$604)</f>
        <v>377910.11</v>
      </c>
      <c r="E118" s="27" t="str">
        <f aca="false">VLOOKUP(A118,'Product Master'!$A$5:$K$104,3,FALSE())</f>
        <v>Apparel</v>
      </c>
      <c r="F118" s="29" t="n">
        <f aca="false">VLOOKUP(A118,'Product Master'!$A$5:$K$104,5,FALSE())</f>
        <v>2121.19</v>
      </c>
      <c r="G118" s="29" t="n">
        <f aca="false">VLOOKUP(A118,'Product Master'!$A$5:$K$104,6,FALSE())</f>
        <v>2884.81</v>
      </c>
      <c r="H118" s="29" t="n">
        <f aca="false">G118-F118</f>
        <v>763.62</v>
      </c>
      <c r="I118" s="29" t="n">
        <f aca="false">C118*H118</f>
        <v>100034.22</v>
      </c>
      <c r="J118" s="31" t="n">
        <f aca="false">IFERROR(H118/G118,0)</f>
        <v>0.264703741320919</v>
      </c>
      <c r="K118" s="32" t="str">
        <f aca="false">VLOOKUP(A118,'Inventory Management'!$A$5:$Q$104,16,FALSE())</f>
        <v>Healthy Stock</v>
      </c>
    </row>
    <row r="119" customFormat="false" ht="15" hidden="false" customHeight="false" outlineLevel="0" collapsed="false">
      <c r="A119" s="18" t="s">
        <v>290</v>
      </c>
      <c r="B119" s="20" t="str">
        <f aca="false">VLOOKUP(A119,'Product Master'!$A$5:$K$104,2,FALSE())</f>
        <v>Eco Automotive Item 096</v>
      </c>
      <c r="C119" s="17" t="n">
        <f aca="false">SUMIF('Order Tracking'!$G$5:$G$604,A119,'Order Tracking'!$J$5:$J$604)</f>
        <v>68</v>
      </c>
      <c r="D119" s="16" t="n">
        <f aca="false">SUMIF('Order Tracking'!$G$5:$G$604,A119,'Order Tracking'!$L$5:$L$604)</f>
        <v>640200.96</v>
      </c>
      <c r="E119" s="20" t="str">
        <f aca="false">VLOOKUP(A119,'Product Master'!$A$5:$K$104,3,FALSE())</f>
        <v>Automotive</v>
      </c>
      <c r="F119" s="16" t="n">
        <f aca="false">VLOOKUP(A119,'Product Master'!$A$5:$K$104,5,FALSE())</f>
        <v>6029.81</v>
      </c>
      <c r="G119" s="16" t="n">
        <f aca="false">VLOOKUP(A119,'Product Master'!$A$5:$K$104,6,FALSE())</f>
        <v>9414.72</v>
      </c>
      <c r="H119" s="16" t="n">
        <f aca="false">G119-F119</f>
        <v>3384.91</v>
      </c>
      <c r="I119" s="16" t="n">
        <f aca="false">C119*H119</f>
        <v>230173.88</v>
      </c>
      <c r="J119" s="19" t="n">
        <f aca="false">IFERROR(H119/G119,0)</f>
        <v>0.359533793888719</v>
      </c>
      <c r="K119" s="23" t="str">
        <f aca="false">VLOOKUP(A119,'Inventory Management'!$A$5:$Q$104,16,FALSE())</f>
        <v>Healthy Stock</v>
      </c>
    </row>
    <row r="120" customFormat="false" ht="15" hidden="false" customHeight="false" outlineLevel="0" collapsed="false">
      <c r="A120" s="26" t="s">
        <v>291</v>
      </c>
      <c r="B120" s="27" t="str">
        <f aca="false">VLOOKUP(A120,'Product Master'!$A$5:$K$104,2,FALSE())</f>
        <v>Smart Electronics Item 097</v>
      </c>
      <c r="C120" s="28" t="n">
        <f aca="false">SUMIF('Order Tracking'!$G$5:$G$604,A120,'Order Tracking'!$J$5:$J$604)</f>
        <v>30</v>
      </c>
      <c r="D120" s="29" t="n">
        <f aca="false">SUMIF('Order Tracking'!$G$5:$G$604,A120,'Order Tracking'!$L$5:$L$604)</f>
        <v>57732.6</v>
      </c>
      <c r="E120" s="27" t="str">
        <f aca="false">VLOOKUP(A120,'Product Master'!$A$5:$K$104,3,FALSE())</f>
        <v>Electronics</v>
      </c>
      <c r="F120" s="29" t="n">
        <f aca="false">VLOOKUP(A120,'Product Master'!$A$5:$K$104,5,FALSE())</f>
        <v>1177.94</v>
      </c>
      <c r="G120" s="29" t="n">
        <f aca="false">VLOOKUP(A120,'Product Master'!$A$5:$K$104,6,FALSE())</f>
        <v>1924.42</v>
      </c>
      <c r="H120" s="29" t="n">
        <f aca="false">G120-F120</f>
        <v>746.48</v>
      </c>
      <c r="I120" s="29" t="n">
        <f aca="false">C120*H120</f>
        <v>22394.4</v>
      </c>
      <c r="J120" s="31" t="n">
        <f aca="false">IFERROR(H120/G120,0)</f>
        <v>0.387898691553819</v>
      </c>
      <c r="K120" s="32" t="str">
        <f aca="false">VLOOKUP(A120,'Inventory Management'!$A$5:$Q$104,16,FALSE())</f>
        <v>Healthy Stock</v>
      </c>
    </row>
    <row r="121" customFormat="false" ht="15" hidden="false" customHeight="false" outlineLevel="0" collapsed="false">
      <c r="A121" s="18" t="s">
        <v>292</v>
      </c>
      <c r="B121" s="20" t="str">
        <f aca="false">VLOOKUP(A121,'Product Master'!$A$5:$K$104,2,FALSE())</f>
        <v>Compact Home Item 098</v>
      </c>
      <c r="C121" s="17" t="n">
        <f aca="false">SUMIF('Order Tracking'!$G$5:$G$604,A121,'Order Tracking'!$J$5:$J$604)</f>
        <v>60</v>
      </c>
      <c r="D121" s="16" t="n">
        <f aca="false">SUMIF('Order Tracking'!$G$5:$G$604,A121,'Order Tracking'!$L$5:$L$604)</f>
        <v>552018.6</v>
      </c>
      <c r="E121" s="20" t="str">
        <f aca="false">VLOOKUP(A121,'Product Master'!$A$5:$K$104,3,FALSE())</f>
        <v>Home &amp; Kitchen</v>
      </c>
      <c r="F121" s="16" t="n">
        <f aca="false">VLOOKUP(A121,'Product Master'!$A$5:$K$104,5,FALSE())</f>
        <v>7749.5</v>
      </c>
      <c r="G121" s="16" t="n">
        <f aca="false">VLOOKUP(A121,'Product Master'!$A$5:$K$104,6,FALSE())</f>
        <v>9200.31</v>
      </c>
      <c r="H121" s="16" t="n">
        <f aca="false">G121-F121</f>
        <v>1450.81</v>
      </c>
      <c r="I121" s="16" t="n">
        <f aca="false">C121*H121</f>
        <v>87048.6</v>
      </c>
      <c r="J121" s="19" t="n">
        <f aca="false">IFERROR(H121/G121,0)</f>
        <v>0.157691425615006</v>
      </c>
      <c r="K121" s="23" t="str">
        <f aca="false">VLOOKUP(A121,'Inventory Management'!$A$5:$Q$104,16,FALSE())</f>
        <v>Overstocked</v>
      </c>
    </row>
    <row r="122" customFormat="false" ht="15" hidden="false" customHeight="false" outlineLevel="0" collapsed="false">
      <c r="A122" s="26" t="s">
        <v>293</v>
      </c>
      <c r="B122" s="27" t="str">
        <f aca="false">VLOOKUP(A122,'Product Master'!$A$5:$K$104,2,FALSE())</f>
        <v>Eco Office Item 099</v>
      </c>
      <c r="C122" s="28" t="n">
        <f aca="false">SUMIF('Order Tracking'!$G$5:$G$604,A122,'Order Tracking'!$J$5:$J$604)</f>
        <v>129</v>
      </c>
      <c r="D122" s="29" t="n">
        <f aca="false">SUMIF('Order Tracking'!$G$5:$G$604,A122,'Order Tracking'!$L$5:$L$604)</f>
        <v>1122345.15</v>
      </c>
      <c r="E122" s="27" t="str">
        <f aca="false">VLOOKUP(A122,'Product Master'!$A$5:$K$104,3,FALSE())</f>
        <v>Office Supplies</v>
      </c>
      <c r="F122" s="29" t="n">
        <f aca="false">VLOOKUP(A122,'Product Master'!$A$5:$K$104,5,FALSE())</f>
        <v>6669.18</v>
      </c>
      <c r="G122" s="29" t="n">
        <f aca="false">VLOOKUP(A122,'Product Master'!$A$5:$K$104,6,FALSE())</f>
        <v>8700.35</v>
      </c>
      <c r="H122" s="29" t="n">
        <f aca="false">G122-F122</f>
        <v>2031.17</v>
      </c>
      <c r="I122" s="29" t="n">
        <f aca="false">C122*H122</f>
        <v>262020.93</v>
      </c>
      <c r="J122" s="31" t="n">
        <f aca="false">IFERROR(H122/G122,0)</f>
        <v>0.233458424086387</v>
      </c>
      <c r="K122" s="32" t="str">
        <f aca="false">VLOOKUP(A122,'Inventory Management'!$A$5:$Q$104,16,FALSE())</f>
        <v>Healthy Stock</v>
      </c>
    </row>
    <row r="123" customFormat="false" ht="15" hidden="false" customHeight="false" outlineLevel="0" collapsed="false">
      <c r="A123" s="18" t="s">
        <v>294</v>
      </c>
      <c r="B123" s="20" t="str">
        <f aca="false">VLOOKUP(A123,'Product Master'!$A$5:$K$104,2,FALSE())</f>
        <v>Smart Personal Item 100</v>
      </c>
      <c r="C123" s="17" t="n">
        <f aca="false">SUMIF('Order Tracking'!$G$5:$G$604,A123,'Order Tracking'!$J$5:$J$604)</f>
        <v>74</v>
      </c>
      <c r="D123" s="16" t="n">
        <f aca="false">SUMIF('Order Tracking'!$G$5:$G$604,A123,'Order Tracking'!$L$5:$L$604)</f>
        <v>736058.76</v>
      </c>
      <c r="E123" s="20" t="str">
        <f aca="false">VLOOKUP(A123,'Product Master'!$A$5:$K$104,3,FALSE())</f>
        <v>Personal Care</v>
      </c>
      <c r="F123" s="16" t="n">
        <f aca="false">VLOOKUP(A123,'Product Master'!$A$5:$K$104,5,FALSE())</f>
        <v>7321.29</v>
      </c>
      <c r="G123" s="16" t="n">
        <f aca="false">VLOOKUP(A123,'Product Master'!$A$5:$K$104,6,FALSE())</f>
        <v>9946.74</v>
      </c>
      <c r="H123" s="16" t="n">
        <f aca="false">G123-F123</f>
        <v>2625.45</v>
      </c>
      <c r="I123" s="16" t="n">
        <f aca="false">C123*H123</f>
        <v>194283.3</v>
      </c>
      <c r="J123" s="19" t="n">
        <f aca="false">IFERROR(H123/G123,0)</f>
        <v>0.263950801971299</v>
      </c>
      <c r="K123" s="23" t="str">
        <f aca="false">VLOOKUP(A123,'Inventory Management'!$A$5:$Q$104,16,FALSE())</f>
        <v>Healthy Stock</v>
      </c>
    </row>
  </sheetData>
  <mergeCells count="20">
    <mergeCell ref="A1:R1"/>
    <mergeCell ref="A2:R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1:E11"/>
    <mergeCell ref="A22:K22"/>
  </mergeCells>
  <conditionalFormatting sqref="K24:K123">
    <cfRule type="cellIs" priority="2" operator="equal" dxfId="0">
      <formula>"Out of Stock"</formula>
    </cfRule>
    <cfRule type="cellIs" priority="3" operator="equal" dxfId="1">
      <formula>"Low Stock"</formula>
    </cfRule>
    <cfRule type="cellIs" priority="4" operator="equal" dxfId="2">
      <formula>"Healthy Stock"</formula>
    </cfRule>
    <cfRule type="cellIs" priority="5" operator="equal" dxfId="3">
      <formula>"Overstocked"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1"/>
    <col collapsed="false" customWidth="true" hidden="false" outlineLevel="0" max="10" min="9" style="0" width="20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26"/>
    <col collapsed="false" customWidth="true" hidden="false" outlineLevel="0" max="16" min="16" style="0" width="2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0" min="20" style="0" width="25"/>
  </cols>
  <sheetData>
    <row r="1" customFormat="false" ht="27.75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9.75" hidden="false" customHeight="true" outlineLevel="0" collapsed="false"/>
    <row r="4" customFormat="false" ht="24" hidden="false" customHeight="true" outlineLevel="0" collapsed="false">
      <c r="A4" s="8" t="s">
        <v>126</v>
      </c>
      <c r="B4" s="8" t="s">
        <v>127</v>
      </c>
      <c r="C4" s="8" t="s">
        <v>297</v>
      </c>
      <c r="D4" s="14" t="s">
        <v>128</v>
      </c>
      <c r="E4" s="8" t="s">
        <v>102</v>
      </c>
      <c r="F4" s="14" t="s">
        <v>75</v>
      </c>
      <c r="G4" s="8" t="s">
        <v>86</v>
      </c>
      <c r="H4" s="14" t="s">
        <v>87</v>
      </c>
      <c r="I4" s="14" t="s">
        <v>183</v>
      </c>
      <c r="J4" s="8" t="s">
        <v>298</v>
      </c>
      <c r="K4" s="8" t="s">
        <v>299</v>
      </c>
      <c r="L4" s="8" t="s">
        <v>300</v>
      </c>
      <c r="M4" s="8" t="s">
        <v>101</v>
      </c>
      <c r="N4" s="8" t="s">
        <v>301</v>
      </c>
      <c r="O4" s="8" t="s">
        <v>302</v>
      </c>
      <c r="P4" s="8" t="s">
        <v>303</v>
      </c>
      <c r="Q4" s="8" t="s">
        <v>304</v>
      </c>
      <c r="R4" s="8" t="s">
        <v>305</v>
      </c>
      <c r="S4" s="8" t="s">
        <v>306</v>
      </c>
      <c r="T4" s="14" t="s">
        <v>104</v>
      </c>
    </row>
    <row r="5" customFormat="false" ht="15" hidden="false" customHeight="false" outlineLevel="0" collapsed="false">
      <c r="A5" s="18" t="s">
        <v>307</v>
      </c>
      <c r="B5" s="25" t="n">
        <v>46046</v>
      </c>
      <c r="C5" s="18" t="s">
        <v>308</v>
      </c>
      <c r="D5" s="20" t="s">
        <v>309</v>
      </c>
      <c r="E5" s="18" t="s">
        <v>107</v>
      </c>
      <c r="F5" s="20" t="s">
        <v>79</v>
      </c>
      <c r="G5" s="18" t="s">
        <v>233</v>
      </c>
      <c r="H5" s="20" t="str">
        <f aca="false">VLOOKUP(G5,'Product Master'!$A$5:$K$104,2,FALSE())</f>
        <v>Eco Apparel Item 039</v>
      </c>
      <c r="I5" s="20" t="str">
        <f aca="false">VLOOKUP(G5,'Product Master'!$A$5:$K$104,3,FALSE())</f>
        <v>Apparel</v>
      </c>
      <c r="J5" s="17" t="n">
        <v>2</v>
      </c>
      <c r="K5" s="16" t="n">
        <v>3575.06</v>
      </c>
      <c r="L5" s="16" t="n">
        <f aca="false">J5*K5</f>
        <v>7150.12</v>
      </c>
      <c r="M5" s="18" t="s">
        <v>35</v>
      </c>
      <c r="N5" s="25" t="n">
        <v>46047</v>
      </c>
      <c r="O5" s="25" t="n">
        <v>46054</v>
      </c>
      <c r="P5" s="25" t="n">
        <v>46056</v>
      </c>
      <c r="Q5" s="17" t="n">
        <f aca="false">IF(P5&lt;&gt;"",MAX(1,P5-B5),IF(M5="Dispatched",MAX(1,O5-B5),0))</f>
        <v>10</v>
      </c>
      <c r="R5" s="17" t="n">
        <f aca="false">IF(M5="Cancelled",0,IF(P5&lt;&gt;"",MAX(0,P5-O5),IF(T5&lt;&gt;"None",MAX(1,O5-B5-2),0)))</f>
        <v>2</v>
      </c>
      <c r="S5" s="18" t="s">
        <v>310</v>
      </c>
      <c r="T5" s="20" t="s">
        <v>106</v>
      </c>
    </row>
    <row r="6" customFormat="false" ht="15" hidden="false" customHeight="false" outlineLevel="0" collapsed="false">
      <c r="A6" s="26" t="s">
        <v>311</v>
      </c>
      <c r="B6" s="34" t="n">
        <v>46161</v>
      </c>
      <c r="C6" s="26" t="s">
        <v>312</v>
      </c>
      <c r="D6" s="27" t="s">
        <v>313</v>
      </c>
      <c r="E6" s="26" t="s">
        <v>105</v>
      </c>
      <c r="F6" s="27" t="s">
        <v>80</v>
      </c>
      <c r="G6" s="26" t="s">
        <v>242</v>
      </c>
      <c r="H6" s="27" t="str">
        <f aca="false">VLOOKUP(G6,'Product Master'!$A$5:$K$104,2,FALSE())</f>
        <v>Eco Automotive Item 048</v>
      </c>
      <c r="I6" s="27" t="str">
        <f aca="false">VLOOKUP(G6,'Product Master'!$A$5:$K$104,3,FALSE())</f>
        <v>Automotive</v>
      </c>
      <c r="J6" s="28" t="n">
        <v>24</v>
      </c>
      <c r="K6" s="29" t="n">
        <v>444.67</v>
      </c>
      <c r="L6" s="29" t="n">
        <f aca="false">J6*K6</f>
        <v>10672.08</v>
      </c>
      <c r="M6" s="26" t="s">
        <v>41</v>
      </c>
      <c r="N6" s="34" t="n">
        <v>46163</v>
      </c>
      <c r="O6" s="34" t="n">
        <v>46167</v>
      </c>
      <c r="P6" s="34"/>
      <c r="Q6" s="28" t="n">
        <f aca="false">IF(P6&lt;&gt;"",MAX(1,P6-B6),IF(M6="Dispatched",MAX(1,O6-B6),0))</f>
        <v>6</v>
      </c>
      <c r="R6" s="28" t="n">
        <f aca="false">IF(M6="Cancelled",0,IF(P6&lt;&gt;"",MAX(0,P6-O6),IF(T6&lt;&gt;"None",MAX(1,O6-B6-2),0)))</f>
        <v>4</v>
      </c>
      <c r="S6" s="26" t="s">
        <v>310</v>
      </c>
      <c r="T6" s="27" t="s">
        <v>115</v>
      </c>
    </row>
    <row r="7" customFormat="false" ht="15" hidden="false" customHeight="false" outlineLevel="0" collapsed="false">
      <c r="A7" s="18" t="s">
        <v>314</v>
      </c>
      <c r="B7" s="25" t="n">
        <v>46231</v>
      </c>
      <c r="C7" s="18" t="s">
        <v>315</v>
      </c>
      <c r="D7" s="20" t="s">
        <v>316</v>
      </c>
      <c r="E7" s="18" t="s">
        <v>113</v>
      </c>
      <c r="F7" s="20" t="s">
        <v>77</v>
      </c>
      <c r="G7" s="18" t="s">
        <v>287</v>
      </c>
      <c r="H7" s="20" t="str">
        <f aca="false">VLOOKUP(G7,'Product Master'!$A$5:$K$104,2,FALSE())</f>
        <v>Compact Industrial Item 093</v>
      </c>
      <c r="I7" s="20" t="str">
        <f aca="false">VLOOKUP(G7,'Product Master'!$A$5:$K$104,3,FALSE())</f>
        <v>Industrial</v>
      </c>
      <c r="J7" s="17" t="n">
        <v>16</v>
      </c>
      <c r="K7" s="16" t="n">
        <v>7420.7</v>
      </c>
      <c r="L7" s="16" t="n">
        <f aca="false">J7*K7</f>
        <v>118731.2</v>
      </c>
      <c r="M7" s="18" t="s">
        <v>35</v>
      </c>
      <c r="N7" s="25" t="n">
        <v>46233</v>
      </c>
      <c r="O7" s="25" t="n">
        <v>46238</v>
      </c>
      <c r="P7" s="25" t="n">
        <v>46234</v>
      </c>
      <c r="Q7" s="17" t="n">
        <f aca="false">IF(P7&lt;&gt;"",MAX(1,P7-B7),IF(M7="Dispatched",MAX(1,O7-B7),0))</f>
        <v>3</v>
      </c>
      <c r="R7" s="17" t="n">
        <f aca="false">IF(M7="Cancelled",0,IF(P7&lt;&gt;"",MAX(0,P7-O7),IF(T7&lt;&gt;"None",MAX(1,O7-B7-2),0)))</f>
        <v>0</v>
      </c>
      <c r="S7" s="18" t="s">
        <v>310</v>
      </c>
      <c r="T7" s="20" t="s">
        <v>317</v>
      </c>
    </row>
    <row r="8" customFormat="false" ht="15" hidden="false" customHeight="false" outlineLevel="0" collapsed="false">
      <c r="A8" s="26" t="s">
        <v>318</v>
      </c>
      <c r="B8" s="34" t="n">
        <v>46176</v>
      </c>
      <c r="C8" s="26" t="s">
        <v>319</v>
      </c>
      <c r="D8" s="27" t="s">
        <v>320</v>
      </c>
      <c r="E8" s="26" t="s">
        <v>113</v>
      </c>
      <c r="F8" s="27" t="s">
        <v>77</v>
      </c>
      <c r="G8" s="26" t="s">
        <v>226</v>
      </c>
      <c r="H8" s="27" t="str">
        <f aca="false">VLOOKUP(G8,'Product Master'!$A$5:$K$104,2,FALSE())</f>
        <v>Smart Automotive Item 032</v>
      </c>
      <c r="I8" s="27" t="str">
        <f aca="false">VLOOKUP(G8,'Product Master'!$A$5:$K$104,3,FALSE())</f>
        <v>Automotive</v>
      </c>
      <c r="J8" s="28" t="n">
        <v>13</v>
      </c>
      <c r="K8" s="29" t="n">
        <v>10211.16</v>
      </c>
      <c r="L8" s="29" t="n">
        <f aca="false">J8*K8</f>
        <v>132745.08</v>
      </c>
      <c r="M8" s="26" t="s">
        <v>41</v>
      </c>
      <c r="N8" s="34" t="n">
        <v>46178</v>
      </c>
      <c r="O8" s="34" t="n">
        <v>46183</v>
      </c>
      <c r="P8" s="34"/>
      <c r="Q8" s="28" t="n">
        <f aca="false">IF(P8&lt;&gt;"",MAX(1,P8-B8),IF(M8="Dispatched",MAX(1,O8-B8),0))</f>
        <v>7</v>
      </c>
      <c r="R8" s="28" t="n">
        <f aca="false">IF(M8="Cancelled",0,IF(P8&lt;&gt;"",MAX(0,P8-O8),IF(T8&lt;&gt;"None",MAX(1,O8-B8-2),0)))</f>
        <v>0</v>
      </c>
      <c r="S8" s="26" t="s">
        <v>310</v>
      </c>
      <c r="T8" s="27" t="s">
        <v>317</v>
      </c>
    </row>
    <row r="9" customFormat="false" ht="15" hidden="false" customHeight="false" outlineLevel="0" collapsed="false">
      <c r="A9" s="18" t="s">
        <v>321</v>
      </c>
      <c r="B9" s="25" t="n">
        <v>46088</v>
      </c>
      <c r="C9" s="18" t="s">
        <v>322</v>
      </c>
      <c r="D9" s="20" t="s">
        <v>323</v>
      </c>
      <c r="E9" s="18" t="s">
        <v>109</v>
      </c>
      <c r="F9" s="20" t="s">
        <v>80</v>
      </c>
      <c r="G9" s="18" t="s">
        <v>228</v>
      </c>
      <c r="H9" s="20" t="str">
        <f aca="false">VLOOKUP(G9,'Product Master'!$A$5:$K$104,2,FALSE())</f>
        <v>Classic Home Item 034</v>
      </c>
      <c r="I9" s="20" t="str">
        <f aca="false">VLOOKUP(G9,'Product Master'!$A$5:$K$104,3,FALSE())</f>
        <v>Home &amp; Kitchen</v>
      </c>
      <c r="J9" s="17" t="n">
        <v>16</v>
      </c>
      <c r="K9" s="16" t="n">
        <v>3243.31</v>
      </c>
      <c r="L9" s="16" t="n">
        <f aca="false">J9*K9</f>
        <v>51892.96</v>
      </c>
      <c r="M9" s="18" t="s">
        <v>35</v>
      </c>
      <c r="N9" s="25" t="n">
        <v>46090</v>
      </c>
      <c r="O9" s="25" t="n">
        <v>46097</v>
      </c>
      <c r="P9" s="25" t="n">
        <v>46097</v>
      </c>
      <c r="Q9" s="17" t="n">
        <f aca="false">IF(P9&lt;&gt;"",MAX(1,P9-B9),IF(M9="Dispatched",MAX(1,O9-B9),0))</f>
        <v>9</v>
      </c>
      <c r="R9" s="17" t="n">
        <f aca="false">IF(M9="Cancelled",0,IF(P9&lt;&gt;"",MAX(0,P9-O9),IF(T9&lt;&gt;"None",MAX(1,O9-B9-2),0)))</f>
        <v>0</v>
      </c>
      <c r="S9" s="18" t="s">
        <v>310</v>
      </c>
      <c r="T9" s="20" t="s">
        <v>317</v>
      </c>
    </row>
    <row r="10" customFormat="false" ht="15" hidden="false" customHeight="false" outlineLevel="0" collapsed="false">
      <c r="A10" s="26" t="s">
        <v>324</v>
      </c>
      <c r="B10" s="34" t="n">
        <v>46044</v>
      </c>
      <c r="C10" s="26" t="s">
        <v>325</v>
      </c>
      <c r="D10" s="27" t="s">
        <v>326</v>
      </c>
      <c r="E10" s="26" t="s">
        <v>107</v>
      </c>
      <c r="F10" s="27" t="s">
        <v>76</v>
      </c>
      <c r="G10" s="26" t="s">
        <v>289</v>
      </c>
      <c r="H10" s="27" t="str">
        <f aca="false">VLOOKUP(G10,'Product Master'!$A$5:$K$104,2,FALSE())</f>
        <v>Eco Apparel Item 095</v>
      </c>
      <c r="I10" s="27" t="str">
        <f aca="false">VLOOKUP(G10,'Product Master'!$A$5:$K$104,3,FALSE())</f>
        <v>Apparel</v>
      </c>
      <c r="J10" s="28" t="n">
        <v>9</v>
      </c>
      <c r="K10" s="29" t="n">
        <v>2884.81</v>
      </c>
      <c r="L10" s="29" t="n">
        <f aca="false">J10*K10</f>
        <v>25963.29</v>
      </c>
      <c r="M10" s="26" t="s">
        <v>35</v>
      </c>
      <c r="N10" s="34" t="n">
        <v>46046</v>
      </c>
      <c r="O10" s="34" t="n">
        <v>46052</v>
      </c>
      <c r="P10" s="34" t="n">
        <v>46051</v>
      </c>
      <c r="Q10" s="28" t="n">
        <f aca="false">IF(P10&lt;&gt;"",MAX(1,P10-B10),IF(M10="Dispatched",MAX(1,O10-B10),0))</f>
        <v>7</v>
      </c>
      <c r="R10" s="28" t="n">
        <f aca="false">IF(M10="Cancelled",0,IF(P10&lt;&gt;"",MAX(0,P10-O10),IF(T10&lt;&gt;"None",MAX(1,O10-B10-2),0)))</f>
        <v>0</v>
      </c>
      <c r="S10" s="26" t="s">
        <v>310</v>
      </c>
      <c r="T10" s="27" t="s">
        <v>317</v>
      </c>
    </row>
    <row r="11" customFormat="false" ht="15" hidden="false" customHeight="false" outlineLevel="0" collapsed="false">
      <c r="A11" s="18" t="s">
        <v>327</v>
      </c>
      <c r="B11" s="25" t="n">
        <v>46056</v>
      </c>
      <c r="C11" s="18" t="s">
        <v>328</v>
      </c>
      <c r="D11" s="20" t="s">
        <v>329</v>
      </c>
      <c r="E11" s="18" t="s">
        <v>113</v>
      </c>
      <c r="F11" s="20" t="s">
        <v>78</v>
      </c>
      <c r="G11" s="18" t="s">
        <v>258</v>
      </c>
      <c r="H11" s="20" t="str">
        <f aca="false">VLOOKUP(G11,'Product Master'!$A$5:$K$104,2,FALSE())</f>
        <v>Compact Automotive Item 064</v>
      </c>
      <c r="I11" s="20" t="str">
        <f aca="false">VLOOKUP(G11,'Product Master'!$A$5:$K$104,3,FALSE())</f>
        <v>Automotive</v>
      </c>
      <c r="J11" s="17" t="n">
        <v>9</v>
      </c>
      <c r="K11" s="16" t="n">
        <v>4156.81</v>
      </c>
      <c r="L11" s="16" t="n">
        <f aca="false">J11*K11</f>
        <v>37411.29</v>
      </c>
      <c r="M11" s="18" t="s">
        <v>39</v>
      </c>
      <c r="N11" s="25"/>
      <c r="O11" s="25" t="n">
        <v>46065</v>
      </c>
      <c r="P11" s="25"/>
      <c r="Q11" s="17" t="n">
        <f aca="false">IF(P11&lt;&gt;"",MAX(1,P11-B11),IF(M11="Dispatched",MAX(1,O11-B11),0))</f>
        <v>0</v>
      </c>
      <c r="R11" s="17" t="n">
        <f aca="false">IF(M11="Cancelled",0,IF(P11&lt;&gt;"",MAX(0,P11-O11),IF(T11&lt;&gt;"None",MAX(1,O11-B11-2),0)))</f>
        <v>0</v>
      </c>
      <c r="S11" s="18" t="s">
        <v>37</v>
      </c>
      <c r="T11" s="20" t="s">
        <v>317</v>
      </c>
    </row>
    <row r="12" customFormat="false" ht="15" hidden="false" customHeight="false" outlineLevel="0" collapsed="false">
      <c r="A12" s="26" t="s">
        <v>330</v>
      </c>
      <c r="B12" s="34" t="n">
        <v>46017</v>
      </c>
      <c r="C12" s="26" t="s">
        <v>331</v>
      </c>
      <c r="D12" s="27" t="s">
        <v>332</v>
      </c>
      <c r="E12" s="26" t="s">
        <v>113</v>
      </c>
      <c r="F12" s="27" t="s">
        <v>79</v>
      </c>
      <c r="G12" s="26" t="s">
        <v>212</v>
      </c>
      <c r="H12" s="27" t="str">
        <f aca="false">VLOOKUP(G12,'Product Master'!$A$5:$K$104,2,FALSE())</f>
        <v>Smart Home Item 018</v>
      </c>
      <c r="I12" s="27" t="str">
        <f aca="false">VLOOKUP(G12,'Product Master'!$A$5:$K$104,3,FALSE())</f>
        <v>Home &amp; Kitchen</v>
      </c>
      <c r="J12" s="28" t="n">
        <v>6</v>
      </c>
      <c r="K12" s="29" t="n">
        <v>5693.61</v>
      </c>
      <c r="L12" s="29" t="n">
        <f aca="false">J12*K12</f>
        <v>34161.66</v>
      </c>
      <c r="M12" s="26" t="s">
        <v>41</v>
      </c>
      <c r="N12" s="34" t="n">
        <v>46017</v>
      </c>
      <c r="O12" s="34" t="n">
        <v>46019</v>
      </c>
      <c r="P12" s="34"/>
      <c r="Q12" s="28" t="n">
        <f aca="false">IF(P12&lt;&gt;"",MAX(1,P12-B12),IF(M12="Dispatched",MAX(1,O12-B12),0))</f>
        <v>2</v>
      </c>
      <c r="R12" s="28" t="n">
        <f aca="false">IF(M12="Cancelled",0,IF(P12&lt;&gt;"",MAX(0,P12-O12),IF(T12&lt;&gt;"None",MAX(1,O12-B12-2),0)))</f>
        <v>1</v>
      </c>
      <c r="S12" s="26" t="s">
        <v>310</v>
      </c>
      <c r="T12" s="27" t="s">
        <v>115</v>
      </c>
    </row>
    <row r="13" customFormat="false" ht="15" hidden="false" customHeight="false" outlineLevel="0" collapsed="false">
      <c r="A13" s="18" t="s">
        <v>333</v>
      </c>
      <c r="B13" s="25" t="n">
        <v>45934</v>
      </c>
      <c r="C13" s="18" t="s">
        <v>334</v>
      </c>
      <c r="D13" s="20" t="s">
        <v>335</v>
      </c>
      <c r="E13" s="18" t="s">
        <v>107</v>
      </c>
      <c r="F13" s="20" t="s">
        <v>77</v>
      </c>
      <c r="G13" s="18" t="s">
        <v>247</v>
      </c>
      <c r="H13" s="20" t="str">
        <f aca="false">VLOOKUP(G13,'Product Master'!$A$5:$K$104,2,FALSE())</f>
        <v>Classic Industrial Item 053</v>
      </c>
      <c r="I13" s="20" t="str">
        <f aca="false">VLOOKUP(G13,'Product Master'!$A$5:$K$104,3,FALSE())</f>
        <v>Industrial</v>
      </c>
      <c r="J13" s="17" t="n">
        <v>3</v>
      </c>
      <c r="K13" s="16" t="n">
        <v>10730.84</v>
      </c>
      <c r="L13" s="16" t="n">
        <f aca="false">J13*K13</f>
        <v>32192.52</v>
      </c>
      <c r="M13" s="18" t="s">
        <v>39</v>
      </c>
      <c r="N13" s="25"/>
      <c r="O13" s="25" t="n">
        <v>45936</v>
      </c>
      <c r="P13" s="25"/>
      <c r="Q13" s="17" t="n">
        <f aca="false">IF(P13&lt;&gt;"",MAX(1,P13-B13),IF(M13="Dispatched",MAX(1,O13-B13),0))</f>
        <v>0</v>
      </c>
      <c r="R13" s="17" t="n">
        <f aca="false">IF(M13="Cancelled",0,IF(P13&lt;&gt;"",MAX(0,P13-O13),IF(T13&lt;&gt;"None",MAX(1,O13-B13-2),0)))</f>
        <v>0</v>
      </c>
      <c r="S13" s="18" t="s">
        <v>310</v>
      </c>
      <c r="T13" s="20" t="s">
        <v>317</v>
      </c>
    </row>
    <row r="14" customFormat="false" ht="15" hidden="false" customHeight="false" outlineLevel="0" collapsed="false">
      <c r="A14" s="26" t="s">
        <v>336</v>
      </c>
      <c r="B14" s="34" t="n">
        <v>46257</v>
      </c>
      <c r="C14" s="26" t="s">
        <v>337</v>
      </c>
      <c r="D14" s="27" t="s">
        <v>338</v>
      </c>
      <c r="E14" s="26" t="s">
        <v>113</v>
      </c>
      <c r="F14" s="27" t="s">
        <v>79</v>
      </c>
      <c r="G14" s="26" t="s">
        <v>280</v>
      </c>
      <c r="H14" s="27" t="str">
        <f aca="false">VLOOKUP(G14,'Product Master'!$A$5:$K$104,2,FALSE())</f>
        <v>Classic Packaging Item 086</v>
      </c>
      <c r="I14" s="27" t="str">
        <f aca="false">VLOOKUP(G14,'Product Master'!$A$5:$K$104,3,FALSE())</f>
        <v>Packaging</v>
      </c>
      <c r="J14" s="28" t="n">
        <v>22</v>
      </c>
      <c r="K14" s="29" t="n">
        <v>7631.52</v>
      </c>
      <c r="L14" s="29" t="n">
        <f aca="false">J14*K14</f>
        <v>167893.44</v>
      </c>
      <c r="M14" s="26" t="s">
        <v>35</v>
      </c>
      <c r="N14" s="34" t="n">
        <v>46260</v>
      </c>
      <c r="O14" s="34" t="n">
        <v>46264</v>
      </c>
      <c r="P14" s="34" t="n">
        <v>46262</v>
      </c>
      <c r="Q14" s="28" t="n">
        <f aca="false">IF(P14&lt;&gt;"",MAX(1,P14-B14),IF(M14="Dispatched",MAX(1,O14-B14),0))</f>
        <v>5</v>
      </c>
      <c r="R14" s="28" t="n">
        <f aca="false">IF(M14="Cancelled",0,IF(P14&lt;&gt;"",MAX(0,P14-O14),IF(T14&lt;&gt;"None",MAX(1,O14-B14-2),0)))</f>
        <v>0</v>
      </c>
      <c r="S14" s="26" t="s">
        <v>339</v>
      </c>
      <c r="T14" s="27" t="s">
        <v>317</v>
      </c>
    </row>
    <row r="15" customFormat="false" ht="15" hidden="false" customHeight="false" outlineLevel="0" collapsed="false">
      <c r="A15" s="18" t="s">
        <v>340</v>
      </c>
      <c r="B15" s="25" t="n">
        <v>45939</v>
      </c>
      <c r="C15" s="18" t="s">
        <v>341</v>
      </c>
      <c r="D15" s="20" t="s">
        <v>342</v>
      </c>
      <c r="E15" s="18" t="s">
        <v>111</v>
      </c>
      <c r="F15" s="20" t="s">
        <v>77</v>
      </c>
      <c r="G15" s="18" t="s">
        <v>259</v>
      </c>
      <c r="H15" s="20" t="str">
        <f aca="false">VLOOKUP(G15,'Product Master'!$A$5:$K$104,2,FALSE())</f>
        <v>Compact Electronics Item 065</v>
      </c>
      <c r="I15" s="20" t="str">
        <f aca="false">VLOOKUP(G15,'Product Master'!$A$5:$K$104,3,FALSE())</f>
        <v>Electronics</v>
      </c>
      <c r="J15" s="17" t="n">
        <v>4</v>
      </c>
      <c r="K15" s="16" t="n">
        <v>7172.77</v>
      </c>
      <c r="L15" s="16" t="n">
        <f aca="false">J15*K15</f>
        <v>28691.08</v>
      </c>
      <c r="M15" s="18" t="s">
        <v>41</v>
      </c>
      <c r="N15" s="25" t="n">
        <v>45940</v>
      </c>
      <c r="O15" s="25" t="n">
        <v>45943</v>
      </c>
      <c r="P15" s="25"/>
      <c r="Q15" s="17" t="n">
        <f aca="false">IF(P15&lt;&gt;"",MAX(1,P15-B15),IF(M15="Dispatched",MAX(1,O15-B15),0))</f>
        <v>4</v>
      </c>
      <c r="R15" s="17" t="n">
        <f aca="false">IF(M15="Cancelled",0,IF(P15&lt;&gt;"",MAX(0,P15-O15),IF(T15&lt;&gt;"None",MAX(1,O15-B15-2),0)))</f>
        <v>2</v>
      </c>
      <c r="S15" s="18" t="s">
        <v>310</v>
      </c>
      <c r="T15" s="20" t="s">
        <v>115</v>
      </c>
    </row>
    <row r="16" customFormat="false" ht="15" hidden="false" customHeight="false" outlineLevel="0" collapsed="false">
      <c r="A16" s="26" t="s">
        <v>343</v>
      </c>
      <c r="B16" s="34" t="n">
        <v>46134</v>
      </c>
      <c r="C16" s="26" t="s">
        <v>344</v>
      </c>
      <c r="D16" s="27" t="s">
        <v>345</v>
      </c>
      <c r="E16" s="26" t="s">
        <v>109</v>
      </c>
      <c r="F16" s="27" t="s">
        <v>79</v>
      </c>
      <c r="G16" s="26" t="s">
        <v>205</v>
      </c>
      <c r="H16" s="27" t="str">
        <f aca="false">VLOOKUP(G16,'Product Master'!$A$5:$K$104,2,FALSE())</f>
        <v>Essential Office Item 011</v>
      </c>
      <c r="I16" s="27" t="str">
        <f aca="false">VLOOKUP(G16,'Product Master'!$A$5:$K$104,3,FALSE())</f>
        <v>Office Supplies</v>
      </c>
      <c r="J16" s="28" t="n">
        <v>15</v>
      </c>
      <c r="K16" s="29" t="n">
        <v>635.87</v>
      </c>
      <c r="L16" s="29" t="n">
        <f aca="false">J16*K16</f>
        <v>9538.05</v>
      </c>
      <c r="M16" s="26" t="s">
        <v>35</v>
      </c>
      <c r="N16" s="34" t="n">
        <v>46136</v>
      </c>
      <c r="O16" s="34" t="n">
        <v>46139</v>
      </c>
      <c r="P16" s="34" t="n">
        <v>46137</v>
      </c>
      <c r="Q16" s="28" t="n">
        <f aca="false">IF(P16&lt;&gt;"",MAX(1,P16-B16),IF(M16="Dispatched",MAX(1,O16-B16),0))</f>
        <v>3</v>
      </c>
      <c r="R16" s="28" t="n">
        <f aca="false">IF(M16="Cancelled",0,IF(P16&lt;&gt;"",MAX(0,P16-O16),IF(T16&lt;&gt;"None",MAX(1,O16-B16-2),0)))</f>
        <v>0</v>
      </c>
      <c r="S16" s="26" t="s">
        <v>310</v>
      </c>
      <c r="T16" s="27" t="s">
        <v>317</v>
      </c>
    </row>
    <row r="17" customFormat="false" ht="15" hidden="false" customHeight="false" outlineLevel="0" collapsed="false">
      <c r="A17" s="18" t="s">
        <v>346</v>
      </c>
      <c r="B17" s="25" t="n">
        <v>46124</v>
      </c>
      <c r="C17" s="18" t="s">
        <v>347</v>
      </c>
      <c r="D17" s="20" t="s">
        <v>348</v>
      </c>
      <c r="E17" s="18" t="s">
        <v>111</v>
      </c>
      <c r="F17" s="20" t="s">
        <v>76</v>
      </c>
      <c r="G17" s="18" t="s">
        <v>265</v>
      </c>
      <c r="H17" s="20" t="str">
        <f aca="false">VLOOKUP(G17,'Product Master'!$A$5:$K$104,2,FALSE())</f>
        <v>Pro Apparel Item 071</v>
      </c>
      <c r="I17" s="20" t="str">
        <f aca="false">VLOOKUP(G17,'Product Master'!$A$5:$K$104,3,FALSE())</f>
        <v>Apparel</v>
      </c>
      <c r="J17" s="17" t="n">
        <v>21</v>
      </c>
      <c r="K17" s="16" t="n">
        <v>10275.49</v>
      </c>
      <c r="L17" s="16" t="n">
        <f aca="false">J17*K17</f>
        <v>215785.29</v>
      </c>
      <c r="M17" s="18" t="s">
        <v>35</v>
      </c>
      <c r="N17" s="25" t="n">
        <v>46124</v>
      </c>
      <c r="O17" s="25" t="n">
        <v>46128</v>
      </c>
      <c r="P17" s="25" t="n">
        <v>46132</v>
      </c>
      <c r="Q17" s="17" t="n">
        <f aca="false">IF(P17&lt;&gt;"",MAX(1,P17-B17),IF(M17="Dispatched",MAX(1,O17-B17),0))</f>
        <v>8</v>
      </c>
      <c r="R17" s="17" t="n">
        <f aca="false">IF(M17="Cancelled",0,IF(P17&lt;&gt;"",MAX(0,P17-O17),IF(T17&lt;&gt;"None",MAX(1,O17-B17-2),0)))</f>
        <v>4</v>
      </c>
      <c r="S17" s="18" t="s">
        <v>339</v>
      </c>
      <c r="T17" s="20" t="s">
        <v>114</v>
      </c>
    </row>
    <row r="18" customFormat="false" ht="15" hidden="false" customHeight="false" outlineLevel="0" collapsed="false">
      <c r="A18" s="26" t="s">
        <v>349</v>
      </c>
      <c r="B18" s="34" t="n">
        <v>45979</v>
      </c>
      <c r="C18" s="26" t="s">
        <v>350</v>
      </c>
      <c r="D18" s="27" t="s">
        <v>351</v>
      </c>
      <c r="E18" s="26" t="s">
        <v>105</v>
      </c>
      <c r="F18" s="27" t="s">
        <v>77</v>
      </c>
      <c r="G18" s="26" t="s">
        <v>262</v>
      </c>
      <c r="H18" s="27" t="str">
        <f aca="false">VLOOKUP(G18,'Product Master'!$A$5:$K$104,2,FALSE())</f>
        <v>Compact Personal Item 068</v>
      </c>
      <c r="I18" s="27" t="str">
        <f aca="false">VLOOKUP(G18,'Product Master'!$A$5:$K$104,3,FALSE())</f>
        <v>Personal Care</v>
      </c>
      <c r="J18" s="28" t="n">
        <v>7</v>
      </c>
      <c r="K18" s="29" t="n">
        <v>7446.2</v>
      </c>
      <c r="L18" s="29" t="n">
        <f aca="false">J18*K18</f>
        <v>52123.4</v>
      </c>
      <c r="M18" s="26" t="s">
        <v>41</v>
      </c>
      <c r="N18" s="34" t="n">
        <v>45981</v>
      </c>
      <c r="O18" s="34" t="n">
        <v>45988</v>
      </c>
      <c r="P18" s="34"/>
      <c r="Q18" s="28" t="n">
        <f aca="false">IF(P18&lt;&gt;"",MAX(1,P18-B18),IF(M18="Dispatched",MAX(1,O18-B18),0))</f>
        <v>9</v>
      </c>
      <c r="R18" s="28" t="n">
        <f aca="false">IF(M18="Cancelled",0,IF(P18&lt;&gt;"",MAX(0,P18-O18),IF(T18&lt;&gt;"None",MAX(1,O18-B18-2),0)))</f>
        <v>7</v>
      </c>
      <c r="S18" s="26" t="s">
        <v>352</v>
      </c>
      <c r="T18" s="27" t="s">
        <v>115</v>
      </c>
    </row>
    <row r="19" customFormat="false" ht="15" hidden="false" customHeight="false" outlineLevel="0" collapsed="false">
      <c r="A19" s="18" t="s">
        <v>353</v>
      </c>
      <c r="B19" s="25" t="n">
        <v>46209</v>
      </c>
      <c r="C19" s="18" t="s">
        <v>354</v>
      </c>
      <c r="D19" s="20" t="s">
        <v>355</v>
      </c>
      <c r="E19" s="18" t="s">
        <v>105</v>
      </c>
      <c r="F19" s="20" t="s">
        <v>77</v>
      </c>
      <c r="G19" s="18" t="s">
        <v>267</v>
      </c>
      <c r="H19" s="20" t="str">
        <f aca="false">VLOOKUP(G19,'Product Master'!$A$5:$K$104,2,FALSE())</f>
        <v>Essential Electronics Item 073</v>
      </c>
      <c r="I19" s="20" t="str">
        <f aca="false">VLOOKUP(G19,'Product Master'!$A$5:$K$104,3,FALSE())</f>
        <v>Electronics</v>
      </c>
      <c r="J19" s="17" t="n">
        <v>11</v>
      </c>
      <c r="K19" s="16" t="n">
        <v>8260.77</v>
      </c>
      <c r="L19" s="16" t="n">
        <f aca="false">J19*K19</f>
        <v>90868.47</v>
      </c>
      <c r="M19" s="18" t="s">
        <v>35</v>
      </c>
      <c r="N19" s="25" t="n">
        <v>46210</v>
      </c>
      <c r="O19" s="25" t="n">
        <v>46214</v>
      </c>
      <c r="P19" s="25" t="n">
        <v>46216</v>
      </c>
      <c r="Q19" s="17" t="n">
        <f aca="false">IF(P19&lt;&gt;"",MAX(1,P19-B19),IF(M19="Dispatched",MAX(1,O19-B19),0))</f>
        <v>7</v>
      </c>
      <c r="R19" s="17" t="n">
        <f aca="false">IF(M19="Cancelled",0,IF(P19&lt;&gt;"",MAX(0,P19-O19),IF(T19&lt;&gt;"None",MAX(1,O19-B19-2),0)))</f>
        <v>2</v>
      </c>
      <c r="S19" s="18" t="s">
        <v>310</v>
      </c>
      <c r="T19" s="20" t="s">
        <v>115</v>
      </c>
    </row>
    <row r="20" customFormat="false" ht="15" hidden="false" customHeight="false" outlineLevel="0" collapsed="false">
      <c r="A20" s="26" t="s">
        <v>356</v>
      </c>
      <c r="B20" s="34" t="n">
        <v>46130</v>
      </c>
      <c r="C20" s="26" t="s">
        <v>357</v>
      </c>
      <c r="D20" s="27" t="s">
        <v>358</v>
      </c>
      <c r="E20" s="26" t="s">
        <v>113</v>
      </c>
      <c r="F20" s="27" t="s">
        <v>78</v>
      </c>
      <c r="G20" s="26" t="s">
        <v>281</v>
      </c>
      <c r="H20" s="27" t="str">
        <f aca="false">VLOOKUP(G20,'Product Master'!$A$5:$K$104,2,FALSE())</f>
        <v>Compact Apparel Item 087</v>
      </c>
      <c r="I20" s="27" t="str">
        <f aca="false">VLOOKUP(G20,'Product Master'!$A$5:$K$104,3,FALSE())</f>
        <v>Apparel</v>
      </c>
      <c r="J20" s="28" t="n">
        <v>13</v>
      </c>
      <c r="K20" s="29" t="n">
        <v>8400.02</v>
      </c>
      <c r="L20" s="29" t="n">
        <f aca="false">J20*K20</f>
        <v>109200.26</v>
      </c>
      <c r="M20" s="26" t="s">
        <v>39</v>
      </c>
      <c r="N20" s="34"/>
      <c r="O20" s="34" t="n">
        <v>46134</v>
      </c>
      <c r="P20" s="34"/>
      <c r="Q20" s="28" t="n">
        <f aca="false">IF(P20&lt;&gt;"",MAX(1,P20-B20),IF(M20="Dispatched",MAX(1,O20-B20),0))</f>
        <v>0</v>
      </c>
      <c r="R20" s="28" t="n">
        <f aca="false">IF(M20="Cancelled",0,IF(P20&lt;&gt;"",MAX(0,P20-O20),IF(T20&lt;&gt;"None",MAX(1,O20-B20-2),0)))</f>
        <v>2</v>
      </c>
      <c r="S20" s="26" t="s">
        <v>310</v>
      </c>
      <c r="T20" s="27" t="s">
        <v>106</v>
      </c>
    </row>
    <row r="21" customFormat="false" ht="15" hidden="false" customHeight="false" outlineLevel="0" collapsed="false">
      <c r="A21" s="18" t="s">
        <v>359</v>
      </c>
      <c r="B21" s="25" t="n">
        <v>46049</v>
      </c>
      <c r="C21" s="18" t="s">
        <v>360</v>
      </c>
      <c r="D21" s="20" t="s">
        <v>361</v>
      </c>
      <c r="E21" s="18" t="s">
        <v>109</v>
      </c>
      <c r="F21" s="20" t="s">
        <v>80</v>
      </c>
      <c r="G21" s="18" t="s">
        <v>204</v>
      </c>
      <c r="H21" s="20" t="str">
        <f aca="false">VLOOKUP(G21,'Product Master'!$A$5:$K$104,2,FALSE())</f>
        <v>Essential Home Item 010</v>
      </c>
      <c r="I21" s="20" t="str">
        <f aca="false">VLOOKUP(G21,'Product Master'!$A$5:$K$104,3,FALSE())</f>
        <v>Home &amp; Kitchen</v>
      </c>
      <c r="J21" s="17" t="n">
        <v>25</v>
      </c>
      <c r="K21" s="16" t="n">
        <v>7388.75</v>
      </c>
      <c r="L21" s="16" t="n">
        <f aca="false">J21*K21</f>
        <v>184718.75</v>
      </c>
      <c r="M21" s="18" t="s">
        <v>37</v>
      </c>
      <c r="N21" s="25"/>
      <c r="O21" s="25" t="n">
        <v>46057</v>
      </c>
      <c r="P21" s="25"/>
      <c r="Q21" s="17" t="n">
        <f aca="false">IF(P21&lt;&gt;"",MAX(1,P21-B21),IF(M21="Dispatched",MAX(1,O21-B21),0))</f>
        <v>0</v>
      </c>
      <c r="R21" s="17" t="n">
        <f aca="false">IF(M21="Cancelled",0,IF(P21&lt;&gt;"",MAX(0,P21-O21),IF(T21&lt;&gt;"None",MAX(1,O21-B21-2),0)))</f>
        <v>0</v>
      </c>
      <c r="S21" s="18" t="s">
        <v>339</v>
      </c>
      <c r="T21" s="20" t="s">
        <v>317</v>
      </c>
    </row>
    <row r="22" customFormat="false" ht="15" hidden="false" customHeight="false" outlineLevel="0" collapsed="false">
      <c r="A22" s="26" t="s">
        <v>362</v>
      </c>
      <c r="B22" s="34" t="n">
        <v>46182</v>
      </c>
      <c r="C22" s="26" t="s">
        <v>363</v>
      </c>
      <c r="D22" s="27" t="s">
        <v>364</v>
      </c>
      <c r="E22" s="26" t="s">
        <v>109</v>
      </c>
      <c r="F22" s="27" t="s">
        <v>80</v>
      </c>
      <c r="G22" s="26" t="s">
        <v>224</v>
      </c>
      <c r="H22" s="27" t="str">
        <f aca="false">VLOOKUP(G22,'Product Master'!$A$5:$K$104,2,FALSE())</f>
        <v>Premium Packaging Item 030</v>
      </c>
      <c r="I22" s="27" t="str">
        <f aca="false">VLOOKUP(G22,'Product Master'!$A$5:$K$104,3,FALSE())</f>
        <v>Packaging</v>
      </c>
      <c r="J22" s="28" t="n">
        <v>13</v>
      </c>
      <c r="K22" s="29" t="n">
        <v>6643.61</v>
      </c>
      <c r="L22" s="29" t="n">
        <f aca="false">J22*K22</f>
        <v>86366.93</v>
      </c>
      <c r="M22" s="26" t="s">
        <v>35</v>
      </c>
      <c r="N22" s="34" t="n">
        <v>46182</v>
      </c>
      <c r="O22" s="34" t="n">
        <v>46190</v>
      </c>
      <c r="P22" s="34" t="n">
        <v>46190</v>
      </c>
      <c r="Q22" s="28" t="n">
        <f aca="false">IF(P22&lt;&gt;"",MAX(1,P22-B22),IF(M22="Dispatched",MAX(1,O22-B22),0))</f>
        <v>8</v>
      </c>
      <c r="R22" s="28" t="n">
        <f aca="false">IF(M22="Cancelled",0,IF(P22&lt;&gt;"",MAX(0,P22-O22),IF(T22&lt;&gt;"None",MAX(1,O22-B22-2),0)))</f>
        <v>0</v>
      </c>
      <c r="S22" s="26" t="s">
        <v>310</v>
      </c>
      <c r="T22" s="27" t="s">
        <v>317</v>
      </c>
    </row>
    <row r="23" customFormat="false" ht="15" hidden="false" customHeight="false" outlineLevel="0" collapsed="false">
      <c r="A23" s="18" t="s">
        <v>365</v>
      </c>
      <c r="B23" s="25" t="n">
        <v>46068</v>
      </c>
      <c r="C23" s="18" t="s">
        <v>366</v>
      </c>
      <c r="D23" s="20" t="s">
        <v>367</v>
      </c>
      <c r="E23" s="18" t="s">
        <v>111</v>
      </c>
      <c r="F23" s="20" t="s">
        <v>77</v>
      </c>
      <c r="G23" s="18" t="s">
        <v>214</v>
      </c>
      <c r="H23" s="20" t="str">
        <f aca="false">VLOOKUP(G23,'Product Master'!$A$5:$K$104,2,FALSE())</f>
        <v>Eco Personal Item 020</v>
      </c>
      <c r="I23" s="20" t="str">
        <f aca="false">VLOOKUP(G23,'Product Master'!$A$5:$K$104,3,FALSE())</f>
        <v>Personal Care</v>
      </c>
      <c r="J23" s="17" t="n">
        <v>24</v>
      </c>
      <c r="K23" s="16" t="n">
        <v>4674.99</v>
      </c>
      <c r="L23" s="16" t="n">
        <f aca="false">J23*K23</f>
        <v>112199.76</v>
      </c>
      <c r="M23" s="18" t="s">
        <v>35</v>
      </c>
      <c r="N23" s="25" t="n">
        <v>46068</v>
      </c>
      <c r="O23" s="25" t="n">
        <v>46075</v>
      </c>
      <c r="P23" s="25" t="n">
        <v>46073</v>
      </c>
      <c r="Q23" s="17" t="n">
        <f aca="false">IF(P23&lt;&gt;"",MAX(1,P23-B23),IF(M23="Dispatched",MAX(1,O23-B23),0))</f>
        <v>5</v>
      </c>
      <c r="R23" s="17" t="n">
        <f aca="false">IF(M23="Cancelled",0,IF(P23&lt;&gt;"",MAX(0,P23-O23),IF(T23&lt;&gt;"None",MAX(1,O23-B23-2),0)))</f>
        <v>0</v>
      </c>
      <c r="S23" s="18" t="s">
        <v>310</v>
      </c>
      <c r="T23" s="20" t="s">
        <v>317</v>
      </c>
    </row>
    <row r="24" customFormat="false" ht="15" hidden="false" customHeight="false" outlineLevel="0" collapsed="false">
      <c r="A24" s="26" t="s">
        <v>368</v>
      </c>
      <c r="B24" s="34" t="n">
        <v>46069</v>
      </c>
      <c r="C24" s="26" t="s">
        <v>369</v>
      </c>
      <c r="D24" s="27" t="s">
        <v>370</v>
      </c>
      <c r="E24" s="26" t="s">
        <v>107</v>
      </c>
      <c r="F24" s="27" t="s">
        <v>76</v>
      </c>
      <c r="G24" s="26" t="s">
        <v>208</v>
      </c>
      <c r="H24" s="27" t="str">
        <f aca="false">VLOOKUP(G24,'Product Master'!$A$5:$K$104,2,FALSE())</f>
        <v>Pro Packaging Item 014</v>
      </c>
      <c r="I24" s="27" t="str">
        <f aca="false">VLOOKUP(G24,'Product Master'!$A$5:$K$104,3,FALSE())</f>
        <v>Packaging</v>
      </c>
      <c r="J24" s="28" t="n">
        <v>6</v>
      </c>
      <c r="K24" s="29" t="n">
        <v>4696.7</v>
      </c>
      <c r="L24" s="29" t="n">
        <f aca="false">J24*K24</f>
        <v>28180.2</v>
      </c>
      <c r="M24" s="26" t="s">
        <v>35</v>
      </c>
      <c r="N24" s="34" t="n">
        <v>46069</v>
      </c>
      <c r="O24" s="34" t="n">
        <v>46077</v>
      </c>
      <c r="P24" s="34" t="n">
        <v>46073</v>
      </c>
      <c r="Q24" s="28" t="n">
        <f aca="false">IF(P24&lt;&gt;"",MAX(1,P24-B24),IF(M24="Dispatched",MAX(1,O24-B24),0))</f>
        <v>4</v>
      </c>
      <c r="R24" s="28" t="n">
        <f aca="false">IF(M24="Cancelled",0,IF(P24&lt;&gt;"",MAX(0,P24-O24),IF(T24&lt;&gt;"None",MAX(1,O24-B24-2),0)))</f>
        <v>0</v>
      </c>
      <c r="S24" s="26" t="s">
        <v>310</v>
      </c>
      <c r="T24" s="27" t="s">
        <v>317</v>
      </c>
    </row>
    <row r="25" customFormat="false" ht="15" hidden="false" customHeight="false" outlineLevel="0" collapsed="false">
      <c r="A25" s="18" t="s">
        <v>371</v>
      </c>
      <c r="B25" s="25" t="n">
        <v>46237</v>
      </c>
      <c r="C25" s="18" t="s">
        <v>372</v>
      </c>
      <c r="D25" s="20" t="s">
        <v>373</v>
      </c>
      <c r="E25" s="18" t="s">
        <v>111</v>
      </c>
      <c r="F25" s="20" t="s">
        <v>76</v>
      </c>
      <c r="G25" s="18" t="s">
        <v>236</v>
      </c>
      <c r="H25" s="20" t="str">
        <f aca="false">VLOOKUP(G25,'Product Master'!$A$5:$K$104,2,FALSE())</f>
        <v>Compact Home Item 042</v>
      </c>
      <c r="I25" s="20" t="str">
        <f aca="false">VLOOKUP(G25,'Product Master'!$A$5:$K$104,3,FALSE())</f>
        <v>Home &amp; Kitchen</v>
      </c>
      <c r="J25" s="17" t="n">
        <v>10</v>
      </c>
      <c r="K25" s="16" t="n">
        <v>5892.15</v>
      </c>
      <c r="L25" s="16" t="n">
        <f aca="false">J25*K25</f>
        <v>58921.5</v>
      </c>
      <c r="M25" s="18" t="s">
        <v>35</v>
      </c>
      <c r="N25" s="25" t="n">
        <v>46238</v>
      </c>
      <c r="O25" s="25" t="n">
        <v>46240</v>
      </c>
      <c r="P25" s="25" t="n">
        <v>46248</v>
      </c>
      <c r="Q25" s="17" t="n">
        <f aca="false">IF(P25&lt;&gt;"",MAX(1,P25-B25),IF(M25="Dispatched",MAX(1,O25-B25),0))</f>
        <v>11</v>
      </c>
      <c r="R25" s="17" t="n">
        <f aca="false">IF(M25="Cancelled",0,IF(P25&lt;&gt;"",MAX(0,P25-O25),IF(T25&lt;&gt;"None",MAX(1,O25-B25-2),0)))</f>
        <v>8</v>
      </c>
      <c r="S25" s="18" t="s">
        <v>310</v>
      </c>
      <c r="T25" s="20" t="s">
        <v>106</v>
      </c>
    </row>
    <row r="26" customFormat="false" ht="15" hidden="false" customHeight="false" outlineLevel="0" collapsed="false">
      <c r="A26" s="26" t="s">
        <v>374</v>
      </c>
      <c r="B26" s="34" t="n">
        <v>46085</v>
      </c>
      <c r="C26" s="26" t="s">
        <v>375</v>
      </c>
      <c r="D26" s="27" t="s">
        <v>376</v>
      </c>
      <c r="E26" s="26" t="s">
        <v>111</v>
      </c>
      <c r="F26" s="27" t="s">
        <v>77</v>
      </c>
      <c r="G26" s="26" t="s">
        <v>229</v>
      </c>
      <c r="H26" s="27" t="str">
        <f aca="false">VLOOKUP(G26,'Product Master'!$A$5:$K$104,2,FALSE())</f>
        <v>Smart Office Item 035</v>
      </c>
      <c r="I26" s="27" t="str">
        <f aca="false">VLOOKUP(G26,'Product Master'!$A$5:$K$104,3,FALSE())</f>
        <v>Office Supplies</v>
      </c>
      <c r="J26" s="28" t="n">
        <v>3</v>
      </c>
      <c r="K26" s="29" t="n">
        <v>7869.66</v>
      </c>
      <c r="L26" s="29" t="n">
        <f aca="false">J26*K26</f>
        <v>23608.98</v>
      </c>
      <c r="M26" s="26" t="s">
        <v>35</v>
      </c>
      <c r="N26" s="34" t="n">
        <v>46088</v>
      </c>
      <c r="O26" s="34" t="n">
        <v>46091</v>
      </c>
      <c r="P26" s="34" t="n">
        <v>46091</v>
      </c>
      <c r="Q26" s="28" t="n">
        <f aca="false">IF(P26&lt;&gt;"",MAX(1,P26-B26),IF(M26="Dispatched",MAX(1,O26-B26),0))</f>
        <v>6</v>
      </c>
      <c r="R26" s="28" t="n">
        <f aca="false">IF(M26="Cancelled",0,IF(P26&lt;&gt;"",MAX(0,P26-O26),IF(T26&lt;&gt;"None",MAX(1,O26-B26-2),0)))</f>
        <v>0</v>
      </c>
      <c r="S26" s="26" t="s">
        <v>310</v>
      </c>
      <c r="T26" s="27" t="s">
        <v>317</v>
      </c>
    </row>
    <row r="27" customFormat="false" ht="15" hidden="false" customHeight="false" outlineLevel="0" collapsed="false">
      <c r="A27" s="18" t="s">
        <v>377</v>
      </c>
      <c r="B27" s="25" t="n">
        <v>46057</v>
      </c>
      <c r="C27" s="18" t="s">
        <v>366</v>
      </c>
      <c r="D27" s="20" t="s">
        <v>378</v>
      </c>
      <c r="E27" s="18" t="s">
        <v>111</v>
      </c>
      <c r="F27" s="20" t="s">
        <v>80</v>
      </c>
      <c r="G27" s="18" t="s">
        <v>287</v>
      </c>
      <c r="H27" s="20" t="str">
        <f aca="false">VLOOKUP(G27,'Product Master'!$A$5:$K$104,2,FALSE())</f>
        <v>Compact Industrial Item 093</v>
      </c>
      <c r="I27" s="20" t="str">
        <f aca="false">VLOOKUP(G27,'Product Master'!$A$5:$K$104,3,FALSE())</f>
        <v>Industrial</v>
      </c>
      <c r="J27" s="17" t="n">
        <v>20</v>
      </c>
      <c r="K27" s="16" t="n">
        <v>7420.7</v>
      </c>
      <c r="L27" s="16" t="n">
        <f aca="false">J27*K27</f>
        <v>148414</v>
      </c>
      <c r="M27" s="18" t="s">
        <v>35</v>
      </c>
      <c r="N27" s="25" t="n">
        <v>46058</v>
      </c>
      <c r="O27" s="25" t="n">
        <v>46060</v>
      </c>
      <c r="P27" s="25" t="n">
        <v>46060</v>
      </c>
      <c r="Q27" s="17" t="n">
        <f aca="false">IF(P27&lt;&gt;"",MAX(1,P27-B27),IF(M27="Dispatched",MAX(1,O27-B27),0))</f>
        <v>3</v>
      </c>
      <c r="R27" s="17" t="n">
        <f aca="false">IF(M27="Cancelled",0,IF(P27&lt;&gt;"",MAX(0,P27-O27),IF(T27&lt;&gt;"None",MAX(1,O27-B27-2),0)))</f>
        <v>0</v>
      </c>
      <c r="S27" s="18" t="s">
        <v>352</v>
      </c>
      <c r="T27" s="20" t="s">
        <v>317</v>
      </c>
    </row>
    <row r="28" customFormat="false" ht="15" hidden="false" customHeight="false" outlineLevel="0" collapsed="false">
      <c r="A28" s="26" t="s">
        <v>379</v>
      </c>
      <c r="B28" s="34" t="n">
        <v>46125</v>
      </c>
      <c r="C28" s="26" t="s">
        <v>380</v>
      </c>
      <c r="D28" s="27" t="s">
        <v>381</v>
      </c>
      <c r="E28" s="26" t="s">
        <v>111</v>
      </c>
      <c r="F28" s="27" t="s">
        <v>78</v>
      </c>
      <c r="G28" s="26" t="s">
        <v>237</v>
      </c>
      <c r="H28" s="27" t="str">
        <f aca="false">VLOOKUP(G28,'Product Master'!$A$5:$K$104,2,FALSE())</f>
        <v>Eco Office Item 043</v>
      </c>
      <c r="I28" s="27" t="str">
        <f aca="false">VLOOKUP(G28,'Product Master'!$A$5:$K$104,3,FALSE())</f>
        <v>Office Supplies</v>
      </c>
      <c r="J28" s="28" t="n">
        <v>14</v>
      </c>
      <c r="K28" s="29" t="n">
        <v>2525.48</v>
      </c>
      <c r="L28" s="29" t="n">
        <f aca="false">J28*K28</f>
        <v>35356.72</v>
      </c>
      <c r="M28" s="26" t="s">
        <v>39</v>
      </c>
      <c r="N28" s="34"/>
      <c r="O28" s="34" t="n">
        <v>46129</v>
      </c>
      <c r="P28" s="34"/>
      <c r="Q28" s="28" t="n">
        <f aca="false">IF(P28&lt;&gt;"",MAX(1,P28-B28),IF(M28="Dispatched",MAX(1,O28-B28),0))</f>
        <v>0</v>
      </c>
      <c r="R28" s="28" t="n">
        <f aca="false">IF(M28="Cancelled",0,IF(P28&lt;&gt;"",MAX(0,P28-O28),IF(T28&lt;&gt;"None",MAX(1,O28-B28-2),0)))</f>
        <v>2</v>
      </c>
      <c r="S28" s="26" t="s">
        <v>310</v>
      </c>
      <c r="T28" s="27" t="s">
        <v>108</v>
      </c>
    </row>
    <row r="29" customFormat="false" ht="15" hidden="false" customHeight="false" outlineLevel="0" collapsed="false">
      <c r="A29" s="18" t="s">
        <v>382</v>
      </c>
      <c r="B29" s="25" t="n">
        <v>46134</v>
      </c>
      <c r="C29" s="18" t="s">
        <v>383</v>
      </c>
      <c r="D29" s="20" t="s">
        <v>378</v>
      </c>
      <c r="E29" s="18" t="s">
        <v>109</v>
      </c>
      <c r="F29" s="20" t="s">
        <v>79</v>
      </c>
      <c r="G29" s="18" t="s">
        <v>235</v>
      </c>
      <c r="H29" s="20" t="str">
        <f aca="false">VLOOKUP(G29,'Product Master'!$A$5:$K$104,2,FALSE())</f>
        <v>Essential Electronics Item 041</v>
      </c>
      <c r="I29" s="20" t="str">
        <f aca="false">VLOOKUP(G29,'Product Master'!$A$5:$K$104,3,FALSE())</f>
        <v>Electronics</v>
      </c>
      <c r="J29" s="17" t="n">
        <v>19</v>
      </c>
      <c r="K29" s="16" t="n">
        <v>12841.6</v>
      </c>
      <c r="L29" s="16" t="n">
        <f aca="false">J29*K29</f>
        <v>243990.4</v>
      </c>
      <c r="M29" s="18" t="s">
        <v>39</v>
      </c>
      <c r="N29" s="25"/>
      <c r="O29" s="25" t="n">
        <v>46141</v>
      </c>
      <c r="P29" s="25"/>
      <c r="Q29" s="17" t="n">
        <f aca="false">IF(P29&lt;&gt;"",MAX(1,P29-B29),IF(M29="Dispatched",MAX(1,O29-B29),0))</f>
        <v>0</v>
      </c>
      <c r="R29" s="17" t="n">
        <f aca="false">IF(M29="Cancelled",0,IF(P29&lt;&gt;"",MAX(0,P29-O29),IF(T29&lt;&gt;"None",MAX(1,O29-B29-2),0)))</f>
        <v>0</v>
      </c>
      <c r="S29" s="18" t="s">
        <v>310</v>
      </c>
      <c r="T29" s="20" t="s">
        <v>317</v>
      </c>
    </row>
    <row r="30" customFormat="false" ht="15" hidden="false" customHeight="false" outlineLevel="0" collapsed="false">
      <c r="A30" s="26" t="s">
        <v>384</v>
      </c>
      <c r="B30" s="34" t="n">
        <v>46219</v>
      </c>
      <c r="C30" s="26" t="s">
        <v>385</v>
      </c>
      <c r="D30" s="27" t="s">
        <v>381</v>
      </c>
      <c r="E30" s="26" t="s">
        <v>113</v>
      </c>
      <c r="F30" s="27" t="s">
        <v>80</v>
      </c>
      <c r="G30" s="26" t="s">
        <v>220</v>
      </c>
      <c r="H30" s="27" t="str">
        <f aca="false">VLOOKUP(G30,'Product Master'!$A$5:$K$104,2,FALSE())</f>
        <v>Classic Home Item 026</v>
      </c>
      <c r="I30" s="27" t="str">
        <f aca="false">VLOOKUP(G30,'Product Master'!$A$5:$K$104,3,FALSE())</f>
        <v>Home &amp; Kitchen</v>
      </c>
      <c r="J30" s="28" t="n">
        <v>6</v>
      </c>
      <c r="K30" s="29" t="n">
        <v>4898.07</v>
      </c>
      <c r="L30" s="29" t="n">
        <f aca="false">J30*K30</f>
        <v>29388.42</v>
      </c>
      <c r="M30" s="26" t="s">
        <v>37</v>
      </c>
      <c r="N30" s="34"/>
      <c r="O30" s="34" t="n">
        <v>46221</v>
      </c>
      <c r="P30" s="34"/>
      <c r="Q30" s="28" t="n">
        <f aca="false">IF(P30&lt;&gt;"",MAX(1,P30-B30),IF(M30="Dispatched",MAX(1,O30-B30),0))</f>
        <v>0</v>
      </c>
      <c r="R30" s="28" t="n">
        <f aca="false">IF(M30="Cancelled",0,IF(P30&lt;&gt;"",MAX(0,P30-O30),IF(T30&lt;&gt;"None",MAX(1,O30-B30-2),0)))</f>
        <v>1</v>
      </c>
      <c r="S30" s="26" t="s">
        <v>37</v>
      </c>
      <c r="T30" s="27" t="s">
        <v>106</v>
      </c>
    </row>
    <row r="31" customFormat="false" ht="15" hidden="false" customHeight="false" outlineLevel="0" collapsed="false">
      <c r="A31" s="18" t="s">
        <v>386</v>
      </c>
      <c r="B31" s="25" t="n">
        <v>46285</v>
      </c>
      <c r="C31" s="18" t="s">
        <v>387</v>
      </c>
      <c r="D31" s="20" t="s">
        <v>388</v>
      </c>
      <c r="E31" s="18" t="s">
        <v>111</v>
      </c>
      <c r="F31" s="20" t="s">
        <v>79</v>
      </c>
      <c r="G31" s="18" t="s">
        <v>203</v>
      </c>
      <c r="H31" s="20" t="str">
        <f aca="false">VLOOKUP(G31,'Product Master'!$A$5:$K$104,2,FALSE())</f>
        <v>Essential Electronics Item 009</v>
      </c>
      <c r="I31" s="20" t="str">
        <f aca="false">VLOOKUP(G31,'Product Master'!$A$5:$K$104,3,FALSE())</f>
        <v>Electronics</v>
      </c>
      <c r="J31" s="17" t="n">
        <v>5</v>
      </c>
      <c r="K31" s="16" t="n">
        <v>5778.46</v>
      </c>
      <c r="L31" s="16" t="n">
        <f aca="false">J31*K31</f>
        <v>28892.3</v>
      </c>
      <c r="M31" s="18" t="s">
        <v>37</v>
      </c>
      <c r="N31" s="25"/>
      <c r="O31" s="25" t="n">
        <v>46290</v>
      </c>
      <c r="P31" s="25"/>
      <c r="Q31" s="17" t="n">
        <f aca="false">IF(P31&lt;&gt;"",MAX(1,P31-B31),IF(M31="Dispatched",MAX(1,O31-B31),0))</f>
        <v>0</v>
      </c>
      <c r="R31" s="17" t="n">
        <f aca="false">IF(M31="Cancelled",0,IF(P31&lt;&gt;"",MAX(0,P31-O31),IF(T31&lt;&gt;"None",MAX(1,O31-B31-2),0)))</f>
        <v>0</v>
      </c>
      <c r="S31" s="18" t="s">
        <v>310</v>
      </c>
      <c r="T31" s="20" t="s">
        <v>317</v>
      </c>
    </row>
    <row r="32" customFormat="false" ht="15" hidden="false" customHeight="false" outlineLevel="0" collapsed="false">
      <c r="A32" s="26" t="s">
        <v>389</v>
      </c>
      <c r="B32" s="34" t="n">
        <v>46124</v>
      </c>
      <c r="C32" s="26" t="s">
        <v>390</v>
      </c>
      <c r="D32" s="27" t="s">
        <v>391</v>
      </c>
      <c r="E32" s="26" t="s">
        <v>111</v>
      </c>
      <c r="F32" s="27" t="s">
        <v>80</v>
      </c>
      <c r="G32" s="26" t="s">
        <v>204</v>
      </c>
      <c r="H32" s="27" t="str">
        <f aca="false">VLOOKUP(G32,'Product Master'!$A$5:$K$104,2,FALSE())</f>
        <v>Essential Home Item 010</v>
      </c>
      <c r="I32" s="27" t="str">
        <f aca="false">VLOOKUP(G32,'Product Master'!$A$5:$K$104,3,FALSE())</f>
        <v>Home &amp; Kitchen</v>
      </c>
      <c r="J32" s="28" t="n">
        <v>16</v>
      </c>
      <c r="K32" s="29" t="n">
        <v>7388.75</v>
      </c>
      <c r="L32" s="29" t="n">
        <f aca="false">J32*K32</f>
        <v>118220</v>
      </c>
      <c r="M32" s="26" t="s">
        <v>37</v>
      </c>
      <c r="N32" s="34"/>
      <c r="O32" s="34" t="n">
        <v>46132</v>
      </c>
      <c r="P32" s="34"/>
      <c r="Q32" s="28" t="n">
        <f aca="false">IF(P32&lt;&gt;"",MAX(1,P32-B32),IF(M32="Dispatched",MAX(1,O32-B32),0))</f>
        <v>0</v>
      </c>
      <c r="R32" s="28" t="n">
        <f aca="false">IF(M32="Cancelled",0,IF(P32&lt;&gt;"",MAX(0,P32-O32),IF(T32&lt;&gt;"None",MAX(1,O32-B32-2),0)))</f>
        <v>6</v>
      </c>
      <c r="S32" s="26" t="s">
        <v>352</v>
      </c>
      <c r="T32" s="27" t="s">
        <v>106</v>
      </c>
    </row>
    <row r="33" customFormat="false" ht="15" hidden="false" customHeight="false" outlineLevel="0" collapsed="false">
      <c r="A33" s="18" t="s">
        <v>392</v>
      </c>
      <c r="B33" s="25" t="n">
        <v>46205</v>
      </c>
      <c r="C33" s="18" t="s">
        <v>393</v>
      </c>
      <c r="D33" s="20" t="s">
        <v>394</v>
      </c>
      <c r="E33" s="18" t="s">
        <v>105</v>
      </c>
      <c r="F33" s="20" t="s">
        <v>76</v>
      </c>
      <c r="G33" s="18" t="s">
        <v>271</v>
      </c>
      <c r="H33" s="20" t="str">
        <f aca="false">VLOOKUP(G33,'Product Master'!$A$5:$K$104,2,FALSE())</f>
        <v>Everyday Industrial Item 077</v>
      </c>
      <c r="I33" s="20" t="str">
        <f aca="false">VLOOKUP(G33,'Product Master'!$A$5:$K$104,3,FALSE())</f>
        <v>Industrial</v>
      </c>
      <c r="J33" s="17" t="n">
        <v>25</v>
      </c>
      <c r="K33" s="16" t="n">
        <v>3653.35</v>
      </c>
      <c r="L33" s="16" t="n">
        <f aca="false">J33*K33</f>
        <v>91333.75</v>
      </c>
      <c r="M33" s="18" t="s">
        <v>35</v>
      </c>
      <c r="N33" s="25" t="n">
        <v>46206</v>
      </c>
      <c r="O33" s="25" t="n">
        <v>46212</v>
      </c>
      <c r="P33" s="25" t="n">
        <v>46208</v>
      </c>
      <c r="Q33" s="17" t="n">
        <f aca="false">IF(P33&lt;&gt;"",MAX(1,P33-B33),IF(M33="Dispatched",MAX(1,O33-B33),0))</f>
        <v>3</v>
      </c>
      <c r="R33" s="17" t="n">
        <f aca="false">IF(M33="Cancelled",0,IF(P33&lt;&gt;"",MAX(0,P33-O33),IF(T33&lt;&gt;"None",MAX(1,O33-B33-2),0)))</f>
        <v>0</v>
      </c>
      <c r="S33" s="18" t="s">
        <v>310</v>
      </c>
      <c r="T33" s="20" t="s">
        <v>317</v>
      </c>
    </row>
    <row r="34" customFormat="false" ht="15" hidden="false" customHeight="false" outlineLevel="0" collapsed="false">
      <c r="A34" s="26" t="s">
        <v>395</v>
      </c>
      <c r="B34" s="34" t="n">
        <v>46151</v>
      </c>
      <c r="C34" s="26" t="s">
        <v>385</v>
      </c>
      <c r="D34" s="27" t="s">
        <v>396</v>
      </c>
      <c r="E34" s="26" t="s">
        <v>105</v>
      </c>
      <c r="F34" s="27" t="s">
        <v>76</v>
      </c>
      <c r="G34" s="26" t="s">
        <v>208</v>
      </c>
      <c r="H34" s="27" t="str">
        <f aca="false">VLOOKUP(G34,'Product Master'!$A$5:$K$104,2,FALSE())</f>
        <v>Pro Packaging Item 014</v>
      </c>
      <c r="I34" s="27" t="str">
        <f aca="false">VLOOKUP(G34,'Product Master'!$A$5:$K$104,3,FALSE())</f>
        <v>Packaging</v>
      </c>
      <c r="J34" s="28" t="n">
        <v>9</v>
      </c>
      <c r="K34" s="29" t="n">
        <v>4696.7</v>
      </c>
      <c r="L34" s="29" t="n">
        <f aca="false">J34*K34</f>
        <v>42270.3</v>
      </c>
      <c r="M34" s="26" t="s">
        <v>35</v>
      </c>
      <c r="N34" s="34" t="n">
        <v>46154</v>
      </c>
      <c r="O34" s="34" t="n">
        <v>46156</v>
      </c>
      <c r="P34" s="34" t="n">
        <v>46157</v>
      </c>
      <c r="Q34" s="28" t="n">
        <f aca="false">IF(P34&lt;&gt;"",MAX(1,P34-B34),IF(M34="Dispatched",MAX(1,O34-B34),0))</f>
        <v>6</v>
      </c>
      <c r="R34" s="28" t="n">
        <f aca="false">IF(M34="Cancelled",0,IF(P34&lt;&gt;"",MAX(0,P34-O34),IF(T34&lt;&gt;"None",MAX(1,O34-B34-2),0)))</f>
        <v>1</v>
      </c>
      <c r="S34" s="26" t="s">
        <v>339</v>
      </c>
      <c r="T34" s="27" t="s">
        <v>114</v>
      </c>
    </row>
    <row r="35" customFormat="false" ht="15" hidden="false" customHeight="false" outlineLevel="0" collapsed="false">
      <c r="A35" s="18" t="s">
        <v>397</v>
      </c>
      <c r="B35" s="25" t="n">
        <v>46178</v>
      </c>
      <c r="C35" s="18" t="s">
        <v>398</v>
      </c>
      <c r="D35" s="20" t="s">
        <v>399</v>
      </c>
      <c r="E35" s="18" t="s">
        <v>109</v>
      </c>
      <c r="F35" s="20" t="s">
        <v>79</v>
      </c>
      <c r="G35" s="18" t="s">
        <v>208</v>
      </c>
      <c r="H35" s="20" t="str">
        <f aca="false">VLOOKUP(G35,'Product Master'!$A$5:$K$104,2,FALSE())</f>
        <v>Pro Packaging Item 014</v>
      </c>
      <c r="I35" s="20" t="str">
        <f aca="false">VLOOKUP(G35,'Product Master'!$A$5:$K$104,3,FALSE())</f>
        <v>Packaging</v>
      </c>
      <c r="J35" s="17" t="n">
        <v>3</v>
      </c>
      <c r="K35" s="16" t="n">
        <v>4696.7</v>
      </c>
      <c r="L35" s="16" t="n">
        <f aca="false">J35*K35</f>
        <v>14090.1</v>
      </c>
      <c r="M35" s="18" t="s">
        <v>35</v>
      </c>
      <c r="N35" s="25" t="n">
        <v>46180</v>
      </c>
      <c r="O35" s="25" t="n">
        <v>46182</v>
      </c>
      <c r="P35" s="25" t="n">
        <v>46182</v>
      </c>
      <c r="Q35" s="17" t="n">
        <f aca="false">IF(P35&lt;&gt;"",MAX(1,P35-B35),IF(M35="Dispatched",MAX(1,O35-B35),0))</f>
        <v>4</v>
      </c>
      <c r="R35" s="17" t="n">
        <f aca="false">IF(M35="Cancelled",0,IF(P35&lt;&gt;"",MAX(0,P35-O35),IF(T35&lt;&gt;"None",MAX(1,O35-B35-2),0)))</f>
        <v>0</v>
      </c>
      <c r="S35" s="18" t="s">
        <v>310</v>
      </c>
      <c r="T35" s="20" t="s">
        <v>317</v>
      </c>
    </row>
    <row r="36" customFormat="false" ht="15" hidden="false" customHeight="false" outlineLevel="0" collapsed="false">
      <c r="A36" s="26" t="s">
        <v>400</v>
      </c>
      <c r="B36" s="34" t="n">
        <v>46178</v>
      </c>
      <c r="C36" s="26" t="s">
        <v>401</v>
      </c>
      <c r="D36" s="27" t="s">
        <v>402</v>
      </c>
      <c r="E36" s="26" t="s">
        <v>111</v>
      </c>
      <c r="F36" s="27" t="s">
        <v>76</v>
      </c>
      <c r="G36" s="26" t="s">
        <v>239</v>
      </c>
      <c r="H36" s="27" t="str">
        <f aca="false">VLOOKUP(G36,'Product Master'!$A$5:$K$104,2,FALSE())</f>
        <v>Essential Industrial Item 045</v>
      </c>
      <c r="I36" s="27" t="str">
        <f aca="false">VLOOKUP(G36,'Product Master'!$A$5:$K$104,3,FALSE())</f>
        <v>Industrial</v>
      </c>
      <c r="J36" s="28" t="n">
        <v>15</v>
      </c>
      <c r="K36" s="29" t="n">
        <v>9908.93</v>
      </c>
      <c r="L36" s="29" t="n">
        <f aca="false">J36*K36</f>
        <v>148633.95</v>
      </c>
      <c r="M36" s="26" t="s">
        <v>39</v>
      </c>
      <c r="N36" s="34"/>
      <c r="O36" s="34" t="n">
        <v>46187</v>
      </c>
      <c r="P36" s="34"/>
      <c r="Q36" s="28" t="n">
        <f aca="false">IF(P36&lt;&gt;"",MAX(1,P36-B36),IF(M36="Dispatched",MAX(1,O36-B36),0))</f>
        <v>0</v>
      </c>
      <c r="R36" s="28" t="n">
        <f aca="false">IF(M36="Cancelled",0,IF(P36&lt;&gt;"",MAX(0,P36-O36),IF(T36&lt;&gt;"None",MAX(1,O36-B36-2),0)))</f>
        <v>7</v>
      </c>
      <c r="S36" s="26" t="s">
        <v>37</v>
      </c>
      <c r="T36" s="27" t="s">
        <v>108</v>
      </c>
    </row>
    <row r="37" customFormat="false" ht="15" hidden="false" customHeight="false" outlineLevel="0" collapsed="false">
      <c r="A37" s="18" t="s">
        <v>403</v>
      </c>
      <c r="B37" s="25" t="n">
        <v>45989</v>
      </c>
      <c r="C37" s="18" t="s">
        <v>404</v>
      </c>
      <c r="D37" s="20" t="s">
        <v>405</v>
      </c>
      <c r="E37" s="18" t="s">
        <v>109</v>
      </c>
      <c r="F37" s="20" t="s">
        <v>76</v>
      </c>
      <c r="G37" s="18" t="s">
        <v>197</v>
      </c>
      <c r="H37" s="20" t="str">
        <f aca="false">VLOOKUP(G37,'Product Master'!$A$5:$K$104,2,FALSE())</f>
        <v>Premium Office Item 003</v>
      </c>
      <c r="I37" s="20" t="str">
        <f aca="false">VLOOKUP(G37,'Product Master'!$A$5:$K$104,3,FALSE())</f>
        <v>Office Supplies</v>
      </c>
      <c r="J37" s="17" t="n">
        <v>22</v>
      </c>
      <c r="K37" s="16" t="n">
        <v>1653.15</v>
      </c>
      <c r="L37" s="16" t="n">
        <f aca="false">J37*K37</f>
        <v>36369.3</v>
      </c>
      <c r="M37" s="18" t="s">
        <v>39</v>
      </c>
      <c r="N37" s="25"/>
      <c r="O37" s="25" t="n">
        <v>45994</v>
      </c>
      <c r="P37" s="25"/>
      <c r="Q37" s="17" t="n">
        <f aca="false">IF(P37&lt;&gt;"",MAX(1,P37-B37),IF(M37="Dispatched",MAX(1,O37-B37),0))</f>
        <v>0</v>
      </c>
      <c r="R37" s="17" t="n">
        <f aca="false">IF(M37="Cancelled",0,IF(P37&lt;&gt;"",MAX(0,P37-O37),IF(T37&lt;&gt;"None",MAX(1,O37-B37-2),0)))</f>
        <v>0</v>
      </c>
      <c r="S37" s="18" t="s">
        <v>310</v>
      </c>
      <c r="T37" s="20" t="s">
        <v>317</v>
      </c>
    </row>
    <row r="38" customFormat="false" ht="15" hidden="false" customHeight="false" outlineLevel="0" collapsed="false">
      <c r="A38" s="26" t="s">
        <v>406</v>
      </c>
      <c r="B38" s="34" t="n">
        <v>46167</v>
      </c>
      <c r="C38" s="26" t="s">
        <v>360</v>
      </c>
      <c r="D38" s="27" t="s">
        <v>381</v>
      </c>
      <c r="E38" s="26" t="s">
        <v>111</v>
      </c>
      <c r="F38" s="27" t="s">
        <v>77</v>
      </c>
      <c r="G38" s="26" t="s">
        <v>224</v>
      </c>
      <c r="H38" s="27" t="str">
        <f aca="false">VLOOKUP(G38,'Product Master'!$A$5:$K$104,2,FALSE())</f>
        <v>Premium Packaging Item 030</v>
      </c>
      <c r="I38" s="27" t="str">
        <f aca="false">VLOOKUP(G38,'Product Master'!$A$5:$K$104,3,FALSE())</f>
        <v>Packaging</v>
      </c>
      <c r="J38" s="28" t="n">
        <v>6</v>
      </c>
      <c r="K38" s="29" t="n">
        <v>6643.61</v>
      </c>
      <c r="L38" s="29" t="n">
        <f aca="false">J38*K38</f>
        <v>39861.66</v>
      </c>
      <c r="M38" s="26" t="s">
        <v>37</v>
      </c>
      <c r="N38" s="34"/>
      <c r="O38" s="34" t="n">
        <v>46175</v>
      </c>
      <c r="P38" s="34"/>
      <c r="Q38" s="28" t="n">
        <f aca="false">IF(P38&lt;&gt;"",MAX(1,P38-B38),IF(M38="Dispatched",MAX(1,O38-B38),0))</f>
        <v>0</v>
      </c>
      <c r="R38" s="28" t="n">
        <f aca="false">IF(M38="Cancelled",0,IF(P38&lt;&gt;"",MAX(0,P38-O38),IF(T38&lt;&gt;"None",MAX(1,O38-B38-2),0)))</f>
        <v>6</v>
      </c>
      <c r="S38" s="26" t="s">
        <v>310</v>
      </c>
      <c r="T38" s="27" t="s">
        <v>116</v>
      </c>
    </row>
    <row r="39" customFormat="false" ht="15" hidden="false" customHeight="false" outlineLevel="0" collapsed="false">
      <c r="A39" s="18" t="s">
        <v>407</v>
      </c>
      <c r="B39" s="25" t="n">
        <v>46130</v>
      </c>
      <c r="C39" s="18" t="s">
        <v>363</v>
      </c>
      <c r="D39" s="20" t="s">
        <v>405</v>
      </c>
      <c r="E39" s="18" t="s">
        <v>107</v>
      </c>
      <c r="F39" s="20" t="s">
        <v>77</v>
      </c>
      <c r="G39" s="18" t="s">
        <v>195</v>
      </c>
      <c r="H39" s="20" t="str">
        <f aca="false">VLOOKUP(G39,'Product Master'!$A$5:$K$104,2,FALSE())</f>
        <v>Everyday Electronics Item 001</v>
      </c>
      <c r="I39" s="20" t="str">
        <f aca="false">VLOOKUP(G39,'Product Master'!$A$5:$K$104,3,FALSE())</f>
        <v>Electronics</v>
      </c>
      <c r="J39" s="17" t="n">
        <v>9</v>
      </c>
      <c r="K39" s="16" t="n">
        <v>2912.4</v>
      </c>
      <c r="L39" s="16" t="n">
        <f aca="false">J39*K39</f>
        <v>26211.6</v>
      </c>
      <c r="M39" s="18" t="s">
        <v>39</v>
      </c>
      <c r="N39" s="25"/>
      <c r="O39" s="25" t="n">
        <v>46133</v>
      </c>
      <c r="P39" s="25"/>
      <c r="Q39" s="17" t="n">
        <f aca="false">IF(P39&lt;&gt;"",MAX(1,P39-B39),IF(M39="Dispatched",MAX(1,O39-B39),0))</f>
        <v>0</v>
      </c>
      <c r="R39" s="17" t="n">
        <f aca="false">IF(M39="Cancelled",0,IF(P39&lt;&gt;"",MAX(0,P39-O39),IF(T39&lt;&gt;"None",MAX(1,O39-B39-2),0)))</f>
        <v>0</v>
      </c>
      <c r="S39" s="18" t="s">
        <v>310</v>
      </c>
      <c r="T39" s="20" t="s">
        <v>317</v>
      </c>
    </row>
    <row r="40" customFormat="false" ht="15" hidden="false" customHeight="false" outlineLevel="0" collapsed="false">
      <c r="A40" s="26" t="s">
        <v>408</v>
      </c>
      <c r="B40" s="34" t="n">
        <v>46165</v>
      </c>
      <c r="C40" s="26" t="s">
        <v>409</v>
      </c>
      <c r="D40" s="27" t="s">
        <v>410</v>
      </c>
      <c r="E40" s="26" t="s">
        <v>109</v>
      </c>
      <c r="F40" s="27" t="s">
        <v>79</v>
      </c>
      <c r="G40" s="26" t="s">
        <v>209</v>
      </c>
      <c r="H40" s="27" t="str">
        <f aca="false">VLOOKUP(G40,'Product Master'!$A$5:$K$104,2,FALSE())</f>
        <v>Classic Apparel Item 015</v>
      </c>
      <c r="I40" s="27" t="str">
        <f aca="false">VLOOKUP(G40,'Product Master'!$A$5:$K$104,3,FALSE())</f>
        <v>Apparel</v>
      </c>
      <c r="J40" s="28" t="n">
        <v>17</v>
      </c>
      <c r="K40" s="29" t="n">
        <v>1631</v>
      </c>
      <c r="L40" s="29" t="n">
        <f aca="false">J40*K40</f>
        <v>27727</v>
      </c>
      <c r="M40" s="26" t="s">
        <v>43</v>
      </c>
      <c r="N40" s="34"/>
      <c r="O40" s="34" t="n">
        <v>46172</v>
      </c>
      <c r="P40" s="34"/>
      <c r="Q40" s="28" t="n">
        <f aca="false">IF(P40&lt;&gt;"",MAX(1,P40-B40),IF(M40="Dispatched",MAX(1,O40-B40),0))</f>
        <v>0</v>
      </c>
      <c r="R40" s="28" t="n">
        <f aca="false">IF(M40="Cancelled",0,IF(P40&lt;&gt;"",MAX(0,P40-O40),IF(T40&lt;&gt;"None",MAX(1,O40-B40-2),0)))</f>
        <v>0</v>
      </c>
      <c r="S40" s="26" t="s">
        <v>310</v>
      </c>
      <c r="T40" s="27" t="s">
        <v>411</v>
      </c>
    </row>
    <row r="41" customFormat="false" ht="15" hidden="false" customHeight="false" outlineLevel="0" collapsed="false">
      <c r="A41" s="18" t="s">
        <v>412</v>
      </c>
      <c r="B41" s="25" t="n">
        <v>45989</v>
      </c>
      <c r="C41" s="18" t="s">
        <v>413</v>
      </c>
      <c r="D41" s="20" t="s">
        <v>414</v>
      </c>
      <c r="E41" s="18" t="s">
        <v>109</v>
      </c>
      <c r="F41" s="20" t="s">
        <v>79</v>
      </c>
      <c r="G41" s="18" t="s">
        <v>239</v>
      </c>
      <c r="H41" s="20" t="str">
        <f aca="false">VLOOKUP(G41,'Product Master'!$A$5:$K$104,2,FALSE())</f>
        <v>Essential Industrial Item 045</v>
      </c>
      <c r="I41" s="20" t="str">
        <f aca="false">VLOOKUP(G41,'Product Master'!$A$5:$K$104,3,FALSE())</f>
        <v>Industrial</v>
      </c>
      <c r="J41" s="17" t="n">
        <v>20</v>
      </c>
      <c r="K41" s="16" t="n">
        <v>9908.93</v>
      </c>
      <c r="L41" s="16" t="n">
        <f aca="false">J41*K41</f>
        <v>198178.6</v>
      </c>
      <c r="M41" s="18" t="s">
        <v>35</v>
      </c>
      <c r="N41" s="25" t="n">
        <v>45989</v>
      </c>
      <c r="O41" s="25" t="n">
        <v>45995</v>
      </c>
      <c r="P41" s="25" t="n">
        <v>45994</v>
      </c>
      <c r="Q41" s="17" t="n">
        <f aca="false">IF(P41&lt;&gt;"",MAX(1,P41-B41),IF(M41="Dispatched",MAX(1,O41-B41),0))</f>
        <v>5</v>
      </c>
      <c r="R41" s="17" t="n">
        <f aca="false">IF(M41="Cancelled",0,IF(P41&lt;&gt;"",MAX(0,P41-O41),IF(T41&lt;&gt;"None",MAX(1,O41-B41-2),0)))</f>
        <v>0</v>
      </c>
      <c r="S41" s="18" t="s">
        <v>310</v>
      </c>
      <c r="T41" s="20" t="s">
        <v>317</v>
      </c>
    </row>
    <row r="42" customFormat="false" ht="15" hidden="false" customHeight="false" outlineLevel="0" collapsed="false">
      <c r="A42" s="26" t="s">
        <v>415</v>
      </c>
      <c r="B42" s="34" t="n">
        <v>46024</v>
      </c>
      <c r="C42" s="26" t="s">
        <v>416</v>
      </c>
      <c r="D42" s="27" t="s">
        <v>417</v>
      </c>
      <c r="E42" s="26" t="s">
        <v>107</v>
      </c>
      <c r="F42" s="27" t="s">
        <v>80</v>
      </c>
      <c r="G42" s="26" t="s">
        <v>242</v>
      </c>
      <c r="H42" s="27" t="str">
        <f aca="false">VLOOKUP(G42,'Product Master'!$A$5:$K$104,2,FALSE())</f>
        <v>Eco Automotive Item 048</v>
      </c>
      <c r="I42" s="27" t="str">
        <f aca="false">VLOOKUP(G42,'Product Master'!$A$5:$K$104,3,FALSE())</f>
        <v>Automotive</v>
      </c>
      <c r="J42" s="28" t="n">
        <v>13</v>
      </c>
      <c r="K42" s="29" t="n">
        <v>444.67</v>
      </c>
      <c r="L42" s="29" t="n">
        <f aca="false">J42*K42</f>
        <v>5780.71</v>
      </c>
      <c r="M42" s="26" t="s">
        <v>35</v>
      </c>
      <c r="N42" s="34" t="n">
        <v>46027</v>
      </c>
      <c r="O42" s="34" t="n">
        <v>46028</v>
      </c>
      <c r="P42" s="34" t="n">
        <v>46030</v>
      </c>
      <c r="Q42" s="28" t="n">
        <f aca="false">IF(P42&lt;&gt;"",MAX(1,P42-B42),IF(M42="Dispatched",MAX(1,O42-B42),0))</f>
        <v>6</v>
      </c>
      <c r="R42" s="28" t="n">
        <f aca="false">IF(M42="Cancelled",0,IF(P42&lt;&gt;"",MAX(0,P42-O42),IF(T42&lt;&gt;"None",MAX(1,O42-B42-2),0)))</f>
        <v>2</v>
      </c>
      <c r="S42" s="26" t="s">
        <v>310</v>
      </c>
      <c r="T42" s="27" t="s">
        <v>106</v>
      </c>
    </row>
    <row r="43" customFormat="false" ht="15" hidden="false" customHeight="false" outlineLevel="0" collapsed="false">
      <c r="A43" s="18" t="s">
        <v>418</v>
      </c>
      <c r="B43" s="25" t="n">
        <v>46078</v>
      </c>
      <c r="C43" s="18" t="s">
        <v>416</v>
      </c>
      <c r="D43" s="20" t="s">
        <v>419</v>
      </c>
      <c r="E43" s="18" t="s">
        <v>107</v>
      </c>
      <c r="F43" s="20" t="s">
        <v>78</v>
      </c>
      <c r="G43" s="18" t="s">
        <v>212</v>
      </c>
      <c r="H43" s="20" t="str">
        <f aca="false">VLOOKUP(G43,'Product Master'!$A$5:$K$104,2,FALSE())</f>
        <v>Smart Home Item 018</v>
      </c>
      <c r="I43" s="20" t="str">
        <f aca="false">VLOOKUP(G43,'Product Master'!$A$5:$K$104,3,FALSE())</f>
        <v>Home &amp; Kitchen</v>
      </c>
      <c r="J43" s="17" t="n">
        <v>15</v>
      </c>
      <c r="K43" s="16" t="n">
        <v>5693.61</v>
      </c>
      <c r="L43" s="16" t="n">
        <f aca="false">J43*K43</f>
        <v>85404.15</v>
      </c>
      <c r="M43" s="18" t="s">
        <v>37</v>
      </c>
      <c r="N43" s="25"/>
      <c r="O43" s="25" t="n">
        <v>46085</v>
      </c>
      <c r="P43" s="25"/>
      <c r="Q43" s="17" t="n">
        <f aca="false">IF(P43&lt;&gt;"",MAX(1,P43-B43),IF(M43="Dispatched",MAX(1,O43-B43),0))</f>
        <v>0</v>
      </c>
      <c r="R43" s="17" t="n">
        <f aca="false">IF(M43="Cancelled",0,IF(P43&lt;&gt;"",MAX(0,P43-O43),IF(T43&lt;&gt;"None",MAX(1,O43-B43-2),0)))</f>
        <v>0</v>
      </c>
      <c r="S43" s="18" t="s">
        <v>37</v>
      </c>
      <c r="T43" s="20" t="s">
        <v>317</v>
      </c>
    </row>
    <row r="44" customFormat="false" ht="15" hidden="false" customHeight="false" outlineLevel="0" collapsed="false">
      <c r="A44" s="26" t="s">
        <v>420</v>
      </c>
      <c r="B44" s="34" t="n">
        <v>46218</v>
      </c>
      <c r="C44" s="26" t="s">
        <v>421</v>
      </c>
      <c r="D44" s="27" t="s">
        <v>422</v>
      </c>
      <c r="E44" s="26" t="s">
        <v>111</v>
      </c>
      <c r="F44" s="27" t="s">
        <v>79</v>
      </c>
      <c r="G44" s="26" t="s">
        <v>259</v>
      </c>
      <c r="H44" s="27" t="str">
        <f aca="false">VLOOKUP(G44,'Product Master'!$A$5:$K$104,2,FALSE())</f>
        <v>Compact Electronics Item 065</v>
      </c>
      <c r="I44" s="27" t="str">
        <f aca="false">VLOOKUP(G44,'Product Master'!$A$5:$K$104,3,FALSE())</f>
        <v>Electronics</v>
      </c>
      <c r="J44" s="28" t="n">
        <v>22</v>
      </c>
      <c r="K44" s="29" t="n">
        <v>7172.77</v>
      </c>
      <c r="L44" s="29" t="n">
        <f aca="false">J44*K44</f>
        <v>157800.94</v>
      </c>
      <c r="M44" s="26" t="s">
        <v>35</v>
      </c>
      <c r="N44" s="34" t="n">
        <v>46221</v>
      </c>
      <c r="O44" s="34" t="n">
        <v>46227</v>
      </c>
      <c r="P44" s="34" t="n">
        <v>46226</v>
      </c>
      <c r="Q44" s="28" t="n">
        <f aca="false">IF(P44&lt;&gt;"",MAX(1,P44-B44),IF(M44="Dispatched",MAX(1,O44-B44),0))</f>
        <v>8</v>
      </c>
      <c r="R44" s="28" t="n">
        <f aca="false">IF(M44="Cancelled",0,IF(P44&lt;&gt;"",MAX(0,P44-O44),IF(T44&lt;&gt;"None",MAX(1,O44-B44-2),0)))</f>
        <v>0</v>
      </c>
      <c r="S44" s="26" t="s">
        <v>37</v>
      </c>
      <c r="T44" s="27" t="s">
        <v>317</v>
      </c>
    </row>
    <row r="45" customFormat="false" ht="15" hidden="false" customHeight="false" outlineLevel="0" collapsed="false">
      <c r="A45" s="18" t="s">
        <v>423</v>
      </c>
      <c r="B45" s="25" t="n">
        <v>46080</v>
      </c>
      <c r="C45" s="18" t="s">
        <v>424</v>
      </c>
      <c r="D45" s="20" t="s">
        <v>425</v>
      </c>
      <c r="E45" s="18" t="s">
        <v>109</v>
      </c>
      <c r="F45" s="20" t="s">
        <v>77</v>
      </c>
      <c r="G45" s="18" t="s">
        <v>199</v>
      </c>
      <c r="H45" s="20" t="str">
        <f aca="false">VLOOKUP(G45,'Product Master'!$A$5:$K$104,2,FALSE())</f>
        <v>Everyday Industrial Item 005</v>
      </c>
      <c r="I45" s="20" t="str">
        <f aca="false">VLOOKUP(G45,'Product Master'!$A$5:$K$104,3,FALSE())</f>
        <v>Industrial</v>
      </c>
      <c r="J45" s="17" t="n">
        <v>18</v>
      </c>
      <c r="K45" s="16" t="n">
        <v>1573.69</v>
      </c>
      <c r="L45" s="16" t="n">
        <f aca="false">J45*K45</f>
        <v>28326.42</v>
      </c>
      <c r="M45" s="18" t="s">
        <v>35</v>
      </c>
      <c r="N45" s="25" t="n">
        <v>46083</v>
      </c>
      <c r="O45" s="25" t="n">
        <v>46089</v>
      </c>
      <c r="P45" s="25" t="n">
        <v>46097</v>
      </c>
      <c r="Q45" s="17" t="n">
        <f aca="false">IF(P45&lt;&gt;"",MAX(1,P45-B45),IF(M45="Dispatched",MAX(1,O45-B45),0))</f>
        <v>17</v>
      </c>
      <c r="R45" s="17" t="n">
        <f aca="false">IF(M45="Cancelled",0,IF(P45&lt;&gt;"",MAX(0,P45-O45),IF(T45&lt;&gt;"None",MAX(1,O45-B45-2),0)))</f>
        <v>8</v>
      </c>
      <c r="S45" s="18" t="s">
        <v>37</v>
      </c>
      <c r="T45" s="20" t="s">
        <v>110</v>
      </c>
    </row>
    <row r="46" customFormat="false" ht="15" hidden="false" customHeight="false" outlineLevel="0" collapsed="false">
      <c r="A46" s="26" t="s">
        <v>426</v>
      </c>
      <c r="B46" s="34" t="n">
        <v>46118</v>
      </c>
      <c r="C46" s="26" t="s">
        <v>354</v>
      </c>
      <c r="D46" s="27" t="s">
        <v>427</v>
      </c>
      <c r="E46" s="26" t="s">
        <v>105</v>
      </c>
      <c r="F46" s="27" t="s">
        <v>79</v>
      </c>
      <c r="G46" s="26" t="s">
        <v>264</v>
      </c>
      <c r="H46" s="27" t="str">
        <f aca="false">VLOOKUP(G46,'Product Master'!$A$5:$K$104,2,FALSE())</f>
        <v>Eco Packaging Item 070</v>
      </c>
      <c r="I46" s="27" t="str">
        <f aca="false">VLOOKUP(G46,'Product Master'!$A$5:$K$104,3,FALSE())</f>
        <v>Packaging</v>
      </c>
      <c r="J46" s="28" t="n">
        <v>18</v>
      </c>
      <c r="K46" s="29" t="n">
        <v>6067.79</v>
      </c>
      <c r="L46" s="29" t="n">
        <f aca="false">J46*K46</f>
        <v>109220.22</v>
      </c>
      <c r="M46" s="26" t="s">
        <v>35</v>
      </c>
      <c r="N46" s="34" t="n">
        <v>46118</v>
      </c>
      <c r="O46" s="34" t="n">
        <v>46126</v>
      </c>
      <c r="P46" s="34" t="n">
        <v>46126</v>
      </c>
      <c r="Q46" s="28" t="n">
        <f aca="false">IF(P46&lt;&gt;"",MAX(1,P46-B46),IF(M46="Dispatched",MAX(1,O46-B46),0))</f>
        <v>8</v>
      </c>
      <c r="R46" s="28" t="n">
        <f aca="false">IF(M46="Cancelled",0,IF(P46&lt;&gt;"",MAX(0,P46-O46),IF(T46&lt;&gt;"None",MAX(1,O46-B46-2),0)))</f>
        <v>0</v>
      </c>
      <c r="S46" s="26" t="s">
        <v>310</v>
      </c>
      <c r="T46" s="27" t="s">
        <v>317</v>
      </c>
    </row>
    <row r="47" customFormat="false" ht="15" hidden="false" customHeight="false" outlineLevel="0" collapsed="false">
      <c r="A47" s="18" t="s">
        <v>428</v>
      </c>
      <c r="B47" s="25" t="n">
        <v>45975</v>
      </c>
      <c r="C47" s="18" t="s">
        <v>429</v>
      </c>
      <c r="D47" s="20" t="s">
        <v>430</v>
      </c>
      <c r="E47" s="18" t="s">
        <v>105</v>
      </c>
      <c r="F47" s="20" t="s">
        <v>77</v>
      </c>
      <c r="G47" s="18" t="s">
        <v>251</v>
      </c>
      <c r="H47" s="20" t="str">
        <f aca="false">VLOOKUP(G47,'Product Master'!$A$5:$K$104,2,FALSE())</f>
        <v>Essential Electronics Item 057</v>
      </c>
      <c r="I47" s="20" t="str">
        <f aca="false">VLOOKUP(G47,'Product Master'!$A$5:$K$104,3,FALSE())</f>
        <v>Electronics</v>
      </c>
      <c r="J47" s="17" t="n">
        <v>7</v>
      </c>
      <c r="K47" s="16" t="n">
        <v>8152.77</v>
      </c>
      <c r="L47" s="16" t="n">
        <f aca="false">J47*K47</f>
        <v>57069.39</v>
      </c>
      <c r="M47" s="18" t="s">
        <v>39</v>
      </c>
      <c r="N47" s="25"/>
      <c r="O47" s="25" t="n">
        <v>45982</v>
      </c>
      <c r="P47" s="25"/>
      <c r="Q47" s="17" t="n">
        <f aca="false">IF(P47&lt;&gt;"",MAX(1,P47-B47),IF(M47="Dispatched",MAX(1,O47-B47),0))</f>
        <v>0</v>
      </c>
      <c r="R47" s="17" t="n">
        <f aca="false">IF(M47="Cancelled",0,IF(P47&lt;&gt;"",MAX(0,P47-O47),IF(T47&lt;&gt;"None",MAX(1,O47-B47-2),0)))</f>
        <v>0</v>
      </c>
      <c r="S47" s="18" t="s">
        <v>310</v>
      </c>
      <c r="T47" s="20" t="s">
        <v>317</v>
      </c>
    </row>
    <row r="48" customFormat="false" ht="15" hidden="false" customHeight="false" outlineLevel="0" collapsed="false">
      <c r="A48" s="26" t="s">
        <v>431</v>
      </c>
      <c r="B48" s="34" t="n">
        <v>46036</v>
      </c>
      <c r="C48" s="26" t="s">
        <v>432</v>
      </c>
      <c r="D48" s="27" t="s">
        <v>342</v>
      </c>
      <c r="E48" s="26" t="s">
        <v>113</v>
      </c>
      <c r="F48" s="27" t="s">
        <v>78</v>
      </c>
      <c r="G48" s="26" t="s">
        <v>202</v>
      </c>
      <c r="H48" s="27" t="str">
        <f aca="false">VLOOKUP(G48,'Product Master'!$A$5:$K$104,2,FALSE())</f>
        <v>Smart Automotive Item 008</v>
      </c>
      <c r="I48" s="27" t="str">
        <f aca="false">VLOOKUP(G48,'Product Master'!$A$5:$K$104,3,FALSE())</f>
        <v>Automotive</v>
      </c>
      <c r="J48" s="28" t="n">
        <v>18</v>
      </c>
      <c r="K48" s="29" t="n">
        <v>8489.02</v>
      </c>
      <c r="L48" s="29" t="n">
        <f aca="false">J48*K48</f>
        <v>152802.36</v>
      </c>
      <c r="M48" s="26" t="s">
        <v>35</v>
      </c>
      <c r="N48" s="34" t="n">
        <v>46038</v>
      </c>
      <c r="O48" s="34" t="n">
        <v>46040</v>
      </c>
      <c r="P48" s="34" t="n">
        <v>46040</v>
      </c>
      <c r="Q48" s="28" t="n">
        <f aca="false">IF(P48&lt;&gt;"",MAX(1,P48-B48),IF(M48="Dispatched",MAX(1,O48-B48),0))</f>
        <v>4</v>
      </c>
      <c r="R48" s="28" t="n">
        <f aca="false">IF(M48="Cancelled",0,IF(P48&lt;&gt;"",MAX(0,P48-O48),IF(T48&lt;&gt;"None",MAX(1,O48-B48-2),0)))</f>
        <v>0</v>
      </c>
      <c r="S48" s="26" t="s">
        <v>310</v>
      </c>
      <c r="T48" s="27" t="s">
        <v>317</v>
      </c>
    </row>
    <row r="49" customFormat="false" ht="15" hidden="false" customHeight="false" outlineLevel="0" collapsed="false">
      <c r="A49" s="18" t="s">
        <v>433</v>
      </c>
      <c r="B49" s="25" t="n">
        <v>46278</v>
      </c>
      <c r="C49" s="18" t="s">
        <v>434</v>
      </c>
      <c r="D49" s="20" t="s">
        <v>419</v>
      </c>
      <c r="E49" s="18" t="s">
        <v>107</v>
      </c>
      <c r="F49" s="20" t="s">
        <v>79</v>
      </c>
      <c r="G49" s="18" t="s">
        <v>207</v>
      </c>
      <c r="H49" s="20" t="str">
        <f aca="false">VLOOKUP(G49,'Product Master'!$A$5:$K$104,2,FALSE())</f>
        <v>Eco Industrial Item 013</v>
      </c>
      <c r="I49" s="20" t="str">
        <f aca="false">VLOOKUP(G49,'Product Master'!$A$5:$K$104,3,FALSE())</f>
        <v>Industrial</v>
      </c>
      <c r="J49" s="17" t="n">
        <v>2</v>
      </c>
      <c r="K49" s="16" t="n">
        <v>12957.77</v>
      </c>
      <c r="L49" s="16" t="n">
        <f aca="false">J49*K49</f>
        <v>25915.54</v>
      </c>
      <c r="M49" s="18" t="s">
        <v>43</v>
      </c>
      <c r="N49" s="25"/>
      <c r="O49" s="25" t="n">
        <v>46282</v>
      </c>
      <c r="P49" s="25"/>
      <c r="Q49" s="17" t="n">
        <f aca="false">IF(P49&lt;&gt;"",MAX(1,P49-B49),IF(M49="Dispatched",MAX(1,O49-B49),0))</f>
        <v>0</v>
      </c>
      <c r="R49" s="17" t="n">
        <f aca="false">IF(M49="Cancelled",0,IF(P49&lt;&gt;"",MAX(0,P49-O49),IF(T49&lt;&gt;"None",MAX(1,O49-B49-2),0)))</f>
        <v>0</v>
      </c>
      <c r="S49" s="18" t="s">
        <v>310</v>
      </c>
      <c r="T49" s="20" t="s">
        <v>411</v>
      </c>
    </row>
    <row r="50" customFormat="false" ht="15" hidden="false" customHeight="false" outlineLevel="0" collapsed="false">
      <c r="A50" s="26" t="s">
        <v>435</v>
      </c>
      <c r="B50" s="34" t="n">
        <v>46095</v>
      </c>
      <c r="C50" s="26" t="s">
        <v>436</v>
      </c>
      <c r="D50" s="27" t="s">
        <v>437</v>
      </c>
      <c r="E50" s="26" t="s">
        <v>111</v>
      </c>
      <c r="F50" s="27" t="s">
        <v>79</v>
      </c>
      <c r="G50" s="26" t="s">
        <v>226</v>
      </c>
      <c r="H50" s="27" t="str">
        <f aca="false">VLOOKUP(G50,'Product Master'!$A$5:$K$104,2,FALSE())</f>
        <v>Smart Automotive Item 032</v>
      </c>
      <c r="I50" s="27" t="str">
        <f aca="false">VLOOKUP(G50,'Product Master'!$A$5:$K$104,3,FALSE())</f>
        <v>Automotive</v>
      </c>
      <c r="J50" s="28" t="n">
        <v>5</v>
      </c>
      <c r="K50" s="29" t="n">
        <v>10211.16</v>
      </c>
      <c r="L50" s="29" t="n">
        <f aca="false">J50*K50</f>
        <v>51055.8</v>
      </c>
      <c r="M50" s="26" t="s">
        <v>35</v>
      </c>
      <c r="N50" s="34" t="n">
        <v>46098</v>
      </c>
      <c r="O50" s="34" t="n">
        <v>46101</v>
      </c>
      <c r="P50" s="34" t="n">
        <v>46103</v>
      </c>
      <c r="Q50" s="28" t="n">
        <f aca="false">IF(P50&lt;&gt;"",MAX(1,P50-B50),IF(M50="Dispatched",MAX(1,O50-B50),0))</f>
        <v>8</v>
      </c>
      <c r="R50" s="28" t="n">
        <f aca="false">IF(M50="Cancelled",0,IF(P50&lt;&gt;"",MAX(0,P50-O50),IF(T50&lt;&gt;"None",MAX(1,O50-B50-2),0)))</f>
        <v>2</v>
      </c>
      <c r="S50" s="26" t="s">
        <v>310</v>
      </c>
      <c r="T50" s="27" t="s">
        <v>114</v>
      </c>
    </row>
    <row r="51" customFormat="false" ht="15" hidden="false" customHeight="false" outlineLevel="0" collapsed="false">
      <c r="A51" s="18" t="s">
        <v>438</v>
      </c>
      <c r="B51" s="25" t="n">
        <v>46073</v>
      </c>
      <c r="C51" s="18" t="s">
        <v>439</v>
      </c>
      <c r="D51" s="20" t="s">
        <v>440</v>
      </c>
      <c r="E51" s="18" t="s">
        <v>109</v>
      </c>
      <c r="F51" s="20" t="s">
        <v>79</v>
      </c>
      <c r="G51" s="18" t="s">
        <v>283</v>
      </c>
      <c r="H51" s="20" t="str">
        <f aca="false">VLOOKUP(G51,'Product Master'!$A$5:$K$104,2,FALSE())</f>
        <v>Everyday Electronics Item 089</v>
      </c>
      <c r="I51" s="20" t="str">
        <f aca="false">VLOOKUP(G51,'Product Master'!$A$5:$K$104,3,FALSE())</f>
        <v>Electronics</v>
      </c>
      <c r="J51" s="17" t="n">
        <v>16</v>
      </c>
      <c r="K51" s="16" t="n">
        <v>2282.32</v>
      </c>
      <c r="L51" s="16" t="n">
        <f aca="false">J51*K51</f>
        <v>36517.12</v>
      </c>
      <c r="M51" s="18" t="s">
        <v>35</v>
      </c>
      <c r="N51" s="25" t="n">
        <v>46073</v>
      </c>
      <c r="O51" s="25" t="n">
        <v>46075</v>
      </c>
      <c r="P51" s="25" t="n">
        <v>46079</v>
      </c>
      <c r="Q51" s="17" t="n">
        <f aca="false">IF(P51&lt;&gt;"",MAX(1,P51-B51),IF(M51="Dispatched",MAX(1,O51-B51),0))</f>
        <v>6</v>
      </c>
      <c r="R51" s="17" t="n">
        <f aca="false">IF(M51="Cancelled",0,IF(P51&lt;&gt;"",MAX(0,P51-O51),IF(T51&lt;&gt;"None",MAX(1,O51-B51-2),0)))</f>
        <v>4</v>
      </c>
      <c r="S51" s="18" t="s">
        <v>310</v>
      </c>
      <c r="T51" s="20" t="s">
        <v>112</v>
      </c>
    </row>
    <row r="52" customFormat="false" ht="15" hidden="false" customHeight="false" outlineLevel="0" collapsed="false">
      <c r="A52" s="26" t="s">
        <v>441</v>
      </c>
      <c r="B52" s="34" t="n">
        <v>46042</v>
      </c>
      <c r="C52" s="26" t="s">
        <v>442</v>
      </c>
      <c r="D52" s="27" t="s">
        <v>443</v>
      </c>
      <c r="E52" s="26" t="s">
        <v>107</v>
      </c>
      <c r="F52" s="27" t="s">
        <v>79</v>
      </c>
      <c r="G52" s="26" t="s">
        <v>249</v>
      </c>
      <c r="H52" s="27" t="str">
        <f aca="false">VLOOKUP(G52,'Product Master'!$A$5:$K$104,2,FALSE())</f>
        <v>Eco Apparel Item 055</v>
      </c>
      <c r="I52" s="27" t="str">
        <f aca="false">VLOOKUP(G52,'Product Master'!$A$5:$K$104,3,FALSE())</f>
        <v>Apparel</v>
      </c>
      <c r="J52" s="28" t="n">
        <v>9</v>
      </c>
      <c r="K52" s="29" t="n">
        <v>3025.58</v>
      </c>
      <c r="L52" s="29" t="n">
        <f aca="false">J52*K52</f>
        <v>27230.22</v>
      </c>
      <c r="M52" s="26" t="s">
        <v>35</v>
      </c>
      <c r="N52" s="34" t="n">
        <v>46044</v>
      </c>
      <c r="O52" s="34" t="n">
        <v>46048</v>
      </c>
      <c r="P52" s="34" t="n">
        <v>46056</v>
      </c>
      <c r="Q52" s="28" t="n">
        <f aca="false">IF(P52&lt;&gt;"",MAX(1,P52-B52),IF(M52="Dispatched",MAX(1,O52-B52),0))</f>
        <v>14</v>
      </c>
      <c r="R52" s="28" t="n">
        <f aca="false">IF(M52="Cancelled",0,IF(P52&lt;&gt;"",MAX(0,P52-O52),IF(T52&lt;&gt;"None",MAX(1,O52-B52-2),0)))</f>
        <v>8</v>
      </c>
      <c r="S52" s="26" t="s">
        <v>310</v>
      </c>
      <c r="T52" s="27" t="s">
        <v>110</v>
      </c>
    </row>
    <row r="53" customFormat="false" ht="15" hidden="false" customHeight="false" outlineLevel="0" collapsed="false">
      <c r="A53" s="18" t="s">
        <v>444</v>
      </c>
      <c r="B53" s="25" t="n">
        <v>46280</v>
      </c>
      <c r="C53" s="18" t="s">
        <v>445</v>
      </c>
      <c r="D53" s="20" t="s">
        <v>446</v>
      </c>
      <c r="E53" s="18" t="s">
        <v>105</v>
      </c>
      <c r="F53" s="20" t="s">
        <v>76</v>
      </c>
      <c r="G53" s="18" t="s">
        <v>292</v>
      </c>
      <c r="H53" s="20" t="str">
        <f aca="false">VLOOKUP(G53,'Product Master'!$A$5:$K$104,2,FALSE())</f>
        <v>Compact Home Item 098</v>
      </c>
      <c r="I53" s="20" t="str">
        <f aca="false">VLOOKUP(G53,'Product Master'!$A$5:$K$104,3,FALSE())</f>
        <v>Home &amp; Kitchen</v>
      </c>
      <c r="J53" s="17" t="n">
        <v>4</v>
      </c>
      <c r="K53" s="16" t="n">
        <v>9200.31</v>
      </c>
      <c r="L53" s="16" t="n">
        <f aca="false">J53*K53</f>
        <v>36801.24</v>
      </c>
      <c r="M53" s="18" t="s">
        <v>37</v>
      </c>
      <c r="N53" s="25"/>
      <c r="O53" s="25" t="n">
        <v>46289</v>
      </c>
      <c r="P53" s="25"/>
      <c r="Q53" s="17" t="n">
        <f aca="false">IF(P53&lt;&gt;"",MAX(1,P53-B53),IF(M53="Dispatched",MAX(1,O53-B53),0))</f>
        <v>0</v>
      </c>
      <c r="R53" s="17" t="n">
        <f aca="false">IF(M53="Cancelled",0,IF(P53&lt;&gt;"",MAX(0,P53-O53),IF(T53&lt;&gt;"None",MAX(1,O53-B53-2),0)))</f>
        <v>0</v>
      </c>
      <c r="S53" s="18" t="s">
        <v>310</v>
      </c>
      <c r="T53" s="20" t="s">
        <v>317</v>
      </c>
    </row>
    <row r="54" customFormat="false" ht="15" hidden="false" customHeight="false" outlineLevel="0" collapsed="false">
      <c r="A54" s="26" t="s">
        <v>447</v>
      </c>
      <c r="B54" s="34" t="n">
        <v>46150</v>
      </c>
      <c r="C54" s="26" t="s">
        <v>344</v>
      </c>
      <c r="D54" s="27" t="s">
        <v>448</v>
      </c>
      <c r="E54" s="26" t="s">
        <v>107</v>
      </c>
      <c r="F54" s="27" t="s">
        <v>78</v>
      </c>
      <c r="G54" s="26" t="s">
        <v>220</v>
      </c>
      <c r="H54" s="27" t="str">
        <f aca="false">VLOOKUP(G54,'Product Master'!$A$5:$K$104,2,FALSE())</f>
        <v>Classic Home Item 026</v>
      </c>
      <c r="I54" s="27" t="str">
        <f aca="false">VLOOKUP(G54,'Product Master'!$A$5:$K$104,3,FALSE())</f>
        <v>Home &amp; Kitchen</v>
      </c>
      <c r="J54" s="28" t="n">
        <v>6</v>
      </c>
      <c r="K54" s="29" t="n">
        <v>4898.07</v>
      </c>
      <c r="L54" s="29" t="n">
        <f aca="false">J54*K54</f>
        <v>29388.42</v>
      </c>
      <c r="M54" s="26" t="s">
        <v>41</v>
      </c>
      <c r="N54" s="34" t="n">
        <v>46150</v>
      </c>
      <c r="O54" s="34" t="n">
        <v>46156</v>
      </c>
      <c r="P54" s="34"/>
      <c r="Q54" s="28" t="n">
        <f aca="false">IF(P54&lt;&gt;"",MAX(1,P54-B54),IF(M54="Dispatched",MAX(1,O54-B54),0))</f>
        <v>6</v>
      </c>
      <c r="R54" s="28" t="n">
        <f aca="false">IF(M54="Cancelled",0,IF(P54&lt;&gt;"",MAX(0,P54-O54),IF(T54&lt;&gt;"None",MAX(1,O54-B54-2),0)))</f>
        <v>4</v>
      </c>
      <c r="S54" s="26" t="s">
        <v>310</v>
      </c>
      <c r="T54" s="27" t="s">
        <v>115</v>
      </c>
    </row>
    <row r="55" customFormat="false" ht="15" hidden="false" customHeight="false" outlineLevel="0" collapsed="false">
      <c r="A55" s="18" t="s">
        <v>449</v>
      </c>
      <c r="B55" s="25" t="n">
        <v>46271</v>
      </c>
      <c r="C55" s="18" t="s">
        <v>344</v>
      </c>
      <c r="D55" s="20" t="s">
        <v>450</v>
      </c>
      <c r="E55" s="18" t="s">
        <v>107</v>
      </c>
      <c r="F55" s="20" t="s">
        <v>76</v>
      </c>
      <c r="G55" s="18" t="s">
        <v>278</v>
      </c>
      <c r="H55" s="20" t="str">
        <f aca="false">VLOOKUP(G55,'Product Master'!$A$5:$K$104,2,FALSE())</f>
        <v>Eco Personal Item 084</v>
      </c>
      <c r="I55" s="20" t="str">
        <f aca="false">VLOOKUP(G55,'Product Master'!$A$5:$K$104,3,FALSE())</f>
        <v>Personal Care</v>
      </c>
      <c r="J55" s="17" t="n">
        <v>13</v>
      </c>
      <c r="K55" s="16" t="n">
        <v>4628.26</v>
      </c>
      <c r="L55" s="16" t="n">
        <f aca="false">J55*K55</f>
        <v>60167.38</v>
      </c>
      <c r="M55" s="18" t="s">
        <v>37</v>
      </c>
      <c r="N55" s="25"/>
      <c r="O55" s="25" t="n">
        <v>46276</v>
      </c>
      <c r="P55" s="25"/>
      <c r="Q55" s="17" t="n">
        <f aca="false">IF(P55&lt;&gt;"",MAX(1,P55-B55),IF(M55="Dispatched",MAX(1,O55-B55),0))</f>
        <v>0</v>
      </c>
      <c r="R55" s="17" t="n">
        <f aca="false">IF(M55="Cancelled",0,IF(P55&lt;&gt;"",MAX(0,P55-O55),IF(T55&lt;&gt;"None",MAX(1,O55-B55-2),0)))</f>
        <v>0</v>
      </c>
      <c r="S55" s="18" t="s">
        <v>310</v>
      </c>
      <c r="T55" s="20" t="s">
        <v>317</v>
      </c>
    </row>
    <row r="56" customFormat="false" ht="15" hidden="false" customHeight="false" outlineLevel="0" collapsed="false">
      <c r="A56" s="26" t="s">
        <v>451</v>
      </c>
      <c r="B56" s="34" t="n">
        <v>46040</v>
      </c>
      <c r="C56" s="26" t="s">
        <v>452</v>
      </c>
      <c r="D56" s="27" t="s">
        <v>453</v>
      </c>
      <c r="E56" s="26" t="s">
        <v>105</v>
      </c>
      <c r="F56" s="27" t="s">
        <v>77</v>
      </c>
      <c r="G56" s="26" t="s">
        <v>256</v>
      </c>
      <c r="H56" s="27" t="str">
        <f aca="false">VLOOKUP(G56,'Product Master'!$A$5:$K$104,2,FALSE())</f>
        <v>Compact Packaging Item 062</v>
      </c>
      <c r="I56" s="27" t="str">
        <f aca="false">VLOOKUP(G56,'Product Master'!$A$5:$K$104,3,FALSE())</f>
        <v>Packaging</v>
      </c>
      <c r="J56" s="28" t="n">
        <v>19</v>
      </c>
      <c r="K56" s="29" t="n">
        <v>10323.31</v>
      </c>
      <c r="L56" s="29" t="n">
        <f aca="false">J56*K56</f>
        <v>196142.89</v>
      </c>
      <c r="M56" s="26" t="s">
        <v>35</v>
      </c>
      <c r="N56" s="34" t="n">
        <v>46040</v>
      </c>
      <c r="O56" s="34" t="n">
        <v>46049</v>
      </c>
      <c r="P56" s="34" t="n">
        <v>46045</v>
      </c>
      <c r="Q56" s="28" t="n">
        <f aca="false">IF(P56&lt;&gt;"",MAX(1,P56-B56),IF(M56="Dispatched",MAX(1,O56-B56),0))</f>
        <v>5</v>
      </c>
      <c r="R56" s="28" t="n">
        <f aca="false">IF(M56="Cancelled",0,IF(P56&lt;&gt;"",MAX(0,P56-O56),IF(T56&lt;&gt;"None",MAX(1,O56-B56-2),0)))</f>
        <v>0</v>
      </c>
      <c r="S56" s="26" t="s">
        <v>310</v>
      </c>
      <c r="T56" s="27" t="s">
        <v>317</v>
      </c>
    </row>
    <row r="57" customFormat="false" ht="15" hidden="false" customHeight="false" outlineLevel="0" collapsed="false">
      <c r="A57" s="18" t="s">
        <v>454</v>
      </c>
      <c r="B57" s="25" t="n">
        <v>46147</v>
      </c>
      <c r="C57" s="18" t="s">
        <v>413</v>
      </c>
      <c r="D57" s="20" t="s">
        <v>448</v>
      </c>
      <c r="E57" s="18" t="s">
        <v>107</v>
      </c>
      <c r="F57" s="20" t="s">
        <v>79</v>
      </c>
      <c r="G57" s="18" t="s">
        <v>283</v>
      </c>
      <c r="H57" s="20" t="str">
        <f aca="false">VLOOKUP(G57,'Product Master'!$A$5:$K$104,2,FALSE())</f>
        <v>Everyday Electronics Item 089</v>
      </c>
      <c r="I57" s="20" t="str">
        <f aca="false">VLOOKUP(G57,'Product Master'!$A$5:$K$104,3,FALSE())</f>
        <v>Electronics</v>
      </c>
      <c r="J57" s="17" t="n">
        <v>3</v>
      </c>
      <c r="K57" s="16" t="n">
        <v>2282.32</v>
      </c>
      <c r="L57" s="16" t="n">
        <f aca="false">J57*K57</f>
        <v>6846.96</v>
      </c>
      <c r="M57" s="18" t="s">
        <v>35</v>
      </c>
      <c r="N57" s="25" t="n">
        <v>46147</v>
      </c>
      <c r="O57" s="25" t="n">
        <v>46150</v>
      </c>
      <c r="P57" s="25" t="n">
        <v>46148</v>
      </c>
      <c r="Q57" s="17" t="n">
        <f aca="false">IF(P57&lt;&gt;"",MAX(1,P57-B57),IF(M57="Dispatched",MAX(1,O57-B57),0))</f>
        <v>1</v>
      </c>
      <c r="R57" s="17" t="n">
        <f aca="false">IF(M57="Cancelled",0,IF(P57&lt;&gt;"",MAX(0,P57-O57),IF(T57&lt;&gt;"None",MAX(1,O57-B57-2),0)))</f>
        <v>0</v>
      </c>
      <c r="S57" s="18" t="s">
        <v>310</v>
      </c>
      <c r="T57" s="20" t="s">
        <v>317</v>
      </c>
    </row>
    <row r="58" customFormat="false" ht="15" hidden="false" customHeight="false" outlineLevel="0" collapsed="false">
      <c r="A58" s="26" t="s">
        <v>455</v>
      </c>
      <c r="B58" s="34" t="n">
        <v>45999</v>
      </c>
      <c r="C58" s="26" t="s">
        <v>456</v>
      </c>
      <c r="D58" s="27" t="s">
        <v>457</v>
      </c>
      <c r="E58" s="26" t="s">
        <v>107</v>
      </c>
      <c r="F58" s="27" t="s">
        <v>76</v>
      </c>
      <c r="G58" s="26" t="s">
        <v>277</v>
      </c>
      <c r="H58" s="27" t="str">
        <f aca="false">VLOOKUP(G58,'Product Master'!$A$5:$K$104,2,FALSE())</f>
        <v>Essential Office Item 083</v>
      </c>
      <c r="I58" s="27" t="str">
        <f aca="false">VLOOKUP(G58,'Product Master'!$A$5:$K$104,3,FALSE())</f>
        <v>Office Supplies</v>
      </c>
      <c r="J58" s="28" t="n">
        <v>17</v>
      </c>
      <c r="K58" s="29" t="n">
        <v>4117.89</v>
      </c>
      <c r="L58" s="29" t="n">
        <f aca="false">J58*K58</f>
        <v>70004.13</v>
      </c>
      <c r="M58" s="26" t="s">
        <v>35</v>
      </c>
      <c r="N58" s="34" t="n">
        <v>46002</v>
      </c>
      <c r="O58" s="34" t="n">
        <v>46003</v>
      </c>
      <c r="P58" s="34" t="n">
        <v>46004</v>
      </c>
      <c r="Q58" s="28" t="n">
        <f aca="false">IF(P58&lt;&gt;"",MAX(1,P58-B58),IF(M58="Dispatched",MAX(1,O58-B58),0))</f>
        <v>5</v>
      </c>
      <c r="R58" s="28" t="n">
        <f aca="false">IF(M58="Cancelled",0,IF(P58&lt;&gt;"",MAX(0,P58-O58),IF(T58&lt;&gt;"None",MAX(1,O58-B58-2),0)))</f>
        <v>1</v>
      </c>
      <c r="S58" s="26" t="s">
        <v>310</v>
      </c>
      <c r="T58" s="27" t="s">
        <v>106</v>
      </c>
    </row>
    <row r="59" customFormat="false" ht="15" hidden="false" customHeight="false" outlineLevel="0" collapsed="false">
      <c r="A59" s="18" t="s">
        <v>458</v>
      </c>
      <c r="B59" s="25" t="n">
        <v>46157</v>
      </c>
      <c r="C59" s="18" t="s">
        <v>459</v>
      </c>
      <c r="D59" s="20" t="s">
        <v>460</v>
      </c>
      <c r="E59" s="18" t="s">
        <v>105</v>
      </c>
      <c r="F59" s="20" t="s">
        <v>76</v>
      </c>
      <c r="G59" s="18" t="s">
        <v>222</v>
      </c>
      <c r="H59" s="20" t="str">
        <f aca="false">VLOOKUP(G59,'Product Master'!$A$5:$K$104,2,FALSE())</f>
        <v>Pro Personal Item 028</v>
      </c>
      <c r="I59" s="20" t="str">
        <f aca="false">VLOOKUP(G59,'Product Master'!$A$5:$K$104,3,FALSE())</f>
        <v>Personal Care</v>
      </c>
      <c r="J59" s="17" t="n">
        <v>5</v>
      </c>
      <c r="K59" s="16" t="n">
        <v>2131.21</v>
      </c>
      <c r="L59" s="16" t="n">
        <f aca="false">J59*K59</f>
        <v>10656.05</v>
      </c>
      <c r="M59" s="18" t="s">
        <v>39</v>
      </c>
      <c r="N59" s="25"/>
      <c r="O59" s="25" t="n">
        <v>46165</v>
      </c>
      <c r="P59" s="25"/>
      <c r="Q59" s="17" t="n">
        <f aca="false">IF(P59&lt;&gt;"",MAX(1,P59-B59),IF(M59="Dispatched",MAX(1,O59-B59),0))</f>
        <v>0</v>
      </c>
      <c r="R59" s="17" t="n">
        <f aca="false">IF(M59="Cancelled",0,IF(P59&lt;&gt;"",MAX(0,P59-O59),IF(T59&lt;&gt;"None",MAX(1,O59-B59-2),0)))</f>
        <v>0</v>
      </c>
      <c r="S59" s="18" t="s">
        <v>310</v>
      </c>
      <c r="T59" s="20" t="s">
        <v>317</v>
      </c>
    </row>
    <row r="60" customFormat="false" ht="15" hidden="false" customHeight="false" outlineLevel="0" collapsed="false">
      <c r="A60" s="26" t="s">
        <v>461</v>
      </c>
      <c r="B60" s="34" t="n">
        <v>46072</v>
      </c>
      <c r="C60" s="26" t="s">
        <v>462</v>
      </c>
      <c r="D60" s="27" t="s">
        <v>463</v>
      </c>
      <c r="E60" s="26" t="s">
        <v>105</v>
      </c>
      <c r="F60" s="27" t="s">
        <v>77</v>
      </c>
      <c r="G60" s="26" t="s">
        <v>277</v>
      </c>
      <c r="H60" s="27" t="str">
        <f aca="false">VLOOKUP(G60,'Product Master'!$A$5:$K$104,2,FALSE())</f>
        <v>Essential Office Item 083</v>
      </c>
      <c r="I60" s="27" t="str">
        <f aca="false">VLOOKUP(G60,'Product Master'!$A$5:$K$104,3,FALSE())</f>
        <v>Office Supplies</v>
      </c>
      <c r="J60" s="28" t="n">
        <v>18</v>
      </c>
      <c r="K60" s="29" t="n">
        <v>4117.89</v>
      </c>
      <c r="L60" s="29" t="n">
        <f aca="false">J60*K60</f>
        <v>74122.02</v>
      </c>
      <c r="M60" s="26" t="s">
        <v>37</v>
      </c>
      <c r="N60" s="34"/>
      <c r="O60" s="34" t="n">
        <v>46078</v>
      </c>
      <c r="P60" s="34"/>
      <c r="Q60" s="28" t="n">
        <f aca="false">IF(P60&lt;&gt;"",MAX(1,P60-B60),IF(M60="Dispatched",MAX(1,O60-B60),0))</f>
        <v>0</v>
      </c>
      <c r="R60" s="28" t="n">
        <f aca="false">IF(M60="Cancelled",0,IF(P60&lt;&gt;"",MAX(0,P60-O60),IF(T60&lt;&gt;"None",MAX(1,O60-B60-2),0)))</f>
        <v>4</v>
      </c>
      <c r="S60" s="26" t="s">
        <v>310</v>
      </c>
      <c r="T60" s="27" t="s">
        <v>106</v>
      </c>
    </row>
    <row r="61" customFormat="false" ht="15" hidden="false" customHeight="false" outlineLevel="0" collapsed="false">
      <c r="A61" s="18" t="s">
        <v>464</v>
      </c>
      <c r="B61" s="25" t="n">
        <v>46191</v>
      </c>
      <c r="C61" s="18" t="s">
        <v>465</v>
      </c>
      <c r="D61" s="20" t="s">
        <v>466</v>
      </c>
      <c r="E61" s="18" t="s">
        <v>111</v>
      </c>
      <c r="F61" s="20" t="s">
        <v>78</v>
      </c>
      <c r="G61" s="18" t="s">
        <v>219</v>
      </c>
      <c r="H61" s="20" t="str">
        <f aca="false">VLOOKUP(G61,'Product Master'!$A$5:$K$104,2,FALSE())</f>
        <v>Pro Electronics Item 025</v>
      </c>
      <c r="I61" s="20" t="str">
        <f aca="false">VLOOKUP(G61,'Product Master'!$A$5:$K$104,3,FALSE())</f>
        <v>Electronics</v>
      </c>
      <c r="J61" s="17" t="n">
        <v>21</v>
      </c>
      <c r="K61" s="16" t="n">
        <v>9400.79</v>
      </c>
      <c r="L61" s="16" t="n">
        <f aca="false">J61*K61</f>
        <v>197416.59</v>
      </c>
      <c r="M61" s="18" t="s">
        <v>35</v>
      </c>
      <c r="N61" s="25" t="n">
        <v>46194</v>
      </c>
      <c r="O61" s="25" t="n">
        <v>46196</v>
      </c>
      <c r="P61" s="25" t="n">
        <v>46198</v>
      </c>
      <c r="Q61" s="17" t="n">
        <f aca="false">IF(P61&lt;&gt;"",MAX(1,P61-B61),IF(M61="Dispatched",MAX(1,O61-B61),0))</f>
        <v>7</v>
      </c>
      <c r="R61" s="17" t="n">
        <f aca="false">IF(M61="Cancelled",0,IF(P61&lt;&gt;"",MAX(0,P61-O61),IF(T61&lt;&gt;"None",MAX(1,O61-B61-2),0)))</f>
        <v>2</v>
      </c>
      <c r="S61" s="18" t="s">
        <v>310</v>
      </c>
      <c r="T61" s="20" t="s">
        <v>115</v>
      </c>
    </row>
    <row r="62" customFormat="false" ht="15" hidden="false" customHeight="false" outlineLevel="0" collapsed="false">
      <c r="A62" s="26" t="s">
        <v>467</v>
      </c>
      <c r="B62" s="34" t="n">
        <v>46201</v>
      </c>
      <c r="C62" s="26" t="s">
        <v>468</v>
      </c>
      <c r="D62" s="27" t="s">
        <v>443</v>
      </c>
      <c r="E62" s="26" t="s">
        <v>109</v>
      </c>
      <c r="F62" s="27" t="s">
        <v>78</v>
      </c>
      <c r="G62" s="26" t="s">
        <v>196</v>
      </c>
      <c r="H62" s="27" t="str">
        <f aca="false">VLOOKUP(G62,'Product Master'!$A$5:$K$104,2,FALSE())</f>
        <v>Premium Home Item 002</v>
      </c>
      <c r="I62" s="27" t="str">
        <f aca="false">VLOOKUP(G62,'Product Master'!$A$5:$K$104,3,FALSE())</f>
        <v>Home &amp; Kitchen</v>
      </c>
      <c r="J62" s="28" t="n">
        <v>5</v>
      </c>
      <c r="K62" s="29" t="n">
        <v>9429.37</v>
      </c>
      <c r="L62" s="29" t="n">
        <f aca="false">J62*K62</f>
        <v>47146.85</v>
      </c>
      <c r="M62" s="26" t="s">
        <v>35</v>
      </c>
      <c r="N62" s="34" t="n">
        <v>46203</v>
      </c>
      <c r="O62" s="34" t="n">
        <v>46209</v>
      </c>
      <c r="P62" s="34" t="n">
        <v>46217</v>
      </c>
      <c r="Q62" s="28" t="n">
        <f aca="false">IF(P62&lt;&gt;"",MAX(1,P62-B62),IF(M62="Dispatched",MAX(1,O62-B62),0))</f>
        <v>16</v>
      </c>
      <c r="R62" s="28" t="n">
        <f aca="false">IF(M62="Cancelled",0,IF(P62&lt;&gt;"",MAX(0,P62-O62),IF(T62&lt;&gt;"None",MAX(1,O62-B62-2),0)))</f>
        <v>8</v>
      </c>
      <c r="S62" s="26" t="s">
        <v>310</v>
      </c>
      <c r="T62" s="27" t="s">
        <v>106</v>
      </c>
    </row>
    <row r="63" customFormat="false" ht="15" hidden="false" customHeight="false" outlineLevel="0" collapsed="false">
      <c r="A63" s="18" t="s">
        <v>469</v>
      </c>
      <c r="B63" s="25" t="n">
        <v>46231</v>
      </c>
      <c r="C63" s="18" t="s">
        <v>456</v>
      </c>
      <c r="D63" s="20" t="s">
        <v>470</v>
      </c>
      <c r="E63" s="18" t="s">
        <v>105</v>
      </c>
      <c r="F63" s="20" t="s">
        <v>78</v>
      </c>
      <c r="G63" s="18" t="s">
        <v>203</v>
      </c>
      <c r="H63" s="20" t="str">
        <f aca="false">VLOOKUP(G63,'Product Master'!$A$5:$K$104,2,FALSE())</f>
        <v>Essential Electronics Item 009</v>
      </c>
      <c r="I63" s="20" t="str">
        <f aca="false">VLOOKUP(G63,'Product Master'!$A$5:$K$104,3,FALSE())</f>
        <v>Electronics</v>
      </c>
      <c r="J63" s="17" t="n">
        <v>7</v>
      </c>
      <c r="K63" s="16" t="n">
        <v>5778.46</v>
      </c>
      <c r="L63" s="16" t="n">
        <f aca="false">J63*K63</f>
        <v>40449.22</v>
      </c>
      <c r="M63" s="18" t="s">
        <v>35</v>
      </c>
      <c r="N63" s="25" t="n">
        <v>46234</v>
      </c>
      <c r="O63" s="25" t="n">
        <v>46238</v>
      </c>
      <c r="P63" s="25" t="n">
        <v>46241</v>
      </c>
      <c r="Q63" s="17" t="n">
        <f aca="false">IF(P63&lt;&gt;"",MAX(1,P63-B63),IF(M63="Dispatched",MAX(1,O63-B63),0))</f>
        <v>10</v>
      </c>
      <c r="R63" s="17" t="n">
        <f aca="false">IF(M63="Cancelled",0,IF(P63&lt;&gt;"",MAX(0,P63-O63),IF(T63&lt;&gt;"None",MAX(1,O63-B63-2),0)))</f>
        <v>3</v>
      </c>
      <c r="S63" s="18" t="s">
        <v>37</v>
      </c>
      <c r="T63" s="20" t="s">
        <v>112</v>
      </c>
    </row>
    <row r="64" customFormat="false" ht="15" hidden="false" customHeight="false" outlineLevel="0" collapsed="false">
      <c r="A64" s="26" t="s">
        <v>471</v>
      </c>
      <c r="B64" s="34" t="n">
        <v>45973</v>
      </c>
      <c r="C64" s="26" t="s">
        <v>472</v>
      </c>
      <c r="D64" s="27" t="s">
        <v>473</v>
      </c>
      <c r="E64" s="26" t="s">
        <v>113</v>
      </c>
      <c r="F64" s="27" t="s">
        <v>80</v>
      </c>
      <c r="G64" s="26" t="s">
        <v>276</v>
      </c>
      <c r="H64" s="27" t="str">
        <f aca="false">VLOOKUP(G64,'Product Master'!$A$5:$K$104,2,FALSE())</f>
        <v>Compact Home Item 082</v>
      </c>
      <c r="I64" s="27" t="str">
        <f aca="false">VLOOKUP(G64,'Product Master'!$A$5:$K$104,3,FALSE())</f>
        <v>Home &amp; Kitchen</v>
      </c>
      <c r="J64" s="28" t="n">
        <v>20</v>
      </c>
      <c r="K64" s="29" t="n">
        <v>3454.52</v>
      </c>
      <c r="L64" s="29" t="n">
        <f aca="false">J64*K64</f>
        <v>69090.4</v>
      </c>
      <c r="M64" s="26" t="s">
        <v>35</v>
      </c>
      <c r="N64" s="34" t="n">
        <v>45975</v>
      </c>
      <c r="O64" s="34" t="n">
        <v>45976</v>
      </c>
      <c r="P64" s="34" t="n">
        <v>45976</v>
      </c>
      <c r="Q64" s="28" t="n">
        <f aca="false">IF(P64&lt;&gt;"",MAX(1,P64-B64),IF(M64="Dispatched",MAX(1,O64-B64),0))</f>
        <v>3</v>
      </c>
      <c r="R64" s="28" t="n">
        <f aca="false">IF(M64="Cancelled",0,IF(P64&lt;&gt;"",MAX(0,P64-O64),IF(T64&lt;&gt;"None",MAX(1,O64-B64-2),0)))</f>
        <v>0</v>
      </c>
      <c r="S64" s="26" t="s">
        <v>310</v>
      </c>
      <c r="T64" s="27" t="s">
        <v>317</v>
      </c>
    </row>
    <row r="65" customFormat="false" ht="15" hidden="false" customHeight="false" outlineLevel="0" collapsed="false">
      <c r="A65" s="18" t="s">
        <v>474</v>
      </c>
      <c r="B65" s="25" t="n">
        <v>46098</v>
      </c>
      <c r="C65" s="18" t="s">
        <v>475</v>
      </c>
      <c r="D65" s="20" t="s">
        <v>437</v>
      </c>
      <c r="E65" s="18" t="s">
        <v>113</v>
      </c>
      <c r="F65" s="20" t="s">
        <v>76</v>
      </c>
      <c r="G65" s="18" t="s">
        <v>245</v>
      </c>
      <c r="H65" s="20" t="str">
        <f aca="false">VLOOKUP(G65,'Product Master'!$A$5:$K$104,2,FALSE())</f>
        <v>Classic Office Item 051</v>
      </c>
      <c r="I65" s="20" t="str">
        <f aca="false">VLOOKUP(G65,'Product Master'!$A$5:$K$104,3,FALSE())</f>
        <v>Office Supplies</v>
      </c>
      <c r="J65" s="17" t="n">
        <v>10</v>
      </c>
      <c r="K65" s="16" t="n">
        <v>4705.56</v>
      </c>
      <c r="L65" s="16" t="n">
        <f aca="false">J65*K65</f>
        <v>47055.6</v>
      </c>
      <c r="M65" s="18" t="s">
        <v>37</v>
      </c>
      <c r="N65" s="25"/>
      <c r="O65" s="25" t="n">
        <v>46103</v>
      </c>
      <c r="P65" s="25"/>
      <c r="Q65" s="17" t="n">
        <f aca="false">IF(P65&lt;&gt;"",MAX(1,P65-B65),IF(M65="Dispatched",MAX(1,O65-B65),0))</f>
        <v>0</v>
      </c>
      <c r="R65" s="17" t="n">
        <f aca="false">IF(M65="Cancelled",0,IF(P65&lt;&gt;"",MAX(0,P65-O65),IF(T65&lt;&gt;"None",MAX(1,O65-B65-2),0)))</f>
        <v>0</v>
      </c>
      <c r="S65" s="18" t="s">
        <v>310</v>
      </c>
      <c r="T65" s="20" t="s">
        <v>317</v>
      </c>
    </row>
    <row r="66" customFormat="false" ht="15" hidden="false" customHeight="false" outlineLevel="0" collapsed="false">
      <c r="A66" s="26" t="s">
        <v>476</v>
      </c>
      <c r="B66" s="34" t="n">
        <v>46244</v>
      </c>
      <c r="C66" s="26" t="s">
        <v>477</v>
      </c>
      <c r="D66" s="27" t="s">
        <v>388</v>
      </c>
      <c r="E66" s="26" t="s">
        <v>105</v>
      </c>
      <c r="F66" s="27" t="s">
        <v>78</v>
      </c>
      <c r="G66" s="26" t="s">
        <v>272</v>
      </c>
      <c r="H66" s="27" t="str">
        <f aca="false">VLOOKUP(G66,'Product Master'!$A$5:$K$104,2,FALSE())</f>
        <v>Smart Packaging Item 078</v>
      </c>
      <c r="I66" s="27" t="str">
        <f aca="false">VLOOKUP(G66,'Product Master'!$A$5:$K$104,3,FALSE())</f>
        <v>Packaging</v>
      </c>
      <c r="J66" s="28" t="n">
        <v>22</v>
      </c>
      <c r="K66" s="29" t="n">
        <v>627.95</v>
      </c>
      <c r="L66" s="29" t="n">
        <f aca="false">J66*K66</f>
        <v>13814.9</v>
      </c>
      <c r="M66" s="26" t="s">
        <v>39</v>
      </c>
      <c r="N66" s="34"/>
      <c r="O66" s="34" t="n">
        <v>46248</v>
      </c>
      <c r="P66" s="34"/>
      <c r="Q66" s="28" t="n">
        <f aca="false">IF(P66&lt;&gt;"",MAX(1,P66-B66),IF(M66="Dispatched",MAX(1,O66-B66),0))</f>
        <v>0</v>
      </c>
      <c r="R66" s="28" t="n">
        <f aca="false">IF(M66="Cancelled",0,IF(P66&lt;&gt;"",MAX(0,P66-O66),IF(T66&lt;&gt;"None",MAX(1,O66-B66-2),0)))</f>
        <v>2</v>
      </c>
      <c r="S66" s="26" t="s">
        <v>310</v>
      </c>
      <c r="T66" s="27" t="s">
        <v>106</v>
      </c>
    </row>
    <row r="67" customFormat="false" ht="15" hidden="false" customHeight="false" outlineLevel="0" collapsed="false">
      <c r="A67" s="18" t="s">
        <v>478</v>
      </c>
      <c r="B67" s="25" t="n">
        <v>46185</v>
      </c>
      <c r="C67" s="18" t="s">
        <v>479</v>
      </c>
      <c r="D67" s="20" t="s">
        <v>480</v>
      </c>
      <c r="E67" s="18" t="s">
        <v>113</v>
      </c>
      <c r="F67" s="20" t="s">
        <v>80</v>
      </c>
      <c r="G67" s="18" t="s">
        <v>239</v>
      </c>
      <c r="H67" s="20" t="str">
        <f aca="false">VLOOKUP(G67,'Product Master'!$A$5:$K$104,2,FALSE())</f>
        <v>Essential Industrial Item 045</v>
      </c>
      <c r="I67" s="20" t="str">
        <f aca="false">VLOOKUP(G67,'Product Master'!$A$5:$K$104,3,FALSE())</f>
        <v>Industrial</v>
      </c>
      <c r="J67" s="17" t="n">
        <v>24</v>
      </c>
      <c r="K67" s="16" t="n">
        <v>9908.93</v>
      </c>
      <c r="L67" s="16" t="n">
        <f aca="false">J67*K67</f>
        <v>237814.32</v>
      </c>
      <c r="M67" s="18" t="s">
        <v>35</v>
      </c>
      <c r="N67" s="25" t="n">
        <v>46186</v>
      </c>
      <c r="O67" s="25" t="n">
        <v>46192</v>
      </c>
      <c r="P67" s="25" t="n">
        <v>46192</v>
      </c>
      <c r="Q67" s="17" t="n">
        <f aca="false">IF(P67&lt;&gt;"",MAX(1,P67-B67),IF(M67="Dispatched",MAX(1,O67-B67),0))</f>
        <v>7</v>
      </c>
      <c r="R67" s="17" t="n">
        <f aca="false">IF(M67="Cancelled",0,IF(P67&lt;&gt;"",MAX(0,P67-O67),IF(T67&lt;&gt;"None",MAX(1,O67-B67-2),0)))</f>
        <v>0</v>
      </c>
      <c r="S67" s="18" t="s">
        <v>352</v>
      </c>
      <c r="T67" s="20" t="s">
        <v>317</v>
      </c>
    </row>
    <row r="68" customFormat="false" ht="15" hidden="false" customHeight="false" outlineLevel="0" collapsed="false">
      <c r="A68" s="26" t="s">
        <v>481</v>
      </c>
      <c r="B68" s="34" t="n">
        <v>46102</v>
      </c>
      <c r="C68" s="26" t="s">
        <v>482</v>
      </c>
      <c r="D68" s="27" t="s">
        <v>427</v>
      </c>
      <c r="E68" s="26" t="s">
        <v>109</v>
      </c>
      <c r="F68" s="27" t="s">
        <v>80</v>
      </c>
      <c r="G68" s="26" t="s">
        <v>249</v>
      </c>
      <c r="H68" s="27" t="str">
        <f aca="false">VLOOKUP(G68,'Product Master'!$A$5:$K$104,2,FALSE())</f>
        <v>Eco Apparel Item 055</v>
      </c>
      <c r="I68" s="27" t="str">
        <f aca="false">VLOOKUP(G68,'Product Master'!$A$5:$K$104,3,FALSE())</f>
        <v>Apparel</v>
      </c>
      <c r="J68" s="28" t="n">
        <v>3</v>
      </c>
      <c r="K68" s="29" t="n">
        <v>3025.58</v>
      </c>
      <c r="L68" s="29" t="n">
        <f aca="false">J68*K68</f>
        <v>9076.74</v>
      </c>
      <c r="M68" s="26" t="s">
        <v>35</v>
      </c>
      <c r="N68" s="34" t="n">
        <v>46105</v>
      </c>
      <c r="O68" s="34" t="n">
        <v>46105</v>
      </c>
      <c r="P68" s="34" t="n">
        <v>46109</v>
      </c>
      <c r="Q68" s="28" t="n">
        <f aca="false">IF(P68&lt;&gt;"",MAX(1,P68-B68),IF(M68="Dispatched",MAX(1,O68-B68),0))</f>
        <v>7</v>
      </c>
      <c r="R68" s="28" t="n">
        <f aca="false">IF(M68="Cancelled",0,IF(P68&lt;&gt;"",MAX(0,P68-O68),IF(T68&lt;&gt;"None",MAX(1,O68-B68-2),0)))</f>
        <v>4</v>
      </c>
      <c r="S68" s="26" t="s">
        <v>352</v>
      </c>
      <c r="T68" s="27" t="s">
        <v>110</v>
      </c>
    </row>
    <row r="69" customFormat="false" ht="15" hidden="false" customHeight="false" outlineLevel="0" collapsed="false">
      <c r="A69" s="18" t="s">
        <v>483</v>
      </c>
      <c r="B69" s="25" t="n">
        <v>46016</v>
      </c>
      <c r="C69" s="18" t="s">
        <v>350</v>
      </c>
      <c r="D69" s="20" t="s">
        <v>484</v>
      </c>
      <c r="E69" s="18" t="s">
        <v>107</v>
      </c>
      <c r="F69" s="20" t="s">
        <v>78</v>
      </c>
      <c r="G69" s="18" t="s">
        <v>242</v>
      </c>
      <c r="H69" s="20" t="str">
        <f aca="false">VLOOKUP(G69,'Product Master'!$A$5:$K$104,2,FALSE())</f>
        <v>Eco Automotive Item 048</v>
      </c>
      <c r="I69" s="20" t="str">
        <f aca="false">VLOOKUP(G69,'Product Master'!$A$5:$K$104,3,FALSE())</f>
        <v>Automotive</v>
      </c>
      <c r="J69" s="17" t="n">
        <v>25</v>
      </c>
      <c r="K69" s="16" t="n">
        <v>444.67</v>
      </c>
      <c r="L69" s="16" t="n">
        <f aca="false">J69*K69</f>
        <v>11116.75</v>
      </c>
      <c r="M69" s="18" t="s">
        <v>35</v>
      </c>
      <c r="N69" s="25" t="n">
        <v>46017</v>
      </c>
      <c r="O69" s="25" t="n">
        <v>46019</v>
      </c>
      <c r="P69" s="25" t="n">
        <v>46027</v>
      </c>
      <c r="Q69" s="17" t="n">
        <f aca="false">IF(P69&lt;&gt;"",MAX(1,P69-B69),IF(M69="Dispatched",MAX(1,O69-B69),0))</f>
        <v>11</v>
      </c>
      <c r="R69" s="17" t="n">
        <f aca="false">IF(M69="Cancelled",0,IF(P69&lt;&gt;"",MAX(0,P69-O69),IF(T69&lt;&gt;"None",MAX(1,O69-B69-2),0)))</f>
        <v>8</v>
      </c>
      <c r="S69" s="18" t="s">
        <v>310</v>
      </c>
      <c r="T69" s="20" t="s">
        <v>115</v>
      </c>
    </row>
    <row r="70" customFormat="false" ht="15" hidden="false" customHeight="false" outlineLevel="0" collapsed="false">
      <c r="A70" s="26" t="s">
        <v>485</v>
      </c>
      <c r="B70" s="34" t="n">
        <v>46117</v>
      </c>
      <c r="C70" s="26" t="s">
        <v>486</v>
      </c>
      <c r="D70" s="27" t="s">
        <v>487</v>
      </c>
      <c r="E70" s="26" t="s">
        <v>107</v>
      </c>
      <c r="F70" s="27" t="s">
        <v>77</v>
      </c>
      <c r="G70" s="26" t="s">
        <v>244</v>
      </c>
      <c r="H70" s="27" t="str">
        <f aca="false">VLOOKUP(G70,'Product Master'!$A$5:$K$104,2,FALSE())</f>
        <v>Eco Home Item 050</v>
      </c>
      <c r="I70" s="27" t="str">
        <f aca="false">VLOOKUP(G70,'Product Master'!$A$5:$K$104,3,FALSE())</f>
        <v>Home &amp; Kitchen</v>
      </c>
      <c r="J70" s="28" t="n">
        <v>2</v>
      </c>
      <c r="K70" s="29" t="n">
        <v>5831.62</v>
      </c>
      <c r="L70" s="29" t="n">
        <f aca="false">J70*K70</f>
        <v>11663.24</v>
      </c>
      <c r="M70" s="26" t="s">
        <v>35</v>
      </c>
      <c r="N70" s="34" t="n">
        <v>46118</v>
      </c>
      <c r="O70" s="34" t="n">
        <v>46125</v>
      </c>
      <c r="P70" s="34" t="n">
        <v>46126</v>
      </c>
      <c r="Q70" s="28" t="n">
        <f aca="false">IF(P70&lt;&gt;"",MAX(1,P70-B70),IF(M70="Dispatched",MAX(1,O70-B70),0))</f>
        <v>9</v>
      </c>
      <c r="R70" s="28" t="n">
        <f aca="false">IF(M70="Cancelled",0,IF(P70&lt;&gt;"",MAX(0,P70-O70),IF(T70&lt;&gt;"None",MAX(1,O70-B70-2),0)))</f>
        <v>1</v>
      </c>
      <c r="S70" s="26" t="s">
        <v>37</v>
      </c>
      <c r="T70" s="27" t="s">
        <v>106</v>
      </c>
    </row>
    <row r="71" customFormat="false" ht="15" hidden="false" customHeight="false" outlineLevel="0" collapsed="false">
      <c r="A71" s="18" t="s">
        <v>488</v>
      </c>
      <c r="B71" s="25" t="n">
        <v>46223</v>
      </c>
      <c r="C71" s="18" t="s">
        <v>489</v>
      </c>
      <c r="D71" s="20" t="s">
        <v>490</v>
      </c>
      <c r="E71" s="18" t="s">
        <v>105</v>
      </c>
      <c r="F71" s="20" t="s">
        <v>80</v>
      </c>
      <c r="G71" s="18" t="s">
        <v>242</v>
      </c>
      <c r="H71" s="20" t="str">
        <f aca="false">VLOOKUP(G71,'Product Master'!$A$5:$K$104,2,FALSE())</f>
        <v>Eco Automotive Item 048</v>
      </c>
      <c r="I71" s="20" t="str">
        <f aca="false">VLOOKUP(G71,'Product Master'!$A$5:$K$104,3,FALSE())</f>
        <v>Automotive</v>
      </c>
      <c r="J71" s="17" t="n">
        <v>22</v>
      </c>
      <c r="K71" s="16" t="n">
        <v>444.67</v>
      </c>
      <c r="L71" s="16" t="n">
        <f aca="false">J71*K71</f>
        <v>9782.74</v>
      </c>
      <c r="M71" s="18" t="s">
        <v>41</v>
      </c>
      <c r="N71" s="25" t="n">
        <v>46224</v>
      </c>
      <c r="O71" s="25" t="n">
        <v>46227</v>
      </c>
      <c r="P71" s="25"/>
      <c r="Q71" s="17" t="n">
        <f aca="false">IF(P71&lt;&gt;"",MAX(1,P71-B71),IF(M71="Dispatched",MAX(1,O71-B71),0))</f>
        <v>4</v>
      </c>
      <c r="R71" s="17" t="n">
        <f aca="false">IF(M71="Cancelled",0,IF(P71&lt;&gt;"",MAX(0,P71-O71),IF(T71&lt;&gt;"None",MAX(1,O71-B71-2),0)))</f>
        <v>0</v>
      </c>
      <c r="S71" s="18" t="s">
        <v>310</v>
      </c>
      <c r="T71" s="20" t="s">
        <v>317</v>
      </c>
    </row>
    <row r="72" customFormat="false" ht="15" hidden="false" customHeight="false" outlineLevel="0" collapsed="false">
      <c r="A72" s="26" t="s">
        <v>491</v>
      </c>
      <c r="B72" s="34" t="n">
        <v>46169</v>
      </c>
      <c r="C72" s="26" t="s">
        <v>432</v>
      </c>
      <c r="D72" s="27" t="s">
        <v>492</v>
      </c>
      <c r="E72" s="26" t="s">
        <v>109</v>
      </c>
      <c r="F72" s="27" t="s">
        <v>78</v>
      </c>
      <c r="G72" s="26" t="s">
        <v>231</v>
      </c>
      <c r="H72" s="27" t="str">
        <f aca="false">VLOOKUP(G72,'Product Master'!$A$5:$K$104,2,FALSE())</f>
        <v>Pro Industrial Item 037</v>
      </c>
      <c r="I72" s="27" t="str">
        <f aca="false">VLOOKUP(G72,'Product Master'!$A$5:$K$104,3,FALSE())</f>
        <v>Industrial</v>
      </c>
      <c r="J72" s="28" t="n">
        <v>3</v>
      </c>
      <c r="K72" s="29" t="n">
        <v>6419.17</v>
      </c>
      <c r="L72" s="29" t="n">
        <f aca="false">J72*K72</f>
        <v>19257.51</v>
      </c>
      <c r="M72" s="26" t="s">
        <v>35</v>
      </c>
      <c r="N72" s="34" t="n">
        <v>46171</v>
      </c>
      <c r="O72" s="34" t="n">
        <v>46171</v>
      </c>
      <c r="P72" s="34" t="n">
        <v>46171</v>
      </c>
      <c r="Q72" s="28" t="n">
        <f aca="false">IF(P72&lt;&gt;"",MAX(1,P72-B72),IF(M72="Dispatched",MAX(1,O72-B72),0))</f>
        <v>2</v>
      </c>
      <c r="R72" s="28" t="n">
        <f aca="false">IF(M72="Cancelled",0,IF(P72&lt;&gt;"",MAX(0,P72-O72),IF(T72&lt;&gt;"None",MAX(1,O72-B72-2),0)))</f>
        <v>0</v>
      </c>
      <c r="S72" s="26" t="s">
        <v>310</v>
      </c>
      <c r="T72" s="27" t="s">
        <v>317</v>
      </c>
    </row>
    <row r="73" customFormat="false" ht="15" hidden="false" customHeight="false" outlineLevel="0" collapsed="false">
      <c r="A73" s="18" t="s">
        <v>493</v>
      </c>
      <c r="B73" s="25" t="n">
        <v>46168</v>
      </c>
      <c r="C73" s="18" t="s">
        <v>366</v>
      </c>
      <c r="D73" s="20" t="s">
        <v>494</v>
      </c>
      <c r="E73" s="18" t="s">
        <v>113</v>
      </c>
      <c r="F73" s="20" t="s">
        <v>79</v>
      </c>
      <c r="G73" s="18" t="s">
        <v>242</v>
      </c>
      <c r="H73" s="20" t="str">
        <f aca="false">VLOOKUP(G73,'Product Master'!$A$5:$K$104,2,FALSE())</f>
        <v>Eco Automotive Item 048</v>
      </c>
      <c r="I73" s="20" t="str">
        <f aca="false">VLOOKUP(G73,'Product Master'!$A$5:$K$104,3,FALSE())</f>
        <v>Automotive</v>
      </c>
      <c r="J73" s="17" t="n">
        <v>25</v>
      </c>
      <c r="K73" s="16" t="n">
        <v>444.67</v>
      </c>
      <c r="L73" s="16" t="n">
        <f aca="false">J73*K73</f>
        <v>11116.75</v>
      </c>
      <c r="M73" s="18" t="s">
        <v>39</v>
      </c>
      <c r="N73" s="25"/>
      <c r="O73" s="25" t="n">
        <v>46173</v>
      </c>
      <c r="P73" s="25"/>
      <c r="Q73" s="17" t="n">
        <f aca="false">IF(P73&lt;&gt;"",MAX(1,P73-B73),IF(M73="Dispatched",MAX(1,O73-B73),0))</f>
        <v>0</v>
      </c>
      <c r="R73" s="17" t="n">
        <f aca="false">IF(M73="Cancelled",0,IF(P73&lt;&gt;"",MAX(0,P73-O73),IF(T73&lt;&gt;"None",MAX(1,O73-B73-2),0)))</f>
        <v>0</v>
      </c>
      <c r="S73" s="18" t="s">
        <v>310</v>
      </c>
      <c r="T73" s="20" t="s">
        <v>317</v>
      </c>
    </row>
    <row r="74" customFormat="false" ht="15" hidden="false" customHeight="false" outlineLevel="0" collapsed="false">
      <c r="A74" s="26" t="s">
        <v>495</v>
      </c>
      <c r="B74" s="34" t="n">
        <v>46108</v>
      </c>
      <c r="C74" s="26" t="s">
        <v>496</v>
      </c>
      <c r="D74" s="27" t="s">
        <v>497</v>
      </c>
      <c r="E74" s="26" t="s">
        <v>105</v>
      </c>
      <c r="F74" s="27" t="s">
        <v>78</v>
      </c>
      <c r="G74" s="26" t="s">
        <v>276</v>
      </c>
      <c r="H74" s="27" t="str">
        <f aca="false">VLOOKUP(G74,'Product Master'!$A$5:$K$104,2,FALSE())</f>
        <v>Compact Home Item 082</v>
      </c>
      <c r="I74" s="27" t="str">
        <f aca="false">VLOOKUP(G74,'Product Master'!$A$5:$K$104,3,FALSE())</f>
        <v>Home &amp; Kitchen</v>
      </c>
      <c r="J74" s="28" t="n">
        <v>1</v>
      </c>
      <c r="K74" s="29" t="n">
        <v>3454.52</v>
      </c>
      <c r="L74" s="29" t="n">
        <f aca="false">J74*K74</f>
        <v>3454.52</v>
      </c>
      <c r="M74" s="26" t="s">
        <v>39</v>
      </c>
      <c r="N74" s="34"/>
      <c r="O74" s="34" t="n">
        <v>46116</v>
      </c>
      <c r="P74" s="34"/>
      <c r="Q74" s="28" t="n">
        <f aca="false">IF(P74&lt;&gt;"",MAX(1,P74-B74),IF(M74="Dispatched",MAX(1,O74-B74),0))</f>
        <v>0</v>
      </c>
      <c r="R74" s="28" t="n">
        <f aca="false">IF(M74="Cancelled",0,IF(P74&lt;&gt;"",MAX(0,P74-O74),IF(T74&lt;&gt;"None",MAX(1,O74-B74-2),0)))</f>
        <v>6</v>
      </c>
      <c r="S74" s="26" t="s">
        <v>339</v>
      </c>
      <c r="T74" s="27" t="s">
        <v>108</v>
      </c>
    </row>
    <row r="75" customFormat="false" ht="15" hidden="false" customHeight="false" outlineLevel="0" collapsed="false">
      <c r="A75" s="18" t="s">
        <v>498</v>
      </c>
      <c r="B75" s="25" t="n">
        <v>46145</v>
      </c>
      <c r="C75" s="18" t="s">
        <v>434</v>
      </c>
      <c r="D75" s="20" t="s">
        <v>499</v>
      </c>
      <c r="E75" s="18" t="s">
        <v>105</v>
      </c>
      <c r="F75" s="20" t="s">
        <v>77</v>
      </c>
      <c r="G75" s="18" t="s">
        <v>257</v>
      </c>
      <c r="H75" s="20" t="str">
        <f aca="false">VLOOKUP(G75,'Product Master'!$A$5:$K$104,2,FALSE())</f>
        <v>Everyday Apparel Item 063</v>
      </c>
      <c r="I75" s="20" t="str">
        <f aca="false">VLOOKUP(G75,'Product Master'!$A$5:$K$104,3,FALSE())</f>
        <v>Apparel</v>
      </c>
      <c r="J75" s="17" t="n">
        <v>23</v>
      </c>
      <c r="K75" s="16" t="n">
        <v>3551.07</v>
      </c>
      <c r="L75" s="16" t="n">
        <f aca="false">J75*K75</f>
        <v>81674.61</v>
      </c>
      <c r="M75" s="18" t="s">
        <v>35</v>
      </c>
      <c r="N75" s="25" t="n">
        <v>46146</v>
      </c>
      <c r="O75" s="25" t="n">
        <v>46147</v>
      </c>
      <c r="P75" s="25" t="n">
        <v>46155</v>
      </c>
      <c r="Q75" s="17" t="n">
        <f aca="false">IF(P75&lt;&gt;"",MAX(1,P75-B75),IF(M75="Dispatched",MAX(1,O75-B75),0))</f>
        <v>10</v>
      </c>
      <c r="R75" s="17" t="n">
        <f aca="false">IF(M75="Cancelled",0,IF(P75&lt;&gt;"",MAX(0,P75-O75),IF(T75&lt;&gt;"None",MAX(1,O75-B75-2),0)))</f>
        <v>8</v>
      </c>
      <c r="S75" s="18" t="s">
        <v>339</v>
      </c>
      <c r="T75" s="20" t="s">
        <v>114</v>
      </c>
    </row>
    <row r="76" customFormat="false" ht="15" hidden="false" customHeight="false" outlineLevel="0" collapsed="false">
      <c r="A76" s="26" t="s">
        <v>500</v>
      </c>
      <c r="B76" s="34" t="n">
        <v>45974</v>
      </c>
      <c r="C76" s="26" t="s">
        <v>501</v>
      </c>
      <c r="D76" s="27" t="s">
        <v>490</v>
      </c>
      <c r="E76" s="26" t="s">
        <v>105</v>
      </c>
      <c r="F76" s="27" t="s">
        <v>80</v>
      </c>
      <c r="G76" s="26" t="s">
        <v>269</v>
      </c>
      <c r="H76" s="27" t="str">
        <f aca="false">VLOOKUP(G76,'Product Master'!$A$5:$K$104,2,FALSE())</f>
        <v>Everyday Office Item 075</v>
      </c>
      <c r="I76" s="27" t="str">
        <f aca="false">VLOOKUP(G76,'Product Master'!$A$5:$K$104,3,FALSE())</f>
        <v>Office Supplies</v>
      </c>
      <c r="J76" s="28" t="n">
        <v>5</v>
      </c>
      <c r="K76" s="29" t="n">
        <v>6952.03</v>
      </c>
      <c r="L76" s="29" t="n">
        <f aca="false">J76*K76</f>
        <v>34760.15</v>
      </c>
      <c r="M76" s="26" t="s">
        <v>37</v>
      </c>
      <c r="N76" s="34"/>
      <c r="O76" s="34" t="n">
        <v>45982</v>
      </c>
      <c r="P76" s="34"/>
      <c r="Q76" s="28" t="n">
        <f aca="false">IF(P76&lt;&gt;"",MAX(1,P76-B76),IF(M76="Dispatched",MAX(1,O76-B76),0))</f>
        <v>0</v>
      </c>
      <c r="R76" s="28" t="n">
        <f aca="false">IF(M76="Cancelled",0,IF(P76&lt;&gt;"",MAX(0,P76-O76),IF(T76&lt;&gt;"None",MAX(1,O76-B76-2),0)))</f>
        <v>6</v>
      </c>
      <c r="S76" s="26" t="s">
        <v>310</v>
      </c>
      <c r="T76" s="27" t="s">
        <v>108</v>
      </c>
    </row>
    <row r="77" customFormat="false" ht="15" hidden="false" customHeight="false" outlineLevel="0" collapsed="false">
      <c r="A77" s="18" t="s">
        <v>502</v>
      </c>
      <c r="B77" s="25" t="n">
        <v>45997</v>
      </c>
      <c r="C77" s="18" t="s">
        <v>434</v>
      </c>
      <c r="D77" s="20" t="s">
        <v>503</v>
      </c>
      <c r="E77" s="18" t="s">
        <v>109</v>
      </c>
      <c r="F77" s="20" t="s">
        <v>78</v>
      </c>
      <c r="G77" s="18" t="s">
        <v>225</v>
      </c>
      <c r="H77" s="20" t="str">
        <f aca="false">VLOOKUP(G77,'Product Master'!$A$5:$K$104,2,FALSE())</f>
        <v>Essential Apparel Item 031</v>
      </c>
      <c r="I77" s="20" t="str">
        <f aca="false">VLOOKUP(G77,'Product Master'!$A$5:$K$104,3,FALSE())</f>
        <v>Apparel</v>
      </c>
      <c r="J77" s="17" t="n">
        <v>11</v>
      </c>
      <c r="K77" s="16" t="n">
        <v>11597.85</v>
      </c>
      <c r="L77" s="16" t="n">
        <f aca="false">J77*K77</f>
        <v>127576.35</v>
      </c>
      <c r="M77" s="18" t="s">
        <v>43</v>
      </c>
      <c r="N77" s="25"/>
      <c r="O77" s="25" t="n">
        <v>46005</v>
      </c>
      <c r="P77" s="25"/>
      <c r="Q77" s="17" t="n">
        <f aca="false">IF(P77&lt;&gt;"",MAX(1,P77-B77),IF(M77="Dispatched",MAX(1,O77-B77),0))</f>
        <v>0</v>
      </c>
      <c r="R77" s="17" t="n">
        <f aca="false">IF(M77="Cancelled",0,IF(P77&lt;&gt;"",MAX(0,P77-O77),IF(T77&lt;&gt;"None",MAX(1,O77-B77-2),0)))</f>
        <v>0</v>
      </c>
      <c r="S77" s="18" t="s">
        <v>310</v>
      </c>
      <c r="T77" s="20" t="s">
        <v>411</v>
      </c>
    </row>
    <row r="78" customFormat="false" ht="15" hidden="false" customHeight="false" outlineLevel="0" collapsed="false">
      <c r="A78" s="26" t="s">
        <v>504</v>
      </c>
      <c r="B78" s="34" t="n">
        <v>46050</v>
      </c>
      <c r="C78" s="26" t="s">
        <v>505</v>
      </c>
      <c r="D78" s="27" t="s">
        <v>446</v>
      </c>
      <c r="E78" s="26" t="s">
        <v>107</v>
      </c>
      <c r="F78" s="27" t="s">
        <v>77</v>
      </c>
      <c r="G78" s="26" t="s">
        <v>204</v>
      </c>
      <c r="H78" s="27" t="str">
        <f aca="false">VLOOKUP(G78,'Product Master'!$A$5:$K$104,2,FALSE())</f>
        <v>Essential Home Item 010</v>
      </c>
      <c r="I78" s="27" t="str">
        <f aca="false">VLOOKUP(G78,'Product Master'!$A$5:$K$104,3,FALSE())</f>
        <v>Home &amp; Kitchen</v>
      </c>
      <c r="J78" s="28" t="n">
        <v>25</v>
      </c>
      <c r="K78" s="29" t="n">
        <v>7388.75</v>
      </c>
      <c r="L78" s="29" t="n">
        <f aca="false">J78*K78</f>
        <v>184718.75</v>
      </c>
      <c r="M78" s="26" t="s">
        <v>39</v>
      </c>
      <c r="N78" s="34"/>
      <c r="O78" s="34" t="n">
        <v>46053</v>
      </c>
      <c r="P78" s="34"/>
      <c r="Q78" s="28" t="n">
        <f aca="false">IF(P78&lt;&gt;"",MAX(1,P78-B78),IF(M78="Dispatched",MAX(1,O78-B78),0))</f>
        <v>0</v>
      </c>
      <c r="R78" s="28" t="n">
        <f aca="false">IF(M78="Cancelled",0,IF(P78&lt;&gt;"",MAX(0,P78-O78),IF(T78&lt;&gt;"None",MAX(1,O78-B78-2),0)))</f>
        <v>1</v>
      </c>
      <c r="S78" s="26" t="s">
        <v>310</v>
      </c>
      <c r="T78" s="27" t="s">
        <v>106</v>
      </c>
    </row>
    <row r="79" customFormat="false" ht="15" hidden="false" customHeight="false" outlineLevel="0" collapsed="false">
      <c r="A79" s="18" t="s">
        <v>506</v>
      </c>
      <c r="B79" s="25" t="n">
        <v>46139</v>
      </c>
      <c r="C79" s="18" t="s">
        <v>507</v>
      </c>
      <c r="D79" s="20" t="s">
        <v>508</v>
      </c>
      <c r="E79" s="18" t="s">
        <v>113</v>
      </c>
      <c r="F79" s="20" t="s">
        <v>78</v>
      </c>
      <c r="G79" s="18" t="s">
        <v>210</v>
      </c>
      <c r="H79" s="20" t="str">
        <f aca="false">VLOOKUP(G79,'Product Master'!$A$5:$K$104,2,FALSE())</f>
        <v>Pro Automotive Item 016</v>
      </c>
      <c r="I79" s="20" t="str">
        <f aca="false">VLOOKUP(G79,'Product Master'!$A$5:$K$104,3,FALSE())</f>
        <v>Automotive</v>
      </c>
      <c r="J79" s="17" t="n">
        <v>25</v>
      </c>
      <c r="K79" s="16" t="n">
        <v>5263.77</v>
      </c>
      <c r="L79" s="16" t="n">
        <f aca="false">J79*K79</f>
        <v>131594.25</v>
      </c>
      <c r="M79" s="18" t="s">
        <v>35</v>
      </c>
      <c r="N79" s="25" t="n">
        <v>46142</v>
      </c>
      <c r="O79" s="25" t="n">
        <v>46145</v>
      </c>
      <c r="P79" s="25" t="n">
        <v>46145</v>
      </c>
      <c r="Q79" s="17" t="n">
        <f aca="false">IF(P79&lt;&gt;"",MAX(1,P79-B79),IF(M79="Dispatched",MAX(1,O79-B79),0))</f>
        <v>6</v>
      </c>
      <c r="R79" s="17" t="n">
        <f aca="false">IF(M79="Cancelled",0,IF(P79&lt;&gt;"",MAX(0,P79-O79),IF(T79&lt;&gt;"None",MAX(1,O79-B79-2),0)))</f>
        <v>0</v>
      </c>
      <c r="S79" s="18" t="s">
        <v>310</v>
      </c>
      <c r="T79" s="20" t="s">
        <v>317</v>
      </c>
    </row>
    <row r="80" customFormat="false" ht="15" hidden="false" customHeight="false" outlineLevel="0" collapsed="false">
      <c r="A80" s="26" t="s">
        <v>509</v>
      </c>
      <c r="B80" s="34" t="n">
        <v>46282</v>
      </c>
      <c r="C80" s="26" t="s">
        <v>510</v>
      </c>
      <c r="D80" s="27" t="s">
        <v>511</v>
      </c>
      <c r="E80" s="26" t="s">
        <v>113</v>
      </c>
      <c r="F80" s="27" t="s">
        <v>76</v>
      </c>
      <c r="G80" s="26" t="s">
        <v>233</v>
      </c>
      <c r="H80" s="27" t="str">
        <f aca="false">VLOOKUP(G80,'Product Master'!$A$5:$K$104,2,FALSE())</f>
        <v>Eco Apparel Item 039</v>
      </c>
      <c r="I80" s="27" t="str">
        <f aca="false">VLOOKUP(G80,'Product Master'!$A$5:$K$104,3,FALSE())</f>
        <v>Apparel</v>
      </c>
      <c r="J80" s="28" t="n">
        <v>7</v>
      </c>
      <c r="K80" s="29" t="n">
        <v>3575.06</v>
      </c>
      <c r="L80" s="29" t="n">
        <f aca="false">J80*K80</f>
        <v>25025.42</v>
      </c>
      <c r="M80" s="26" t="s">
        <v>41</v>
      </c>
      <c r="N80" s="34" t="n">
        <v>46283</v>
      </c>
      <c r="O80" s="34" t="n">
        <v>46289</v>
      </c>
      <c r="P80" s="34"/>
      <c r="Q80" s="28" t="n">
        <f aca="false">IF(P80&lt;&gt;"",MAX(1,P80-B80),IF(M80="Dispatched",MAX(1,O80-B80),0))</f>
        <v>7</v>
      </c>
      <c r="R80" s="28" t="n">
        <f aca="false">IF(M80="Cancelled",0,IF(P80&lt;&gt;"",MAX(0,P80-O80),IF(T80&lt;&gt;"None",MAX(1,O80-B80-2),0)))</f>
        <v>0</v>
      </c>
      <c r="S80" s="26" t="s">
        <v>310</v>
      </c>
      <c r="T80" s="27" t="s">
        <v>317</v>
      </c>
    </row>
    <row r="81" customFormat="false" ht="15" hidden="false" customHeight="false" outlineLevel="0" collapsed="false">
      <c r="A81" s="18" t="s">
        <v>512</v>
      </c>
      <c r="B81" s="25" t="n">
        <v>45956</v>
      </c>
      <c r="C81" s="18" t="s">
        <v>513</v>
      </c>
      <c r="D81" s="20" t="s">
        <v>514</v>
      </c>
      <c r="E81" s="18" t="s">
        <v>109</v>
      </c>
      <c r="F81" s="20" t="s">
        <v>78</v>
      </c>
      <c r="G81" s="18" t="s">
        <v>281</v>
      </c>
      <c r="H81" s="20" t="str">
        <f aca="false">VLOOKUP(G81,'Product Master'!$A$5:$K$104,2,FALSE())</f>
        <v>Compact Apparel Item 087</v>
      </c>
      <c r="I81" s="20" t="str">
        <f aca="false">VLOOKUP(G81,'Product Master'!$A$5:$K$104,3,FALSE())</f>
        <v>Apparel</v>
      </c>
      <c r="J81" s="17" t="n">
        <v>6</v>
      </c>
      <c r="K81" s="16" t="n">
        <v>8400.02</v>
      </c>
      <c r="L81" s="16" t="n">
        <f aca="false">J81*K81</f>
        <v>50400.12</v>
      </c>
      <c r="M81" s="18" t="s">
        <v>35</v>
      </c>
      <c r="N81" s="25" t="n">
        <v>45959</v>
      </c>
      <c r="O81" s="25" t="n">
        <v>45964</v>
      </c>
      <c r="P81" s="25" t="n">
        <v>45972</v>
      </c>
      <c r="Q81" s="17" t="n">
        <f aca="false">IF(P81&lt;&gt;"",MAX(1,P81-B81),IF(M81="Dispatched",MAX(1,O81-B81),0))</f>
        <v>16</v>
      </c>
      <c r="R81" s="17" t="n">
        <f aca="false">IF(M81="Cancelled",0,IF(P81&lt;&gt;"",MAX(0,P81-O81),IF(T81&lt;&gt;"None",MAX(1,O81-B81-2),0)))</f>
        <v>8</v>
      </c>
      <c r="S81" s="18" t="s">
        <v>310</v>
      </c>
      <c r="T81" s="20" t="s">
        <v>110</v>
      </c>
    </row>
    <row r="82" customFormat="false" ht="15" hidden="false" customHeight="false" outlineLevel="0" collapsed="false">
      <c r="A82" s="26" t="s">
        <v>515</v>
      </c>
      <c r="B82" s="34" t="n">
        <v>46002</v>
      </c>
      <c r="C82" s="26" t="s">
        <v>325</v>
      </c>
      <c r="D82" s="27" t="s">
        <v>378</v>
      </c>
      <c r="E82" s="26" t="s">
        <v>105</v>
      </c>
      <c r="F82" s="27" t="s">
        <v>76</v>
      </c>
      <c r="G82" s="26" t="s">
        <v>210</v>
      </c>
      <c r="H82" s="27" t="str">
        <f aca="false">VLOOKUP(G82,'Product Master'!$A$5:$K$104,2,FALSE())</f>
        <v>Pro Automotive Item 016</v>
      </c>
      <c r="I82" s="27" t="str">
        <f aca="false">VLOOKUP(G82,'Product Master'!$A$5:$K$104,3,FALSE())</f>
        <v>Automotive</v>
      </c>
      <c r="J82" s="28" t="n">
        <v>25</v>
      </c>
      <c r="K82" s="29" t="n">
        <v>5263.77</v>
      </c>
      <c r="L82" s="29" t="n">
        <f aca="false">J82*K82</f>
        <v>131594.25</v>
      </c>
      <c r="M82" s="26" t="s">
        <v>43</v>
      </c>
      <c r="N82" s="34"/>
      <c r="O82" s="34" t="n">
        <v>46006</v>
      </c>
      <c r="P82" s="34"/>
      <c r="Q82" s="28" t="n">
        <f aca="false">IF(P82&lt;&gt;"",MAX(1,P82-B82),IF(M82="Dispatched",MAX(1,O82-B82),0))</f>
        <v>0</v>
      </c>
      <c r="R82" s="28" t="n">
        <f aca="false">IF(M82="Cancelled",0,IF(P82&lt;&gt;"",MAX(0,P82-O82),IF(T82&lt;&gt;"None",MAX(1,O82-B82-2),0)))</f>
        <v>0</v>
      </c>
      <c r="S82" s="26" t="s">
        <v>310</v>
      </c>
      <c r="T82" s="27" t="s">
        <v>411</v>
      </c>
    </row>
    <row r="83" customFormat="false" ht="15" hidden="false" customHeight="false" outlineLevel="0" collapsed="false">
      <c r="A83" s="18" t="s">
        <v>516</v>
      </c>
      <c r="B83" s="25" t="n">
        <v>46261</v>
      </c>
      <c r="C83" s="18" t="s">
        <v>517</v>
      </c>
      <c r="D83" s="20" t="s">
        <v>518</v>
      </c>
      <c r="E83" s="18" t="s">
        <v>113</v>
      </c>
      <c r="F83" s="20" t="s">
        <v>80</v>
      </c>
      <c r="G83" s="18" t="s">
        <v>205</v>
      </c>
      <c r="H83" s="20" t="str">
        <f aca="false">VLOOKUP(G83,'Product Master'!$A$5:$K$104,2,FALSE())</f>
        <v>Essential Office Item 011</v>
      </c>
      <c r="I83" s="20" t="str">
        <f aca="false">VLOOKUP(G83,'Product Master'!$A$5:$K$104,3,FALSE())</f>
        <v>Office Supplies</v>
      </c>
      <c r="J83" s="17" t="n">
        <v>9</v>
      </c>
      <c r="K83" s="16" t="n">
        <v>635.87</v>
      </c>
      <c r="L83" s="16" t="n">
        <f aca="false">J83*K83</f>
        <v>5722.83</v>
      </c>
      <c r="M83" s="18" t="s">
        <v>41</v>
      </c>
      <c r="N83" s="25" t="n">
        <v>46261</v>
      </c>
      <c r="O83" s="25" t="n">
        <v>46264</v>
      </c>
      <c r="P83" s="25"/>
      <c r="Q83" s="17" t="n">
        <f aca="false">IF(P83&lt;&gt;"",MAX(1,P83-B83),IF(M83="Dispatched",MAX(1,O83-B83),0))</f>
        <v>3</v>
      </c>
      <c r="R83" s="17" t="n">
        <f aca="false">IF(M83="Cancelled",0,IF(P83&lt;&gt;"",MAX(0,P83-O83),IF(T83&lt;&gt;"None",MAX(1,O83-B83-2),0)))</f>
        <v>0</v>
      </c>
      <c r="S83" s="18" t="s">
        <v>310</v>
      </c>
      <c r="T83" s="20" t="s">
        <v>317</v>
      </c>
    </row>
    <row r="84" customFormat="false" ht="15" hidden="false" customHeight="false" outlineLevel="0" collapsed="false">
      <c r="A84" s="26" t="s">
        <v>519</v>
      </c>
      <c r="B84" s="34" t="n">
        <v>45996</v>
      </c>
      <c r="C84" s="26" t="s">
        <v>520</v>
      </c>
      <c r="D84" s="27" t="s">
        <v>521</v>
      </c>
      <c r="E84" s="26" t="s">
        <v>109</v>
      </c>
      <c r="F84" s="27" t="s">
        <v>76</v>
      </c>
      <c r="G84" s="26" t="s">
        <v>206</v>
      </c>
      <c r="H84" s="27" t="str">
        <f aca="false">VLOOKUP(G84,'Product Master'!$A$5:$K$104,2,FALSE())</f>
        <v>Eco Personal Item 012</v>
      </c>
      <c r="I84" s="27" t="str">
        <f aca="false">VLOOKUP(G84,'Product Master'!$A$5:$K$104,3,FALSE())</f>
        <v>Personal Care</v>
      </c>
      <c r="J84" s="28" t="n">
        <v>2</v>
      </c>
      <c r="K84" s="29" t="n">
        <v>7685.49</v>
      </c>
      <c r="L84" s="29" t="n">
        <f aca="false">J84*K84</f>
        <v>15370.98</v>
      </c>
      <c r="M84" s="26" t="s">
        <v>43</v>
      </c>
      <c r="N84" s="34"/>
      <c r="O84" s="34" t="n">
        <v>45998</v>
      </c>
      <c r="P84" s="34"/>
      <c r="Q84" s="28" t="n">
        <f aca="false">IF(P84&lt;&gt;"",MAX(1,P84-B84),IF(M84="Dispatched",MAX(1,O84-B84),0))</f>
        <v>0</v>
      </c>
      <c r="R84" s="28" t="n">
        <f aca="false">IF(M84="Cancelled",0,IF(P84&lt;&gt;"",MAX(0,P84-O84),IF(T84&lt;&gt;"None",MAX(1,O84-B84-2),0)))</f>
        <v>0</v>
      </c>
      <c r="S84" s="26" t="s">
        <v>37</v>
      </c>
      <c r="T84" s="27" t="s">
        <v>411</v>
      </c>
    </row>
    <row r="85" customFormat="false" ht="15" hidden="false" customHeight="false" outlineLevel="0" collapsed="false">
      <c r="A85" s="18" t="s">
        <v>522</v>
      </c>
      <c r="B85" s="25" t="n">
        <v>46185</v>
      </c>
      <c r="C85" s="18" t="s">
        <v>523</v>
      </c>
      <c r="D85" s="20" t="s">
        <v>524</v>
      </c>
      <c r="E85" s="18" t="s">
        <v>111</v>
      </c>
      <c r="F85" s="20" t="s">
        <v>79</v>
      </c>
      <c r="G85" s="18" t="s">
        <v>198</v>
      </c>
      <c r="H85" s="20" t="str">
        <f aca="false">VLOOKUP(G85,'Product Master'!$A$5:$K$104,2,FALSE())</f>
        <v>Everyday Personal Item 004</v>
      </c>
      <c r="I85" s="20" t="str">
        <f aca="false">VLOOKUP(G85,'Product Master'!$A$5:$K$104,3,FALSE())</f>
        <v>Personal Care</v>
      </c>
      <c r="J85" s="17" t="n">
        <v>6</v>
      </c>
      <c r="K85" s="16" t="n">
        <v>5442.69</v>
      </c>
      <c r="L85" s="16" t="n">
        <f aca="false">J85*K85</f>
        <v>32656.14</v>
      </c>
      <c r="M85" s="18" t="s">
        <v>35</v>
      </c>
      <c r="N85" s="25" t="n">
        <v>46187</v>
      </c>
      <c r="O85" s="25" t="n">
        <v>46189</v>
      </c>
      <c r="P85" s="25" t="n">
        <v>46189</v>
      </c>
      <c r="Q85" s="17" t="n">
        <f aca="false">IF(P85&lt;&gt;"",MAX(1,P85-B85),IF(M85="Dispatched",MAX(1,O85-B85),0))</f>
        <v>4</v>
      </c>
      <c r="R85" s="17" t="n">
        <f aca="false">IF(M85="Cancelled",0,IF(P85&lt;&gt;"",MAX(0,P85-O85),IF(T85&lt;&gt;"None",MAX(1,O85-B85-2),0)))</f>
        <v>0</v>
      </c>
      <c r="S85" s="18" t="s">
        <v>310</v>
      </c>
      <c r="T85" s="20" t="s">
        <v>317</v>
      </c>
    </row>
    <row r="86" customFormat="false" ht="15" hidden="false" customHeight="false" outlineLevel="0" collapsed="false">
      <c r="A86" s="26" t="s">
        <v>525</v>
      </c>
      <c r="B86" s="34" t="n">
        <v>46246</v>
      </c>
      <c r="C86" s="26" t="s">
        <v>369</v>
      </c>
      <c r="D86" s="27" t="s">
        <v>526</v>
      </c>
      <c r="E86" s="26" t="s">
        <v>109</v>
      </c>
      <c r="F86" s="27" t="s">
        <v>79</v>
      </c>
      <c r="G86" s="26" t="s">
        <v>226</v>
      </c>
      <c r="H86" s="27" t="str">
        <f aca="false">VLOOKUP(G86,'Product Master'!$A$5:$K$104,2,FALSE())</f>
        <v>Smart Automotive Item 032</v>
      </c>
      <c r="I86" s="27" t="str">
        <f aca="false">VLOOKUP(G86,'Product Master'!$A$5:$K$104,3,FALSE())</f>
        <v>Automotive</v>
      </c>
      <c r="J86" s="28" t="n">
        <v>14</v>
      </c>
      <c r="K86" s="29" t="n">
        <v>10211.16</v>
      </c>
      <c r="L86" s="29" t="n">
        <f aca="false">J86*K86</f>
        <v>142956.24</v>
      </c>
      <c r="M86" s="26" t="s">
        <v>41</v>
      </c>
      <c r="N86" s="34" t="n">
        <v>46246</v>
      </c>
      <c r="O86" s="34" t="n">
        <v>46255</v>
      </c>
      <c r="P86" s="34"/>
      <c r="Q86" s="28" t="n">
        <f aca="false">IF(P86&lt;&gt;"",MAX(1,P86-B86),IF(M86="Dispatched",MAX(1,O86-B86),0))</f>
        <v>9</v>
      </c>
      <c r="R86" s="28" t="n">
        <f aca="false">IF(M86="Cancelled",0,IF(P86&lt;&gt;"",MAX(0,P86-O86),IF(T86&lt;&gt;"None",MAX(1,O86-B86-2),0)))</f>
        <v>0</v>
      </c>
      <c r="S86" s="26" t="s">
        <v>310</v>
      </c>
      <c r="T86" s="27" t="s">
        <v>317</v>
      </c>
    </row>
    <row r="87" customFormat="false" ht="15" hidden="false" customHeight="false" outlineLevel="0" collapsed="false">
      <c r="A87" s="18" t="s">
        <v>527</v>
      </c>
      <c r="B87" s="25" t="n">
        <v>46033</v>
      </c>
      <c r="C87" s="18" t="s">
        <v>319</v>
      </c>
      <c r="D87" s="20" t="s">
        <v>499</v>
      </c>
      <c r="E87" s="18" t="s">
        <v>113</v>
      </c>
      <c r="F87" s="20" t="s">
        <v>77</v>
      </c>
      <c r="G87" s="18" t="s">
        <v>277</v>
      </c>
      <c r="H87" s="20" t="str">
        <f aca="false">VLOOKUP(G87,'Product Master'!$A$5:$K$104,2,FALSE())</f>
        <v>Essential Office Item 083</v>
      </c>
      <c r="I87" s="20" t="str">
        <f aca="false">VLOOKUP(G87,'Product Master'!$A$5:$K$104,3,FALSE())</f>
        <v>Office Supplies</v>
      </c>
      <c r="J87" s="17" t="n">
        <v>21</v>
      </c>
      <c r="K87" s="16" t="n">
        <v>4117.89</v>
      </c>
      <c r="L87" s="16" t="n">
        <f aca="false">J87*K87</f>
        <v>86475.69</v>
      </c>
      <c r="M87" s="18" t="s">
        <v>43</v>
      </c>
      <c r="N87" s="25"/>
      <c r="O87" s="25" t="n">
        <v>46035</v>
      </c>
      <c r="P87" s="25"/>
      <c r="Q87" s="17" t="n">
        <f aca="false">IF(P87&lt;&gt;"",MAX(1,P87-B87),IF(M87="Dispatched",MAX(1,O87-B87),0))</f>
        <v>0</v>
      </c>
      <c r="R87" s="17" t="n">
        <f aca="false">IF(M87="Cancelled",0,IF(P87&lt;&gt;"",MAX(0,P87-O87),IF(T87&lt;&gt;"None",MAX(1,O87-B87-2),0)))</f>
        <v>0</v>
      </c>
      <c r="S87" s="18" t="s">
        <v>310</v>
      </c>
      <c r="T87" s="20" t="s">
        <v>411</v>
      </c>
    </row>
    <row r="88" customFormat="false" ht="15" hidden="false" customHeight="false" outlineLevel="0" collapsed="false">
      <c r="A88" s="26" t="s">
        <v>528</v>
      </c>
      <c r="B88" s="34" t="n">
        <v>46179</v>
      </c>
      <c r="C88" s="26" t="s">
        <v>529</v>
      </c>
      <c r="D88" s="27" t="s">
        <v>422</v>
      </c>
      <c r="E88" s="26" t="s">
        <v>113</v>
      </c>
      <c r="F88" s="27" t="s">
        <v>80</v>
      </c>
      <c r="G88" s="26" t="s">
        <v>239</v>
      </c>
      <c r="H88" s="27" t="str">
        <f aca="false">VLOOKUP(G88,'Product Master'!$A$5:$K$104,2,FALSE())</f>
        <v>Essential Industrial Item 045</v>
      </c>
      <c r="I88" s="27" t="str">
        <f aca="false">VLOOKUP(G88,'Product Master'!$A$5:$K$104,3,FALSE())</f>
        <v>Industrial</v>
      </c>
      <c r="J88" s="28" t="n">
        <v>11</v>
      </c>
      <c r="K88" s="29" t="n">
        <v>9908.93</v>
      </c>
      <c r="L88" s="29" t="n">
        <f aca="false">J88*K88</f>
        <v>108998.23</v>
      </c>
      <c r="M88" s="26" t="s">
        <v>35</v>
      </c>
      <c r="N88" s="34" t="n">
        <v>46179</v>
      </c>
      <c r="O88" s="34" t="n">
        <v>46183</v>
      </c>
      <c r="P88" s="34" t="n">
        <v>46184</v>
      </c>
      <c r="Q88" s="28" t="n">
        <f aca="false">IF(P88&lt;&gt;"",MAX(1,P88-B88),IF(M88="Dispatched",MAX(1,O88-B88),0))</f>
        <v>5</v>
      </c>
      <c r="R88" s="28" t="n">
        <f aca="false">IF(M88="Cancelled",0,IF(P88&lt;&gt;"",MAX(0,P88-O88),IF(T88&lt;&gt;"None",MAX(1,O88-B88-2),0)))</f>
        <v>1</v>
      </c>
      <c r="S88" s="26" t="s">
        <v>37</v>
      </c>
      <c r="T88" s="27" t="s">
        <v>110</v>
      </c>
    </row>
    <row r="89" customFormat="false" ht="15" hidden="false" customHeight="false" outlineLevel="0" collapsed="false">
      <c r="A89" s="18" t="s">
        <v>530</v>
      </c>
      <c r="B89" s="25" t="n">
        <v>45960</v>
      </c>
      <c r="C89" s="18" t="s">
        <v>531</v>
      </c>
      <c r="D89" s="20" t="s">
        <v>532</v>
      </c>
      <c r="E89" s="18" t="s">
        <v>113</v>
      </c>
      <c r="F89" s="20" t="s">
        <v>78</v>
      </c>
      <c r="G89" s="18" t="s">
        <v>255</v>
      </c>
      <c r="H89" s="20" t="str">
        <f aca="false">VLOOKUP(G89,'Product Master'!$A$5:$K$104,2,FALSE())</f>
        <v>Pro Industrial Item 061</v>
      </c>
      <c r="I89" s="20" t="str">
        <f aca="false">VLOOKUP(G89,'Product Master'!$A$5:$K$104,3,FALSE())</f>
        <v>Industrial</v>
      </c>
      <c r="J89" s="17" t="n">
        <v>25</v>
      </c>
      <c r="K89" s="16" t="n">
        <v>5193.69</v>
      </c>
      <c r="L89" s="16" t="n">
        <f aca="false">J89*K89</f>
        <v>129842.25</v>
      </c>
      <c r="M89" s="18" t="s">
        <v>37</v>
      </c>
      <c r="N89" s="25"/>
      <c r="O89" s="25" t="n">
        <v>45965</v>
      </c>
      <c r="P89" s="25"/>
      <c r="Q89" s="17" t="n">
        <f aca="false">IF(P89&lt;&gt;"",MAX(1,P89-B89),IF(M89="Dispatched",MAX(1,O89-B89),0))</f>
        <v>0</v>
      </c>
      <c r="R89" s="17" t="n">
        <f aca="false">IF(M89="Cancelled",0,IF(P89&lt;&gt;"",MAX(0,P89-O89),IF(T89&lt;&gt;"None",MAX(1,O89-B89-2),0)))</f>
        <v>0</v>
      </c>
      <c r="S89" s="18" t="s">
        <v>310</v>
      </c>
      <c r="T89" s="20" t="s">
        <v>317</v>
      </c>
    </row>
    <row r="90" customFormat="false" ht="15" hidden="false" customHeight="false" outlineLevel="0" collapsed="false">
      <c r="A90" s="26" t="s">
        <v>533</v>
      </c>
      <c r="B90" s="34" t="n">
        <v>46204</v>
      </c>
      <c r="C90" s="26" t="s">
        <v>331</v>
      </c>
      <c r="D90" s="27" t="s">
        <v>534</v>
      </c>
      <c r="E90" s="26" t="s">
        <v>105</v>
      </c>
      <c r="F90" s="27" t="s">
        <v>77</v>
      </c>
      <c r="G90" s="26" t="s">
        <v>289</v>
      </c>
      <c r="H90" s="27" t="str">
        <f aca="false">VLOOKUP(G90,'Product Master'!$A$5:$K$104,2,FALSE())</f>
        <v>Eco Apparel Item 095</v>
      </c>
      <c r="I90" s="27" t="str">
        <f aca="false">VLOOKUP(G90,'Product Master'!$A$5:$K$104,3,FALSE())</f>
        <v>Apparel</v>
      </c>
      <c r="J90" s="28" t="n">
        <v>19</v>
      </c>
      <c r="K90" s="29" t="n">
        <v>2884.81</v>
      </c>
      <c r="L90" s="29" t="n">
        <f aca="false">J90*K90</f>
        <v>54811.39</v>
      </c>
      <c r="M90" s="26" t="s">
        <v>41</v>
      </c>
      <c r="N90" s="34" t="n">
        <v>46206</v>
      </c>
      <c r="O90" s="34" t="n">
        <v>46212</v>
      </c>
      <c r="P90" s="34"/>
      <c r="Q90" s="28" t="n">
        <f aca="false">IF(P90&lt;&gt;"",MAX(1,P90-B90),IF(M90="Dispatched",MAX(1,O90-B90),0))</f>
        <v>8</v>
      </c>
      <c r="R90" s="28" t="n">
        <f aca="false">IF(M90="Cancelled",0,IF(P90&lt;&gt;"",MAX(0,P90-O90),IF(T90&lt;&gt;"None",MAX(1,O90-B90-2),0)))</f>
        <v>6</v>
      </c>
      <c r="S90" s="26" t="s">
        <v>310</v>
      </c>
      <c r="T90" s="27" t="s">
        <v>115</v>
      </c>
    </row>
    <row r="91" customFormat="false" ht="15" hidden="false" customHeight="false" outlineLevel="0" collapsed="false">
      <c r="A91" s="18" t="s">
        <v>535</v>
      </c>
      <c r="B91" s="25" t="n">
        <v>46093</v>
      </c>
      <c r="C91" s="18" t="s">
        <v>393</v>
      </c>
      <c r="D91" s="20" t="s">
        <v>536</v>
      </c>
      <c r="E91" s="18" t="s">
        <v>109</v>
      </c>
      <c r="F91" s="20" t="s">
        <v>80</v>
      </c>
      <c r="G91" s="18" t="s">
        <v>289</v>
      </c>
      <c r="H91" s="20" t="str">
        <f aca="false">VLOOKUP(G91,'Product Master'!$A$5:$K$104,2,FALSE())</f>
        <v>Eco Apparel Item 095</v>
      </c>
      <c r="I91" s="20" t="str">
        <f aca="false">VLOOKUP(G91,'Product Master'!$A$5:$K$104,3,FALSE())</f>
        <v>Apparel</v>
      </c>
      <c r="J91" s="17" t="n">
        <v>1</v>
      </c>
      <c r="K91" s="16" t="n">
        <v>2884.81</v>
      </c>
      <c r="L91" s="16" t="n">
        <f aca="false">J91*K91</f>
        <v>2884.81</v>
      </c>
      <c r="M91" s="18" t="s">
        <v>39</v>
      </c>
      <c r="N91" s="25"/>
      <c r="O91" s="25" t="n">
        <v>46100</v>
      </c>
      <c r="P91" s="25"/>
      <c r="Q91" s="17" t="n">
        <f aca="false">IF(P91&lt;&gt;"",MAX(1,P91-B91),IF(M91="Dispatched",MAX(1,O91-B91),0))</f>
        <v>0</v>
      </c>
      <c r="R91" s="17" t="n">
        <f aca="false">IF(M91="Cancelled",0,IF(P91&lt;&gt;"",MAX(0,P91-O91),IF(T91&lt;&gt;"None",MAX(1,O91-B91-2),0)))</f>
        <v>0</v>
      </c>
      <c r="S91" s="18" t="s">
        <v>339</v>
      </c>
      <c r="T91" s="20" t="s">
        <v>317</v>
      </c>
    </row>
    <row r="92" customFormat="false" ht="15" hidden="false" customHeight="false" outlineLevel="0" collapsed="false">
      <c r="A92" s="26" t="s">
        <v>537</v>
      </c>
      <c r="B92" s="34" t="n">
        <v>46183</v>
      </c>
      <c r="C92" s="26" t="s">
        <v>538</v>
      </c>
      <c r="D92" s="27" t="s">
        <v>539</v>
      </c>
      <c r="E92" s="26" t="s">
        <v>109</v>
      </c>
      <c r="F92" s="27" t="s">
        <v>77</v>
      </c>
      <c r="G92" s="26" t="s">
        <v>264</v>
      </c>
      <c r="H92" s="27" t="str">
        <f aca="false">VLOOKUP(G92,'Product Master'!$A$5:$K$104,2,FALSE())</f>
        <v>Eco Packaging Item 070</v>
      </c>
      <c r="I92" s="27" t="str">
        <f aca="false">VLOOKUP(G92,'Product Master'!$A$5:$K$104,3,FALSE())</f>
        <v>Packaging</v>
      </c>
      <c r="J92" s="28" t="n">
        <v>16</v>
      </c>
      <c r="K92" s="29" t="n">
        <v>6067.79</v>
      </c>
      <c r="L92" s="29" t="n">
        <f aca="false">J92*K92</f>
        <v>97084.64</v>
      </c>
      <c r="M92" s="26" t="s">
        <v>35</v>
      </c>
      <c r="N92" s="34" t="n">
        <v>46184</v>
      </c>
      <c r="O92" s="34" t="n">
        <v>46185</v>
      </c>
      <c r="P92" s="34" t="n">
        <v>46185</v>
      </c>
      <c r="Q92" s="28" t="n">
        <f aca="false">IF(P92&lt;&gt;"",MAX(1,P92-B92),IF(M92="Dispatched",MAX(1,O92-B92),0))</f>
        <v>2</v>
      </c>
      <c r="R92" s="28" t="n">
        <f aca="false">IF(M92="Cancelled",0,IF(P92&lt;&gt;"",MAX(0,P92-O92),IF(T92&lt;&gt;"None",MAX(1,O92-B92-2),0)))</f>
        <v>0</v>
      </c>
      <c r="S92" s="26" t="s">
        <v>310</v>
      </c>
      <c r="T92" s="27" t="s">
        <v>317</v>
      </c>
    </row>
    <row r="93" customFormat="false" ht="15" hidden="false" customHeight="false" outlineLevel="0" collapsed="false">
      <c r="A93" s="18" t="s">
        <v>540</v>
      </c>
      <c r="B93" s="25" t="n">
        <v>46245</v>
      </c>
      <c r="C93" s="18" t="s">
        <v>541</v>
      </c>
      <c r="D93" s="20" t="s">
        <v>430</v>
      </c>
      <c r="E93" s="18" t="s">
        <v>107</v>
      </c>
      <c r="F93" s="20" t="s">
        <v>78</v>
      </c>
      <c r="G93" s="18" t="s">
        <v>220</v>
      </c>
      <c r="H93" s="20" t="str">
        <f aca="false">VLOOKUP(G93,'Product Master'!$A$5:$K$104,2,FALSE())</f>
        <v>Classic Home Item 026</v>
      </c>
      <c r="I93" s="20" t="str">
        <f aca="false">VLOOKUP(G93,'Product Master'!$A$5:$K$104,3,FALSE())</f>
        <v>Home &amp; Kitchen</v>
      </c>
      <c r="J93" s="17" t="n">
        <v>23</v>
      </c>
      <c r="K93" s="16" t="n">
        <v>4898.07</v>
      </c>
      <c r="L93" s="16" t="n">
        <f aca="false">J93*K93</f>
        <v>112655.61</v>
      </c>
      <c r="M93" s="18" t="s">
        <v>35</v>
      </c>
      <c r="N93" s="25" t="n">
        <v>46245</v>
      </c>
      <c r="O93" s="25" t="n">
        <v>46252</v>
      </c>
      <c r="P93" s="25" t="n">
        <v>46248</v>
      </c>
      <c r="Q93" s="17" t="n">
        <f aca="false">IF(P93&lt;&gt;"",MAX(1,P93-B93),IF(M93="Dispatched",MAX(1,O93-B93),0))</f>
        <v>3</v>
      </c>
      <c r="R93" s="17" t="n">
        <f aca="false">IF(M93="Cancelled",0,IF(P93&lt;&gt;"",MAX(0,P93-O93),IF(T93&lt;&gt;"None",MAX(1,O93-B93-2),0)))</f>
        <v>0</v>
      </c>
      <c r="S93" s="18" t="s">
        <v>310</v>
      </c>
      <c r="T93" s="20" t="s">
        <v>317</v>
      </c>
    </row>
    <row r="94" customFormat="false" ht="15" hidden="false" customHeight="false" outlineLevel="0" collapsed="false">
      <c r="A94" s="26" t="s">
        <v>542</v>
      </c>
      <c r="B94" s="34" t="n">
        <v>46200</v>
      </c>
      <c r="C94" s="26" t="s">
        <v>543</v>
      </c>
      <c r="D94" s="27" t="s">
        <v>544</v>
      </c>
      <c r="E94" s="26" t="s">
        <v>105</v>
      </c>
      <c r="F94" s="27" t="s">
        <v>78</v>
      </c>
      <c r="G94" s="26" t="s">
        <v>241</v>
      </c>
      <c r="H94" s="27" t="str">
        <f aca="false">VLOOKUP(G94,'Product Master'!$A$5:$K$104,2,FALSE())</f>
        <v>Premium Apparel Item 047</v>
      </c>
      <c r="I94" s="27" t="str">
        <f aca="false">VLOOKUP(G94,'Product Master'!$A$5:$K$104,3,FALSE())</f>
        <v>Apparel</v>
      </c>
      <c r="J94" s="28" t="n">
        <v>23</v>
      </c>
      <c r="K94" s="29" t="n">
        <v>3068.55</v>
      </c>
      <c r="L94" s="29" t="n">
        <f aca="false">J94*K94</f>
        <v>70576.65</v>
      </c>
      <c r="M94" s="26" t="s">
        <v>43</v>
      </c>
      <c r="N94" s="34"/>
      <c r="O94" s="34" t="n">
        <v>46208</v>
      </c>
      <c r="P94" s="34"/>
      <c r="Q94" s="28" t="n">
        <f aca="false">IF(P94&lt;&gt;"",MAX(1,P94-B94),IF(M94="Dispatched",MAX(1,O94-B94),0))</f>
        <v>0</v>
      </c>
      <c r="R94" s="28" t="n">
        <f aca="false">IF(M94="Cancelled",0,IF(P94&lt;&gt;"",MAX(0,P94-O94),IF(T94&lt;&gt;"None",MAX(1,O94-B94-2),0)))</f>
        <v>0</v>
      </c>
      <c r="S94" s="26" t="s">
        <v>310</v>
      </c>
      <c r="T94" s="27" t="s">
        <v>411</v>
      </c>
    </row>
    <row r="95" customFormat="false" ht="15" hidden="false" customHeight="false" outlineLevel="0" collapsed="false">
      <c r="A95" s="18" t="s">
        <v>545</v>
      </c>
      <c r="B95" s="25" t="n">
        <v>46000</v>
      </c>
      <c r="C95" s="18" t="s">
        <v>312</v>
      </c>
      <c r="D95" s="20" t="s">
        <v>492</v>
      </c>
      <c r="E95" s="18" t="s">
        <v>111</v>
      </c>
      <c r="F95" s="20" t="s">
        <v>79</v>
      </c>
      <c r="G95" s="18" t="s">
        <v>215</v>
      </c>
      <c r="H95" s="20" t="str">
        <f aca="false">VLOOKUP(G95,'Product Master'!$A$5:$K$104,2,FALSE())</f>
        <v>Eco Industrial Item 021</v>
      </c>
      <c r="I95" s="20" t="str">
        <f aca="false">VLOOKUP(G95,'Product Master'!$A$5:$K$104,3,FALSE())</f>
        <v>Industrial</v>
      </c>
      <c r="J95" s="17" t="n">
        <v>21</v>
      </c>
      <c r="K95" s="16" t="n">
        <v>2056.91</v>
      </c>
      <c r="L95" s="16" t="n">
        <f aca="false">J95*K95</f>
        <v>43195.11</v>
      </c>
      <c r="M95" s="18" t="s">
        <v>35</v>
      </c>
      <c r="N95" s="25" t="n">
        <v>46001</v>
      </c>
      <c r="O95" s="25" t="n">
        <v>46007</v>
      </c>
      <c r="P95" s="25" t="n">
        <v>46006</v>
      </c>
      <c r="Q95" s="17" t="n">
        <f aca="false">IF(P95&lt;&gt;"",MAX(1,P95-B95),IF(M95="Dispatched",MAX(1,O95-B95),0))</f>
        <v>6</v>
      </c>
      <c r="R95" s="17" t="n">
        <f aca="false">IF(M95="Cancelled",0,IF(P95&lt;&gt;"",MAX(0,P95-O95),IF(T95&lt;&gt;"None",MAX(1,O95-B95-2),0)))</f>
        <v>0</v>
      </c>
      <c r="S95" s="18" t="s">
        <v>310</v>
      </c>
      <c r="T95" s="20" t="s">
        <v>317</v>
      </c>
    </row>
    <row r="96" customFormat="false" ht="15" hidden="false" customHeight="false" outlineLevel="0" collapsed="false">
      <c r="A96" s="26" t="s">
        <v>546</v>
      </c>
      <c r="B96" s="34" t="n">
        <v>45996</v>
      </c>
      <c r="C96" s="26" t="s">
        <v>547</v>
      </c>
      <c r="D96" s="27" t="s">
        <v>460</v>
      </c>
      <c r="E96" s="26" t="s">
        <v>105</v>
      </c>
      <c r="F96" s="27" t="s">
        <v>80</v>
      </c>
      <c r="G96" s="26" t="s">
        <v>217</v>
      </c>
      <c r="H96" s="27" t="str">
        <f aca="false">VLOOKUP(G96,'Product Master'!$A$5:$K$104,2,FALSE())</f>
        <v>Eco Apparel Item 023</v>
      </c>
      <c r="I96" s="27" t="str">
        <f aca="false">VLOOKUP(G96,'Product Master'!$A$5:$K$104,3,FALSE())</f>
        <v>Apparel</v>
      </c>
      <c r="J96" s="28" t="n">
        <v>13</v>
      </c>
      <c r="K96" s="29" t="n">
        <v>3494.59</v>
      </c>
      <c r="L96" s="29" t="n">
        <f aca="false">J96*K96</f>
        <v>45429.67</v>
      </c>
      <c r="M96" s="26" t="s">
        <v>41</v>
      </c>
      <c r="N96" s="34" t="n">
        <v>45997</v>
      </c>
      <c r="O96" s="34" t="n">
        <v>45998</v>
      </c>
      <c r="P96" s="34"/>
      <c r="Q96" s="28" t="n">
        <f aca="false">IF(P96&lt;&gt;"",MAX(1,P96-B96),IF(M96="Dispatched",MAX(1,O96-B96),0))</f>
        <v>2</v>
      </c>
      <c r="R96" s="28" t="n">
        <f aca="false">IF(M96="Cancelled",0,IF(P96&lt;&gt;"",MAX(0,P96-O96),IF(T96&lt;&gt;"None",MAX(1,O96-B96-2),0)))</f>
        <v>1</v>
      </c>
      <c r="S96" s="26" t="s">
        <v>339</v>
      </c>
      <c r="T96" s="27" t="s">
        <v>115</v>
      </c>
    </row>
    <row r="97" customFormat="false" ht="15" hidden="false" customHeight="false" outlineLevel="0" collapsed="false">
      <c r="A97" s="18" t="s">
        <v>548</v>
      </c>
      <c r="B97" s="25" t="n">
        <v>46044</v>
      </c>
      <c r="C97" s="18" t="s">
        <v>429</v>
      </c>
      <c r="D97" s="20" t="s">
        <v>332</v>
      </c>
      <c r="E97" s="18" t="s">
        <v>113</v>
      </c>
      <c r="F97" s="20" t="s">
        <v>76</v>
      </c>
      <c r="G97" s="18" t="s">
        <v>276</v>
      </c>
      <c r="H97" s="20" t="str">
        <f aca="false">VLOOKUP(G97,'Product Master'!$A$5:$K$104,2,FALSE())</f>
        <v>Compact Home Item 082</v>
      </c>
      <c r="I97" s="20" t="str">
        <f aca="false">VLOOKUP(G97,'Product Master'!$A$5:$K$104,3,FALSE())</f>
        <v>Home &amp; Kitchen</v>
      </c>
      <c r="J97" s="17" t="n">
        <v>16</v>
      </c>
      <c r="K97" s="16" t="n">
        <v>3454.52</v>
      </c>
      <c r="L97" s="16" t="n">
        <f aca="false">J97*K97</f>
        <v>55272.32</v>
      </c>
      <c r="M97" s="18" t="s">
        <v>35</v>
      </c>
      <c r="N97" s="25" t="n">
        <v>46045</v>
      </c>
      <c r="O97" s="25" t="n">
        <v>46047</v>
      </c>
      <c r="P97" s="25" t="n">
        <v>46048</v>
      </c>
      <c r="Q97" s="17" t="n">
        <f aca="false">IF(P97&lt;&gt;"",MAX(1,P97-B97),IF(M97="Dispatched",MAX(1,O97-B97),0))</f>
        <v>4</v>
      </c>
      <c r="R97" s="17" t="n">
        <f aca="false">IF(M97="Cancelled",0,IF(P97&lt;&gt;"",MAX(0,P97-O97),IF(T97&lt;&gt;"None",MAX(1,O97-B97-2),0)))</f>
        <v>1</v>
      </c>
      <c r="S97" s="18" t="s">
        <v>37</v>
      </c>
      <c r="T97" s="20" t="s">
        <v>112</v>
      </c>
    </row>
    <row r="98" customFormat="false" ht="15" hidden="false" customHeight="false" outlineLevel="0" collapsed="false">
      <c r="A98" s="26" t="s">
        <v>549</v>
      </c>
      <c r="B98" s="34" t="n">
        <v>46258</v>
      </c>
      <c r="C98" s="26" t="s">
        <v>550</v>
      </c>
      <c r="D98" s="27" t="s">
        <v>551</v>
      </c>
      <c r="E98" s="26" t="s">
        <v>109</v>
      </c>
      <c r="F98" s="27" t="s">
        <v>79</v>
      </c>
      <c r="G98" s="26" t="s">
        <v>288</v>
      </c>
      <c r="H98" s="27" t="str">
        <f aca="false">VLOOKUP(G98,'Product Master'!$A$5:$K$104,2,FALSE())</f>
        <v>Classic Packaging Item 094</v>
      </c>
      <c r="I98" s="27" t="str">
        <f aca="false">VLOOKUP(G98,'Product Master'!$A$5:$K$104,3,FALSE())</f>
        <v>Packaging</v>
      </c>
      <c r="J98" s="28" t="n">
        <v>1</v>
      </c>
      <c r="K98" s="29" t="n">
        <v>6811.13</v>
      </c>
      <c r="L98" s="29" t="n">
        <f aca="false">J98*K98</f>
        <v>6811.13</v>
      </c>
      <c r="M98" s="26" t="s">
        <v>35</v>
      </c>
      <c r="N98" s="34" t="n">
        <v>46258</v>
      </c>
      <c r="O98" s="34" t="n">
        <v>46263</v>
      </c>
      <c r="P98" s="34" t="n">
        <v>46264</v>
      </c>
      <c r="Q98" s="28" t="n">
        <f aca="false">IF(P98&lt;&gt;"",MAX(1,P98-B98),IF(M98="Dispatched",MAX(1,O98-B98),0))</f>
        <v>6</v>
      </c>
      <c r="R98" s="28" t="n">
        <f aca="false">IF(M98="Cancelled",0,IF(P98&lt;&gt;"",MAX(0,P98-O98),IF(T98&lt;&gt;"None",MAX(1,O98-B98-2),0)))</f>
        <v>1</v>
      </c>
      <c r="S98" s="26" t="s">
        <v>310</v>
      </c>
      <c r="T98" s="27" t="s">
        <v>112</v>
      </c>
    </row>
    <row r="99" customFormat="false" ht="15" hidden="false" customHeight="false" outlineLevel="0" collapsed="false">
      <c r="A99" s="18" t="s">
        <v>552</v>
      </c>
      <c r="B99" s="25" t="n">
        <v>46128</v>
      </c>
      <c r="C99" s="18" t="s">
        <v>531</v>
      </c>
      <c r="D99" s="20" t="s">
        <v>443</v>
      </c>
      <c r="E99" s="18" t="s">
        <v>111</v>
      </c>
      <c r="F99" s="20" t="s">
        <v>77</v>
      </c>
      <c r="G99" s="18" t="s">
        <v>251</v>
      </c>
      <c r="H99" s="20" t="str">
        <f aca="false">VLOOKUP(G99,'Product Master'!$A$5:$K$104,2,FALSE())</f>
        <v>Essential Electronics Item 057</v>
      </c>
      <c r="I99" s="20" t="str">
        <f aca="false">VLOOKUP(G99,'Product Master'!$A$5:$K$104,3,FALSE())</f>
        <v>Electronics</v>
      </c>
      <c r="J99" s="17" t="n">
        <v>14</v>
      </c>
      <c r="K99" s="16" t="n">
        <v>8152.77</v>
      </c>
      <c r="L99" s="16" t="n">
        <f aca="false">J99*K99</f>
        <v>114138.78</v>
      </c>
      <c r="M99" s="18" t="s">
        <v>35</v>
      </c>
      <c r="N99" s="25" t="n">
        <v>46130</v>
      </c>
      <c r="O99" s="25" t="n">
        <v>46136</v>
      </c>
      <c r="P99" s="25" t="n">
        <v>46144</v>
      </c>
      <c r="Q99" s="17" t="n">
        <f aca="false">IF(P99&lt;&gt;"",MAX(1,P99-B99),IF(M99="Dispatched",MAX(1,O99-B99),0))</f>
        <v>16</v>
      </c>
      <c r="R99" s="17" t="n">
        <f aca="false">IF(M99="Cancelled",0,IF(P99&lt;&gt;"",MAX(0,P99-O99),IF(T99&lt;&gt;"None",MAX(1,O99-B99-2),0)))</f>
        <v>8</v>
      </c>
      <c r="S99" s="18" t="s">
        <v>352</v>
      </c>
      <c r="T99" s="20" t="s">
        <v>114</v>
      </c>
    </row>
    <row r="100" customFormat="false" ht="15" hidden="false" customHeight="false" outlineLevel="0" collapsed="false">
      <c r="A100" s="26" t="s">
        <v>553</v>
      </c>
      <c r="B100" s="34" t="n">
        <v>46264</v>
      </c>
      <c r="C100" s="26" t="s">
        <v>554</v>
      </c>
      <c r="D100" s="27" t="s">
        <v>555</v>
      </c>
      <c r="E100" s="26" t="s">
        <v>107</v>
      </c>
      <c r="F100" s="27" t="s">
        <v>77</v>
      </c>
      <c r="G100" s="26" t="s">
        <v>292</v>
      </c>
      <c r="H100" s="27" t="str">
        <f aca="false">VLOOKUP(G100,'Product Master'!$A$5:$K$104,2,FALSE())</f>
        <v>Compact Home Item 098</v>
      </c>
      <c r="I100" s="27" t="str">
        <f aca="false">VLOOKUP(G100,'Product Master'!$A$5:$K$104,3,FALSE())</f>
        <v>Home &amp; Kitchen</v>
      </c>
      <c r="J100" s="28" t="n">
        <v>15</v>
      </c>
      <c r="K100" s="29" t="n">
        <v>9200.31</v>
      </c>
      <c r="L100" s="29" t="n">
        <f aca="false">J100*K100</f>
        <v>138004.65</v>
      </c>
      <c r="M100" s="26" t="s">
        <v>35</v>
      </c>
      <c r="N100" s="34" t="n">
        <v>46266</v>
      </c>
      <c r="O100" s="34" t="n">
        <v>46266</v>
      </c>
      <c r="P100" s="34" t="n">
        <v>46266</v>
      </c>
      <c r="Q100" s="28" t="n">
        <f aca="false">IF(P100&lt;&gt;"",MAX(1,P100-B100),IF(M100="Dispatched",MAX(1,O100-B100),0))</f>
        <v>2</v>
      </c>
      <c r="R100" s="28" t="n">
        <f aca="false">IF(M100="Cancelled",0,IF(P100&lt;&gt;"",MAX(0,P100-O100),IF(T100&lt;&gt;"None",MAX(1,O100-B100-2),0)))</f>
        <v>0</v>
      </c>
      <c r="S100" s="26" t="s">
        <v>310</v>
      </c>
      <c r="T100" s="27" t="s">
        <v>317</v>
      </c>
    </row>
    <row r="101" customFormat="false" ht="15" hidden="false" customHeight="false" outlineLevel="0" collapsed="false">
      <c r="A101" s="18" t="s">
        <v>556</v>
      </c>
      <c r="B101" s="25" t="n">
        <v>46018</v>
      </c>
      <c r="C101" s="18" t="s">
        <v>557</v>
      </c>
      <c r="D101" s="20" t="s">
        <v>558</v>
      </c>
      <c r="E101" s="18" t="s">
        <v>107</v>
      </c>
      <c r="F101" s="20" t="s">
        <v>76</v>
      </c>
      <c r="G101" s="18" t="s">
        <v>243</v>
      </c>
      <c r="H101" s="20" t="str">
        <f aca="false">VLOOKUP(G101,'Product Master'!$A$5:$K$104,2,FALSE())</f>
        <v>Premium Electronics Item 049</v>
      </c>
      <c r="I101" s="20" t="str">
        <f aca="false">VLOOKUP(G101,'Product Master'!$A$5:$K$104,3,FALSE())</f>
        <v>Electronics</v>
      </c>
      <c r="J101" s="17" t="n">
        <v>18</v>
      </c>
      <c r="K101" s="16" t="n">
        <v>8712.18</v>
      </c>
      <c r="L101" s="16" t="n">
        <f aca="false">J101*K101</f>
        <v>156819.24</v>
      </c>
      <c r="M101" s="18" t="s">
        <v>43</v>
      </c>
      <c r="N101" s="25"/>
      <c r="O101" s="25" t="n">
        <v>46021</v>
      </c>
      <c r="P101" s="25"/>
      <c r="Q101" s="17" t="n">
        <f aca="false">IF(P101&lt;&gt;"",MAX(1,P101-B101),IF(M101="Dispatched",MAX(1,O101-B101),0))</f>
        <v>0</v>
      </c>
      <c r="R101" s="17" t="n">
        <f aca="false">IF(M101="Cancelled",0,IF(P101&lt;&gt;"",MAX(0,P101-O101),IF(T101&lt;&gt;"None",MAX(1,O101-B101-2),0)))</f>
        <v>0</v>
      </c>
      <c r="S101" s="18" t="s">
        <v>310</v>
      </c>
      <c r="T101" s="20" t="s">
        <v>411</v>
      </c>
    </row>
    <row r="102" customFormat="false" ht="15" hidden="false" customHeight="false" outlineLevel="0" collapsed="false">
      <c r="A102" s="26" t="s">
        <v>559</v>
      </c>
      <c r="B102" s="34" t="n">
        <v>46265</v>
      </c>
      <c r="C102" s="26" t="s">
        <v>560</v>
      </c>
      <c r="D102" s="27" t="s">
        <v>561</v>
      </c>
      <c r="E102" s="26" t="s">
        <v>113</v>
      </c>
      <c r="F102" s="27" t="s">
        <v>79</v>
      </c>
      <c r="G102" s="26" t="s">
        <v>216</v>
      </c>
      <c r="H102" s="27" t="str">
        <f aca="false">VLOOKUP(G102,'Product Master'!$A$5:$K$104,2,FALSE())</f>
        <v>Smart Packaging Item 022</v>
      </c>
      <c r="I102" s="27" t="str">
        <f aca="false">VLOOKUP(G102,'Product Master'!$A$5:$K$104,3,FALSE())</f>
        <v>Packaging</v>
      </c>
      <c r="J102" s="28" t="n">
        <v>6</v>
      </c>
      <c r="K102" s="29" t="n">
        <v>1054.05</v>
      </c>
      <c r="L102" s="29" t="n">
        <f aca="false">J102*K102</f>
        <v>6324.3</v>
      </c>
      <c r="M102" s="26" t="s">
        <v>35</v>
      </c>
      <c r="N102" s="34" t="n">
        <v>46266</v>
      </c>
      <c r="O102" s="34" t="n">
        <v>46272</v>
      </c>
      <c r="P102" s="34" t="n">
        <v>46272</v>
      </c>
      <c r="Q102" s="28" t="n">
        <f aca="false">IF(P102&lt;&gt;"",MAX(1,P102-B102),IF(M102="Dispatched",MAX(1,O102-B102),0))</f>
        <v>7</v>
      </c>
      <c r="R102" s="28" t="n">
        <f aca="false">IF(M102="Cancelled",0,IF(P102&lt;&gt;"",MAX(0,P102-O102),IF(T102&lt;&gt;"None",MAX(1,O102-B102-2),0)))</f>
        <v>0</v>
      </c>
      <c r="S102" s="26" t="s">
        <v>310</v>
      </c>
      <c r="T102" s="27" t="s">
        <v>317</v>
      </c>
    </row>
    <row r="103" customFormat="false" ht="15" hidden="false" customHeight="false" outlineLevel="0" collapsed="false">
      <c r="A103" s="18" t="s">
        <v>562</v>
      </c>
      <c r="B103" s="25" t="n">
        <v>46052</v>
      </c>
      <c r="C103" s="18" t="s">
        <v>482</v>
      </c>
      <c r="D103" s="20" t="s">
        <v>563</v>
      </c>
      <c r="E103" s="18" t="s">
        <v>105</v>
      </c>
      <c r="F103" s="20" t="s">
        <v>79</v>
      </c>
      <c r="G103" s="18" t="s">
        <v>207</v>
      </c>
      <c r="H103" s="20" t="str">
        <f aca="false">VLOOKUP(G103,'Product Master'!$A$5:$K$104,2,FALSE())</f>
        <v>Eco Industrial Item 013</v>
      </c>
      <c r="I103" s="20" t="str">
        <f aca="false">VLOOKUP(G103,'Product Master'!$A$5:$K$104,3,FALSE())</f>
        <v>Industrial</v>
      </c>
      <c r="J103" s="17" t="n">
        <v>19</v>
      </c>
      <c r="K103" s="16" t="n">
        <v>12957.77</v>
      </c>
      <c r="L103" s="16" t="n">
        <f aca="false">J103*K103</f>
        <v>246197.63</v>
      </c>
      <c r="M103" s="18" t="s">
        <v>35</v>
      </c>
      <c r="N103" s="25" t="n">
        <v>46053</v>
      </c>
      <c r="O103" s="25" t="n">
        <v>46061</v>
      </c>
      <c r="P103" s="25" t="n">
        <v>46057</v>
      </c>
      <c r="Q103" s="17" t="n">
        <f aca="false">IF(P103&lt;&gt;"",MAX(1,P103-B103),IF(M103="Dispatched",MAX(1,O103-B103),0))</f>
        <v>5</v>
      </c>
      <c r="R103" s="17" t="n">
        <f aca="false">IF(M103="Cancelled",0,IF(P103&lt;&gt;"",MAX(0,P103-O103),IF(T103&lt;&gt;"None",MAX(1,O103-B103-2),0)))</f>
        <v>0</v>
      </c>
      <c r="S103" s="18" t="s">
        <v>310</v>
      </c>
      <c r="T103" s="20" t="s">
        <v>317</v>
      </c>
    </row>
    <row r="104" customFormat="false" ht="15" hidden="false" customHeight="false" outlineLevel="0" collapsed="false">
      <c r="A104" s="26" t="s">
        <v>564</v>
      </c>
      <c r="B104" s="34" t="n">
        <v>46269</v>
      </c>
      <c r="C104" s="26" t="s">
        <v>565</v>
      </c>
      <c r="D104" s="27" t="s">
        <v>566</v>
      </c>
      <c r="E104" s="26" t="s">
        <v>113</v>
      </c>
      <c r="F104" s="27" t="s">
        <v>79</v>
      </c>
      <c r="G104" s="26" t="s">
        <v>275</v>
      </c>
      <c r="H104" s="27" t="str">
        <f aca="false">VLOOKUP(G104,'Product Master'!$A$5:$K$104,2,FALSE())</f>
        <v>Premium Electronics Item 081</v>
      </c>
      <c r="I104" s="27" t="str">
        <f aca="false">VLOOKUP(G104,'Product Master'!$A$5:$K$104,3,FALSE())</f>
        <v>Electronics</v>
      </c>
      <c r="J104" s="28" t="n">
        <v>7</v>
      </c>
      <c r="K104" s="29" t="n">
        <v>5895.61</v>
      </c>
      <c r="L104" s="29" t="n">
        <f aca="false">J104*K104</f>
        <v>41269.27</v>
      </c>
      <c r="M104" s="26" t="s">
        <v>35</v>
      </c>
      <c r="N104" s="34" t="n">
        <v>46270</v>
      </c>
      <c r="O104" s="34" t="n">
        <v>46274</v>
      </c>
      <c r="P104" s="34" t="n">
        <v>46274</v>
      </c>
      <c r="Q104" s="28" t="n">
        <f aca="false">IF(P104&lt;&gt;"",MAX(1,P104-B104),IF(M104="Dispatched",MAX(1,O104-B104),0))</f>
        <v>5</v>
      </c>
      <c r="R104" s="28" t="n">
        <f aca="false">IF(M104="Cancelled",0,IF(P104&lt;&gt;"",MAX(0,P104-O104),IF(T104&lt;&gt;"None",MAX(1,O104-B104-2),0)))</f>
        <v>0</v>
      </c>
      <c r="S104" s="26" t="s">
        <v>310</v>
      </c>
      <c r="T104" s="27" t="s">
        <v>317</v>
      </c>
    </row>
    <row r="105" customFormat="false" ht="15" hidden="false" customHeight="false" outlineLevel="0" collapsed="false">
      <c r="A105" s="18" t="s">
        <v>567</v>
      </c>
      <c r="B105" s="25" t="n">
        <v>46134</v>
      </c>
      <c r="C105" s="18" t="s">
        <v>322</v>
      </c>
      <c r="D105" s="20" t="s">
        <v>378</v>
      </c>
      <c r="E105" s="18" t="s">
        <v>111</v>
      </c>
      <c r="F105" s="20" t="s">
        <v>78</v>
      </c>
      <c r="G105" s="18" t="s">
        <v>255</v>
      </c>
      <c r="H105" s="20" t="str">
        <f aca="false">VLOOKUP(G105,'Product Master'!$A$5:$K$104,2,FALSE())</f>
        <v>Pro Industrial Item 061</v>
      </c>
      <c r="I105" s="20" t="str">
        <f aca="false">VLOOKUP(G105,'Product Master'!$A$5:$K$104,3,FALSE())</f>
        <v>Industrial</v>
      </c>
      <c r="J105" s="17" t="n">
        <v>3</v>
      </c>
      <c r="K105" s="16" t="n">
        <v>5193.69</v>
      </c>
      <c r="L105" s="16" t="n">
        <f aca="false">J105*K105</f>
        <v>15581.07</v>
      </c>
      <c r="M105" s="18" t="s">
        <v>37</v>
      </c>
      <c r="N105" s="25"/>
      <c r="O105" s="25" t="n">
        <v>46142</v>
      </c>
      <c r="P105" s="25"/>
      <c r="Q105" s="17" t="n">
        <f aca="false">IF(P105&lt;&gt;"",MAX(1,P105-B105),IF(M105="Dispatched",MAX(1,O105-B105),0))</f>
        <v>0</v>
      </c>
      <c r="R105" s="17" t="n">
        <f aca="false">IF(M105="Cancelled",0,IF(P105&lt;&gt;"",MAX(0,P105-O105),IF(T105&lt;&gt;"None",MAX(1,O105-B105-2),0)))</f>
        <v>0</v>
      </c>
      <c r="S105" s="18" t="s">
        <v>310</v>
      </c>
      <c r="T105" s="20" t="s">
        <v>317</v>
      </c>
    </row>
    <row r="106" customFormat="false" ht="15" hidden="false" customHeight="false" outlineLevel="0" collapsed="false">
      <c r="A106" s="26" t="s">
        <v>568</v>
      </c>
      <c r="B106" s="34" t="n">
        <v>45953</v>
      </c>
      <c r="C106" s="26" t="s">
        <v>569</v>
      </c>
      <c r="D106" s="27" t="s">
        <v>508</v>
      </c>
      <c r="E106" s="26" t="s">
        <v>111</v>
      </c>
      <c r="F106" s="27" t="s">
        <v>79</v>
      </c>
      <c r="G106" s="26" t="s">
        <v>228</v>
      </c>
      <c r="H106" s="27" t="str">
        <f aca="false">VLOOKUP(G106,'Product Master'!$A$5:$K$104,2,FALSE())</f>
        <v>Classic Home Item 034</v>
      </c>
      <c r="I106" s="27" t="str">
        <f aca="false">VLOOKUP(G106,'Product Master'!$A$5:$K$104,3,FALSE())</f>
        <v>Home &amp; Kitchen</v>
      </c>
      <c r="J106" s="28" t="n">
        <v>9</v>
      </c>
      <c r="K106" s="29" t="n">
        <v>3243.31</v>
      </c>
      <c r="L106" s="29" t="n">
        <f aca="false">J106*K106</f>
        <v>29189.79</v>
      </c>
      <c r="M106" s="26" t="s">
        <v>35</v>
      </c>
      <c r="N106" s="34" t="n">
        <v>45953</v>
      </c>
      <c r="O106" s="34" t="n">
        <v>45959</v>
      </c>
      <c r="P106" s="34" t="n">
        <v>45958</v>
      </c>
      <c r="Q106" s="28" t="n">
        <f aca="false">IF(P106&lt;&gt;"",MAX(1,P106-B106),IF(M106="Dispatched",MAX(1,O106-B106),0))</f>
        <v>5</v>
      </c>
      <c r="R106" s="28" t="n">
        <f aca="false">IF(M106="Cancelled",0,IF(P106&lt;&gt;"",MAX(0,P106-O106),IF(T106&lt;&gt;"None",MAX(1,O106-B106-2),0)))</f>
        <v>0</v>
      </c>
      <c r="S106" s="26" t="s">
        <v>310</v>
      </c>
      <c r="T106" s="27" t="s">
        <v>317</v>
      </c>
    </row>
    <row r="107" customFormat="false" ht="15" hidden="false" customHeight="false" outlineLevel="0" collapsed="false">
      <c r="A107" s="18" t="s">
        <v>570</v>
      </c>
      <c r="B107" s="25" t="n">
        <v>46208</v>
      </c>
      <c r="C107" s="18" t="s">
        <v>571</v>
      </c>
      <c r="D107" s="20" t="s">
        <v>572</v>
      </c>
      <c r="E107" s="18" t="s">
        <v>113</v>
      </c>
      <c r="F107" s="20" t="s">
        <v>77</v>
      </c>
      <c r="G107" s="18" t="s">
        <v>247</v>
      </c>
      <c r="H107" s="20" t="str">
        <f aca="false">VLOOKUP(G107,'Product Master'!$A$5:$K$104,2,FALSE())</f>
        <v>Classic Industrial Item 053</v>
      </c>
      <c r="I107" s="20" t="str">
        <f aca="false">VLOOKUP(G107,'Product Master'!$A$5:$K$104,3,FALSE())</f>
        <v>Industrial</v>
      </c>
      <c r="J107" s="17" t="n">
        <v>18</v>
      </c>
      <c r="K107" s="16" t="n">
        <v>10730.84</v>
      </c>
      <c r="L107" s="16" t="n">
        <f aca="false">J107*K107</f>
        <v>193155.12</v>
      </c>
      <c r="M107" s="18" t="s">
        <v>35</v>
      </c>
      <c r="N107" s="25" t="n">
        <v>46211</v>
      </c>
      <c r="O107" s="25" t="n">
        <v>46216</v>
      </c>
      <c r="P107" s="25" t="n">
        <v>46224</v>
      </c>
      <c r="Q107" s="17" t="n">
        <f aca="false">IF(P107&lt;&gt;"",MAX(1,P107-B107),IF(M107="Dispatched",MAX(1,O107-B107),0))</f>
        <v>16</v>
      </c>
      <c r="R107" s="17" t="n">
        <f aca="false">IF(M107="Cancelled",0,IF(P107&lt;&gt;"",MAX(0,P107-O107),IF(T107&lt;&gt;"None",MAX(1,O107-B107-2),0)))</f>
        <v>8</v>
      </c>
      <c r="S107" s="18" t="s">
        <v>310</v>
      </c>
      <c r="T107" s="20" t="s">
        <v>114</v>
      </c>
    </row>
    <row r="108" customFormat="false" ht="15" hidden="false" customHeight="false" outlineLevel="0" collapsed="false">
      <c r="A108" s="26" t="s">
        <v>573</v>
      </c>
      <c r="B108" s="34" t="n">
        <v>46133</v>
      </c>
      <c r="C108" s="26" t="s">
        <v>574</v>
      </c>
      <c r="D108" s="27" t="s">
        <v>575</v>
      </c>
      <c r="E108" s="26" t="s">
        <v>105</v>
      </c>
      <c r="F108" s="27" t="s">
        <v>80</v>
      </c>
      <c r="G108" s="26" t="s">
        <v>286</v>
      </c>
      <c r="H108" s="27" t="str">
        <f aca="false">VLOOKUP(G108,'Product Master'!$A$5:$K$104,2,FALSE())</f>
        <v>Essential Personal Item 092</v>
      </c>
      <c r="I108" s="27" t="str">
        <f aca="false">VLOOKUP(G108,'Product Master'!$A$5:$K$104,3,FALSE())</f>
        <v>Personal Care</v>
      </c>
      <c r="J108" s="28" t="n">
        <v>19</v>
      </c>
      <c r="K108" s="29" t="n">
        <v>8774.84</v>
      </c>
      <c r="L108" s="29" t="n">
        <f aca="false">J108*K108</f>
        <v>166721.96</v>
      </c>
      <c r="M108" s="26" t="s">
        <v>41</v>
      </c>
      <c r="N108" s="34" t="n">
        <v>46133</v>
      </c>
      <c r="O108" s="34" t="n">
        <v>46137</v>
      </c>
      <c r="P108" s="34"/>
      <c r="Q108" s="28" t="n">
        <f aca="false">IF(P108&lt;&gt;"",MAX(1,P108-B108),IF(M108="Dispatched",MAX(1,O108-B108),0))</f>
        <v>4</v>
      </c>
      <c r="R108" s="28" t="n">
        <f aca="false">IF(M108="Cancelled",0,IF(P108&lt;&gt;"",MAX(0,P108-O108),IF(T108&lt;&gt;"None",MAX(1,O108-B108-2),0)))</f>
        <v>2</v>
      </c>
      <c r="S108" s="26" t="s">
        <v>352</v>
      </c>
      <c r="T108" s="27" t="s">
        <v>115</v>
      </c>
    </row>
    <row r="109" customFormat="false" ht="15" hidden="false" customHeight="false" outlineLevel="0" collapsed="false">
      <c r="A109" s="18" t="s">
        <v>576</v>
      </c>
      <c r="B109" s="25" t="n">
        <v>46016</v>
      </c>
      <c r="C109" s="18" t="s">
        <v>577</v>
      </c>
      <c r="D109" s="20" t="s">
        <v>578</v>
      </c>
      <c r="E109" s="18" t="s">
        <v>107</v>
      </c>
      <c r="F109" s="20" t="s">
        <v>77</v>
      </c>
      <c r="G109" s="18" t="s">
        <v>222</v>
      </c>
      <c r="H109" s="20" t="str">
        <f aca="false">VLOOKUP(G109,'Product Master'!$A$5:$K$104,2,FALSE())</f>
        <v>Pro Personal Item 028</v>
      </c>
      <c r="I109" s="20" t="str">
        <f aca="false">VLOOKUP(G109,'Product Master'!$A$5:$K$104,3,FALSE())</f>
        <v>Personal Care</v>
      </c>
      <c r="J109" s="17" t="n">
        <v>2</v>
      </c>
      <c r="K109" s="16" t="n">
        <v>2131.21</v>
      </c>
      <c r="L109" s="16" t="n">
        <f aca="false">J109*K109</f>
        <v>4262.42</v>
      </c>
      <c r="M109" s="18" t="s">
        <v>35</v>
      </c>
      <c r="N109" s="25" t="n">
        <v>46017</v>
      </c>
      <c r="O109" s="25" t="n">
        <v>46024</v>
      </c>
      <c r="P109" s="25" t="n">
        <v>46023</v>
      </c>
      <c r="Q109" s="17" t="n">
        <f aca="false">IF(P109&lt;&gt;"",MAX(1,P109-B109),IF(M109="Dispatched",MAX(1,O109-B109),0))</f>
        <v>7</v>
      </c>
      <c r="R109" s="17" t="n">
        <f aca="false">IF(M109="Cancelled",0,IF(P109&lt;&gt;"",MAX(0,P109-O109),IF(T109&lt;&gt;"None",MAX(1,O109-B109-2),0)))</f>
        <v>0</v>
      </c>
      <c r="S109" s="18" t="s">
        <v>352</v>
      </c>
      <c r="T109" s="20" t="s">
        <v>317</v>
      </c>
    </row>
    <row r="110" customFormat="false" ht="15" hidden="false" customHeight="false" outlineLevel="0" collapsed="false">
      <c r="A110" s="26" t="s">
        <v>579</v>
      </c>
      <c r="B110" s="34" t="n">
        <v>45965</v>
      </c>
      <c r="C110" s="26" t="s">
        <v>550</v>
      </c>
      <c r="D110" s="27" t="s">
        <v>580</v>
      </c>
      <c r="E110" s="26" t="s">
        <v>111</v>
      </c>
      <c r="F110" s="27" t="s">
        <v>80</v>
      </c>
      <c r="G110" s="26" t="s">
        <v>206</v>
      </c>
      <c r="H110" s="27" t="str">
        <f aca="false">VLOOKUP(G110,'Product Master'!$A$5:$K$104,2,FALSE())</f>
        <v>Eco Personal Item 012</v>
      </c>
      <c r="I110" s="27" t="str">
        <f aca="false">VLOOKUP(G110,'Product Master'!$A$5:$K$104,3,FALSE())</f>
        <v>Personal Care</v>
      </c>
      <c r="J110" s="28" t="n">
        <v>13</v>
      </c>
      <c r="K110" s="29" t="n">
        <v>7685.49</v>
      </c>
      <c r="L110" s="29" t="n">
        <f aca="false">J110*K110</f>
        <v>99911.37</v>
      </c>
      <c r="M110" s="26" t="s">
        <v>35</v>
      </c>
      <c r="N110" s="34" t="n">
        <v>45968</v>
      </c>
      <c r="O110" s="34" t="n">
        <v>45971</v>
      </c>
      <c r="P110" s="34" t="n">
        <v>45970</v>
      </c>
      <c r="Q110" s="28" t="n">
        <f aca="false">IF(P110&lt;&gt;"",MAX(1,P110-B110),IF(M110="Dispatched",MAX(1,O110-B110),0))</f>
        <v>5</v>
      </c>
      <c r="R110" s="28" t="n">
        <f aca="false">IF(M110="Cancelled",0,IF(P110&lt;&gt;"",MAX(0,P110-O110),IF(T110&lt;&gt;"None",MAX(1,O110-B110-2),0)))</f>
        <v>0</v>
      </c>
      <c r="S110" s="26" t="s">
        <v>310</v>
      </c>
      <c r="T110" s="27" t="s">
        <v>317</v>
      </c>
    </row>
    <row r="111" customFormat="false" ht="15" hidden="false" customHeight="false" outlineLevel="0" collapsed="false">
      <c r="A111" s="18" t="s">
        <v>581</v>
      </c>
      <c r="B111" s="25" t="n">
        <v>46006</v>
      </c>
      <c r="C111" s="18" t="s">
        <v>505</v>
      </c>
      <c r="D111" s="20" t="s">
        <v>480</v>
      </c>
      <c r="E111" s="18" t="s">
        <v>113</v>
      </c>
      <c r="F111" s="20" t="s">
        <v>80</v>
      </c>
      <c r="G111" s="18" t="s">
        <v>267</v>
      </c>
      <c r="H111" s="20" t="str">
        <f aca="false">VLOOKUP(G111,'Product Master'!$A$5:$K$104,2,FALSE())</f>
        <v>Essential Electronics Item 073</v>
      </c>
      <c r="I111" s="20" t="str">
        <f aca="false">VLOOKUP(G111,'Product Master'!$A$5:$K$104,3,FALSE())</f>
        <v>Electronics</v>
      </c>
      <c r="J111" s="17" t="n">
        <v>25</v>
      </c>
      <c r="K111" s="16" t="n">
        <v>8260.77</v>
      </c>
      <c r="L111" s="16" t="n">
        <f aca="false">J111*K111</f>
        <v>206519.25</v>
      </c>
      <c r="M111" s="18" t="s">
        <v>43</v>
      </c>
      <c r="N111" s="25"/>
      <c r="O111" s="25" t="n">
        <v>46009</v>
      </c>
      <c r="P111" s="25"/>
      <c r="Q111" s="17" t="n">
        <f aca="false">IF(P111&lt;&gt;"",MAX(1,P111-B111),IF(M111="Dispatched",MAX(1,O111-B111),0))</f>
        <v>0</v>
      </c>
      <c r="R111" s="17" t="n">
        <f aca="false">IF(M111="Cancelled",0,IF(P111&lt;&gt;"",MAX(0,P111-O111),IF(T111&lt;&gt;"None",MAX(1,O111-B111-2),0)))</f>
        <v>0</v>
      </c>
      <c r="S111" s="18" t="s">
        <v>310</v>
      </c>
      <c r="T111" s="20" t="s">
        <v>411</v>
      </c>
    </row>
    <row r="112" customFormat="false" ht="15" hidden="false" customHeight="false" outlineLevel="0" collapsed="false">
      <c r="A112" s="26" t="s">
        <v>582</v>
      </c>
      <c r="B112" s="34" t="n">
        <v>46205</v>
      </c>
      <c r="C112" s="26" t="s">
        <v>583</v>
      </c>
      <c r="D112" s="27" t="s">
        <v>526</v>
      </c>
      <c r="E112" s="26" t="s">
        <v>111</v>
      </c>
      <c r="F112" s="27" t="s">
        <v>78</v>
      </c>
      <c r="G112" s="26" t="s">
        <v>239</v>
      </c>
      <c r="H112" s="27" t="str">
        <f aca="false">VLOOKUP(G112,'Product Master'!$A$5:$K$104,2,FALSE())</f>
        <v>Essential Industrial Item 045</v>
      </c>
      <c r="I112" s="27" t="str">
        <f aca="false">VLOOKUP(G112,'Product Master'!$A$5:$K$104,3,FALSE())</f>
        <v>Industrial</v>
      </c>
      <c r="J112" s="28" t="n">
        <v>13</v>
      </c>
      <c r="K112" s="29" t="n">
        <v>9908.93</v>
      </c>
      <c r="L112" s="29" t="n">
        <f aca="false">J112*K112</f>
        <v>128816.09</v>
      </c>
      <c r="M112" s="26" t="s">
        <v>37</v>
      </c>
      <c r="N112" s="34"/>
      <c r="O112" s="34" t="n">
        <v>46214</v>
      </c>
      <c r="P112" s="34"/>
      <c r="Q112" s="28" t="n">
        <f aca="false">IF(P112&lt;&gt;"",MAX(1,P112-B112),IF(M112="Dispatched",MAX(1,O112-B112),0))</f>
        <v>0</v>
      </c>
      <c r="R112" s="28" t="n">
        <f aca="false">IF(M112="Cancelled",0,IF(P112&lt;&gt;"",MAX(0,P112-O112),IF(T112&lt;&gt;"None",MAX(1,O112-B112-2),0)))</f>
        <v>7</v>
      </c>
      <c r="S112" s="26" t="s">
        <v>310</v>
      </c>
      <c r="T112" s="27" t="s">
        <v>108</v>
      </c>
    </row>
    <row r="113" customFormat="false" ht="15" hidden="false" customHeight="false" outlineLevel="0" collapsed="false">
      <c r="A113" s="18" t="s">
        <v>584</v>
      </c>
      <c r="B113" s="25" t="n">
        <v>46242</v>
      </c>
      <c r="C113" s="18" t="s">
        <v>585</v>
      </c>
      <c r="D113" s="20" t="s">
        <v>586</v>
      </c>
      <c r="E113" s="18" t="s">
        <v>111</v>
      </c>
      <c r="F113" s="20" t="s">
        <v>76</v>
      </c>
      <c r="G113" s="18" t="s">
        <v>282</v>
      </c>
      <c r="H113" s="20" t="str">
        <f aca="false">VLOOKUP(G113,'Product Master'!$A$5:$K$104,2,FALSE())</f>
        <v>Premium Automotive Item 088</v>
      </c>
      <c r="I113" s="20" t="str">
        <f aca="false">VLOOKUP(G113,'Product Master'!$A$5:$K$104,3,FALSE())</f>
        <v>Automotive</v>
      </c>
      <c r="J113" s="17" t="n">
        <v>13</v>
      </c>
      <c r="K113" s="16" t="n">
        <v>1483.52</v>
      </c>
      <c r="L113" s="16" t="n">
        <f aca="false">J113*K113</f>
        <v>19285.76</v>
      </c>
      <c r="M113" s="18" t="s">
        <v>41</v>
      </c>
      <c r="N113" s="25" t="n">
        <v>46243</v>
      </c>
      <c r="O113" s="25" t="n">
        <v>46249</v>
      </c>
      <c r="P113" s="25"/>
      <c r="Q113" s="17" t="n">
        <f aca="false">IF(P113&lt;&gt;"",MAX(1,P113-B113),IF(M113="Dispatched",MAX(1,O113-B113),0))</f>
        <v>7</v>
      </c>
      <c r="R113" s="17" t="n">
        <f aca="false">IF(M113="Cancelled",0,IF(P113&lt;&gt;"",MAX(0,P113-O113),IF(T113&lt;&gt;"None",MAX(1,O113-B113-2),0)))</f>
        <v>0</v>
      </c>
      <c r="S113" s="18" t="s">
        <v>352</v>
      </c>
      <c r="T113" s="20" t="s">
        <v>317</v>
      </c>
    </row>
    <row r="114" customFormat="false" ht="15" hidden="false" customHeight="false" outlineLevel="0" collapsed="false">
      <c r="A114" s="26" t="s">
        <v>587</v>
      </c>
      <c r="B114" s="34" t="n">
        <v>45941</v>
      </c>
      <c r="C114" s="26" t="s">
        <v>588</v>
      </c>
      <c r="D114" s="27" t="s">
        <v>492</v>
      </c>
      <c r="E114" s="26" t="s">
        <v>109</v>
      </c>
      <c r="F114" s="27" t="s">
        <v>78</v>
      </c>
      <c r="G114" s="26" t="s">
        <v>238</v>
      </c>
      <c r="H114" s="27" t="str">
        <f aca="false">VLOOKUP(G114,'Product Master'!$A$5:$K$104,2,FALSE())</f>
        <v>Essential Personal Item 044</v>
      </c>
      <c r="I114" s="27" t="str">
        <f aca="false">VLOOKUP(G114,'Product Master'!$A$5:$K$104,3,FALSE())</f>
        <v>Personal Care</v>
      </c>
      <c r="J114" s="28" t="n">
        <v>9</v>
      </c>
      <c r="K114" s="29" t="n">
        <v>958.86</v>
      </c>
      <c r="L114" s="29" t="n">
        <f aca="false">J114*K114</f>
        <v>8629.74</v>
      </c>
      <c r="M114" s="26" t="s">
        <v>41</v>
      </c>
      <c r="N114" s="34" t="n">
        <v>45942</v>
      </c>
      <c r="O114" s="34" t="n">
        <v>45944</v>
      </c>
      <c r="P114" s="34"/>
      <c r="Q114" s="28" t="n">
        <f aca="false">IF(P114&lt;&gt;"",MAX(1,P114-B114),IF(M114="Dispatched",MAX(1,O114-B114),0))</f>
        <v>3</v>
      </c>
      <c r="R114" s="28" t="n">
        <f aca="false">IF(M114="Cancelled",0,IF(P114&lt;&gt;"",MAX(0,P114-O114),IF(T114&lt;&gt;"None",MAX(1,O114-B114-2),0)))</f>
        <v>1</v>
      </c>
      <c r="S114" s="26" t="s">
        <v>310</v>
      </c>
      <c r="T114" s="27" t="s">
        <v>115</v>
      </c>
    </row>
    <row r="115" customFormat="false" ht="15" hidden="false" customHeight="false" outlineLevel="0" collapsed="false">
      <c r="A115" s="18" t="s">
        <v>589</v>
      </c>
      <c r="B115" s="25" t="n">
        <v>46095</v>
      </c>
      <c r="C115" s="18" t="s">
        <v>590</v>
      </c>
      <c r="D115" s="20" t="s">
        <v>591</v>
      </c>
      <c r="E115" s="18" t="s">
        <v>111</v>
      </c>
      <c r="F115" s="20" t="s">
        <v>80</v>
      </c>
      <c r="G115" s="18" t="s">
        <v>229</v>
      </c>
      <c r="H115" s="20" t="str">
        <f aca="false">VLOOKUP(G115,'Product Master'!$A$5:$K$104,2,FALSE())</f>
        <v>Smart Office Item 035</v>
      </c>
      <c r="I115" s="20" t="str">
        <f aca="false">VLOOKUP(G115,'Product Master'!$A$5:$K$104,3,FALSE())</f>
        <v>Office Supplies</v>
      </c>
      <c r="J115" s="17" t="n">
        <v>21</v>
      </c>
      <c r="K115" s="16" t="n">
        <v>7869.66</v>
      </c>
      <c r="L115" s="16" t="n">
        <f aca="false">J115*K115</f>
        <v>165262.86</v>
      </c>
      <c r="M115" s="18" t="s">
        <v>35</v>
      </c>
      <c r="N115" s="25" t="n">
        <v>46096</v>
      </c>
      <c r="O115" s="25" t="n">
        <v>46104</v>
      </c>
      <c r="P115" s="25" t="n">
        <v>46106</v>
      </c>
      <c r="Q115" s="17" t="n">
        <f aca="false">IF(P115&lt;&gt;"",MAX(1,P115-B115),IF(M115="Dispatched",MAX(1,O115-B115),0))</f>
        <v>11</v>
      </c>
      <c r="R115" s="17" t="n">
        <f aca="false">IF(M115="Cancelled",0,IF(P115&lt;&gt;"",MAX(0,P115-O115),IF(T115&lt;&gt;"None",MAX(1,O115-B115-2),0)))</f>
        <v>2</v>
      </c>
      <c r="S115" s="18" t="s">
        <v>310</v>
      </c>
      <c r="T115" s="20" t="s">
        <v>114</v>
      </c>
    </row>
    <row r="116" customFormat="false" ht="15" hidden="false" customHeight="false" outlineLevel="0" collapsed="false">
      <c r="A116" s="26" t="s">
        <v>592</v>
      </c>
      <c r="B116" s="34" t="n">
        <v>46012</v>
      </c>
      <c r="C116" s="26" t="s">
        <v>577</v>
      </c>
      <c r="D116" s="27" t="s">
        <v>536</v>
      </c>
      <c r="E116" s="26" t="s">
        <v>109</v>
      </c>
      <c r="F116" s="27" t="s">
        <v>80</v>
      </c>
      <c r="G116" s="26" t="s">
        <v>203</v>
      </c>
      <c r="H116" s="27" t="str">
        <f aca="false">VLOOKUP(G116,'Product Master'!$A$5:$K$104,2,FALSE())</f>
        <v>Essential Electronics Item 009</v>
      </c>
      <c r="I116" s="27" t="str">
        <f aca="false">VLOOKUP(G116,'Product Master'!$A$5:$K$104,3,FALSE())</f>
        <v>Electronics</v>
      </c>
      <c r="J116" s="28" t="n">
        <v>13</v>
      </c>
      <c r="K116" s="29" t="n">
        <v>5778.46</v>
      </c>
      <c r="L116" s="29" t="n">
        <f aca="false">J116*K116</f>
        <v>75119.98</v>
      </c>
      <c r="M116" s="26" t="s">
        <v>35</v>
      </c>
      <c r="N116" s="34" t="n">
        <v>46013</v>
      </c>
      <c r="O116" s="34" t="n">
        <v>46014</v>
      </c>
      <c r="P116" s="34" t="n">
        <v>46014</v>
      </c>
      <c r="Q116" s="28" t="n">
        <f aca="false">IF(P116&lt;&gt;"",MAX(1,P116-B116),IF(M116="Dispatched",MAX(1,O116-B116),0))</f>
        <v>2</v>
      </c>
      <c r="R116" s="28" t="n">
        <f aca="false">IF(M116="Cancelled",0,IF(P116&lt;&gt;"",MAX(0,P116-O116),IF(T116&lt;&gt;"None",MAX(1,O116-B116-2),0)))</f>
        <v>0</v>
      </c>
      <c r="S116" s="26" t="s">
        <v>310</v>
      </c>
      <c r="T116" s="27" t="s">
        <v>317</v>
      </c>
    </row>
    <row r="117" customFormat="false" ht="15" hidden="false" customHeight="false" outlineLevel="0" collapsed="false">
      <c r="A117" s="18" t="s">
        <v>593</v>
      </c>
      <c r="B117" s="25" t="n">
        <v>45947</v>
      </c>
      <c r="C117" s="18" t="s">
        <v>594</v>
      </c>
      <c r="D117" s="20" t="s">
        <v>595</v>
      </c>
      <c r="E117" s="18" t="s">
        <v>105</v>
      </c>
      <c r="F117" s="20" t="s">
        <v>78</v>
      </c>
      <c r="G117" s="18" t="s">
        <v>253</v>
      </c>
      <c r="H117" s="20" t="str">
        <f aca="false">VLOOKUP(G117,'Product Master'!$A$5:$K$104,2,FALSE())</f>
        <v>Eco Office Item 059</v>
      </c>
      <c r="I117" s="20" t="str">
        <f aca="false">VLOOKUP(G117,'Product Master'!$A$5:$K$104,3,FALSE())</f>
        <v>Office Supplies</v>
      </c>
      <c r="J117" s="17" t="n">
        <v>23</v>
      </c>
      <c r="K117" s="16" t="n">
        <v>348.69</v>
      </c>
      <c r="L117" s="16" t="n">
        <f aca="false">J117*K117</f>
        <v>8019.87</v>
      </c>
      <c r="M117" s="18" t="s">
        <v>35</v>
      </c>
      <c r="N117" s="25" t="n">
        <v>45950</v>
      </c>
      <c r="O117" s="25" t="n">
        <v>45954</v>
      </c>
      <c r="P117" s="25" t="n">
        <v>45962</v>
      </c>
      <c r="Q117" s="17" t="n">
        <f aca="false">IF(P117&lt;&gt;"",MAX(1,P117-B117),IF(M117="Dispatched",MAX(1,O117-B117),0))</f>
        <v>15</v>
      </c>
      <c r="R117" s="17" t="n">
        <f aca="false">IF(M117="Cancelled",0,IF(P117&lt;&gt;"",MAX(0,P117-O117),IF(T117&lt;&gt;"None",MAX(1,O117-B117-2),0)))</f>
        <v>8</v>
      </c>
      <c r="S117" s="18" t="s">
        <v>310</v>
      </c>
      <c r="T117" s="20" t="s">
        <v>114</v>
      </c>
    </row>
    <row r="118" customFormat="false" ht="15" hidden="false" customHeight="false" outlineLevel="0" collapsed="false">
      <c r="A118" s="26" t="s">
        <v>596</v>
      </c>
      <c r="B118" s="34" t="n">
        <v>46121</v>
      </c>
      <c r="C118" s="26" t="s">
        <v>543</v>
      </c>
      <c r="D118" s="27" t="s">
        <v>597</v>
      </c>
      <c r="E118" s="26" t="s">
        <v>113</v>
      </c>
      <c r="F118" s="27" t="s">
        <v>79</v>
      </c>
      <c r="G118" s="26" t="s">
        <v>257</v>
      </c>
      <c r="H118" s="27" t="str">
        <f aca="false">VLOOKUP(G118,'Product Master'!$A$5:$K$104,2,FALSE())</f>
        <v>Everyday Apparel Item 063</v>
      </c>
      <c r="I118" s="27" t="str">
        <f aca="false">VLOOKUP(G118,'Product Master'!$A$5:$K$104,3,FALSE())</f>
        <v>Apparel</v>
      </c>
      <c r="J118" s="28" t="n">
        <v>6</v>
      </c>
      <c r="K118" s="29" t="n">
        <v>3551.07</v>
      </c>
      <c r="L118" s="29" t="n">
        <f aca="false">J118*K118</f>
        <v>21306.42</v>
      </c>
      <c r="M118" s="26" t="s">
        <v>43</v>
      </c>
      <c r="N118" s="34"/>
      <c r="O118" s="34" t="n">
        <v>46130</v>
      </c>
      <c r="P118" s="34"/>
      <c r="Q118" s="28" t="n">
        <f aca="false">IF(P118&lt;&gt;"",MAX(1,P118-B118),IF(M118="Dispatched",MAX(1,O118-B118),0))</f>
        <v>0</v>
      </c>
      <c r="R118" s="28" t="n">
        <f aca="false">IF(M118="Cancelled",0,IF(P118&lt;&gt;"",MAX(0,P118-O118),IF(T118&lt;&gt;"None",MAX(1,O118-B118-2),0)))</f>
        <v>0</v>
      </c>
      <c r="S118" s="26" t="s">
        <v>310</v>
      </c>
      <c r="T118" s="27" t="s">
        <v>411</v>
      </c>
    </row>
    <row r="119" customFormat="false" ht="15" hidden="false" customHeight="false" outlineLevel="0" collapsed="false">
      <c r="A119" s="18" t="s">
        <v>598</v>
      </c>
      <c r="B119" s="25" t="n">
        <v>46063</v>
      </c>
      <c r="C119" s="18" t="s">
        <v>347</v>
      </c>
      <c r="D119" s="20" t="s">
        <v>532</v>
      </c>
      <c r="E119" s="18" t="s">
        <v>105</v>
      </c>
      <c r="F119" s="20" t="s">
        <v>78</v>
      </c>
      <c r="G119" s="18" t="s">
        <v>290</v>
      </c>
      <c r="H119" s="20" t="str">
        <f aca="false">VLOOKUP(G119,'Product Master'!$A$5:$K$104,2,FALSE())</f>
        <v>Eco Automotive Item 096</v>
      </c>
      <c r="I119" s="20" t="str">
        <f aca="false">VLOOKUP(G119,'Product Master'!$A$5:$K$104,3,FALSE())</f>
        <v>Automotive</v>
      </c>
      <c r="J119" s="17" t="n">
        <v>1</v>
      </c>
      <c r="K119" s="16" t="n">
        <v>9414.72</v>
      </c>
      <c r="L119" s="16" t="n">
        <f aca="false">J119*K119</f>
        <v>9414.72</v>
      </c>
      <c r="M119" s="18" t="s">
        <v>35</v>
      </c>
      <c r="N119" s="25" t="n">
        <v>46064</v>
      </c>
      <c r="O119" s="25" t="n">
        <v>46067</v>
      </c>
      <c r="P119" s="25" t="n">
        <v>46067</v>
      </c>
      <c r="Q119" s="17" t="n">
        <f aca="false">IF(P119&lt;&gt;"",MAX(1,P119-B119),IF(M119="Dispatched",MAX(1,O119-B119),0))</f>
        <v>4</v>
      </c>
      <c r="R119" s="17" t="n">
        <f aca="false">IF(M119="Cancelled",0,IF(P119&lt;&gt;"",MAX(0,P119-O119),IF(T119&lt;&gt;"None",MAX(1,O119-B119-2),0)))</f>
        <v>0</v>
      </c>
      <c r="S119" s="18" t="s">
        <v>310</v>
      </c>
      <c r="T119" s="20" t="s">
        <v>317</v>
      </c>
    </row>
    <row r="120" customFormat="false" ht="15" hidden="false" customHeight="false" outlineLevel="0" collapsed="false">
      <c r="A120" s="26" t="s">
        <v>599</v>
      </c>
      <c r="B120" s="34" t="n">
        <v>46264</v>
      </c>
      <c r="C120" s="26" t="s">
        <v>600</v>
      </c>
      <c r="D120" s="27" t="s">
        <v>601</v>
      </c>
      <c r="E120" s="26" t="s">
        <v>113</v>
      </c>
      <c r="F120" s="27" t="s">
        <v>76</v>
      </c>
      <c r="G120" s="26" t="s">
        <v>247</v>
      </c>
      <c r="H120" s="27" t="str">
        <f aca="false">VLOOKUP(G120,'Product Master'!$A$5:$K$104,2,FALSE())</f>
        <v>Classic Industrial Item 053</v>
      </c>
      <c r="I120" s="27" t="str">
        <f aca="false">VLOOKUP(G120,'Product Master'!$A$5:$K$104,3,FALSE())</f>
        <v>Industrial</v>
      </c>
      <c r="J120" s="28" t="n">
        <v>25</v>
      </c>
      <c r="K120" s="29" t="n">
        <v>10730.84</v>
      </c>
      <c r="L120" s="29" t="n">
        <f aca="false">J120*K120</f>
        <v>268271</v>
      </c>
      <c r="M120" s="26" t="s">
        <v>43</v>
      </c>
      <c r="N120" s="34"/>
      <c r="O120" s="34" t="n">
        <v>46266</v>
      </c>
      <c r="P120" s="34"/>
      <c r="Q120" s="28" t="n">
        <f aca="false">IF(P120&lt;&gt;"",MAX(1,P120-B120),IF(M120="Dispatched",MAX(1,O120-B120),0))</f>
        <v>0</v>
      </c>
      <c r="R120" s="28" t="n">
        <f aca="false">IF(M120="Cancelled",0,IF(P120&lt;&gt;"",MAX(0,P120-O120),IF(T120&lt;&gt;"None",MAX(1,O120-B120-2),0)))</f>
        <v>0</v>
      </c>
      <c r="S120" s="26" t="s">
        <v>310</v>
      </c>
      <c r="T120" s="27" t="s">
        <v>411</v>
      </c>
    </row>
    <row r="121" customFormat="false" ht="15" hidden="false" customHeight="false" outlineLevel="0" collapsed="false">
      <c r="A121" s="18" t="s">
        <v>602</v>
      </c>
      <c r="B121" s="25" t="n">
        <v>45935</v>
      </c>
      <c r="C121" s="18" t="s">
        <v>312</v>
      </c>
      <c r="D121" s="20" t="s">
        <v>499</v>
      </c>
      <c r="E121" s="18" t="s">
        <v>109</v>
      </c>
      <c r="F121" s="20" t="s">
        <v>80</v>
      </c>
      <c r="G121" s="18" t="s">
        <v>223</v>
      </c>
      <c r="H121" s="20" t="str">
        <f aca="false">VLOOKUP(G121,'Product Master'!$A$5:$K$104,2,FALSE())</f>
        <v>Eco Industrial Item 029</v>
      </c>
      <c r="I121" s="20" t="str">
        <f aca="false">VLOOKUP(G121,'Product Master'!$A$5:$K$104,3,FALSE())</f>
        <v>Industrial</v>
      </c>
      <c r="J121" s="17" t="n">
        <v>10</v>
      </c>
      <c r="K121" s="16" t="n">
        <v>10945.72</v>
      </c>
      <c r="L121" s="16" t="n">
        <f aca="false">J121*K121</f>
        <v>109457.2</v>
      </c>
      <c r="M121" s="18" t="s">
        <v>39</v>
      </c>
      <c r="N121" s="25"/>
      <c r="O121" s="25" t="n">
        <v>45941</v>
      </c>
      <c r="P121" s="25"/>
      <c r="Q121" s="17" t="n">
        <f aca="false">IF(P121&lt;&gt;"",MAX(1,P121-B121),IF(M121="Dispatched",MAX(1,O121-B121),0))</f>
        <v>0</v>
      </c>
      <c r="R121" s="17" t="n">
        <f aca="false">IF(M121="Cancelled",0,IF(P121&lt;&gt;"",MAX(0,P121-O121),IF(T121&lt;&gt;"None",MAX(1,O121-B121-2),0)))</f>
        <v>0</v>
      </c>
      <c r="S121" s="18" t="s">
        <v>310</v>
      </c>
      <c r="T121" s="20" t="s">
        <v>317</v>
      </c>
    </row>
    <row r="122" customFormat="false" ht="15" hidden="false" customHeight="false" outlineLevel="0" collapsed="false">
      <c r="A122" s="26" t="s">
        <v>603</v>
      </c>
      <c r="B122" s="34" t="n">
        <v>46169</v>
      </c>
      <c r="C122" s="26" t="s">
        <v>604</v>
      </c>
      <c r="D122" s="27" t="s">
        <v>370</v>
      </c>
      <c r="E122" s="26" t="s">
        <v>113</v>
      </c>
      <c r="F122" s="27" t="s">
        <v>80</v>
      </c>
      <c r="G122" s="26" t="s">
        <v>233</v>
      </c>
      <c r="H122" s="27" t="str">
        <f aca="false">VLOOKUP(G122,'Product Master'!$A$5:$K$104,2,FALSE())</f>
        <v>Eco Apparel Item 039</v>
      </c>
      <c r="I122" s="27" t="str">
        <f aca="false">VLOOKUP(G122,'Product Master'!$A$5:$K$104,3,FALSE())</f>
        <v>Apparel</v>
      </c>
      <c r="J122" s="28" t="n">
        <v>13</v>
      </c>
      <c r="K122" s="29" t="n">
        <v>3575.06</v>
      </c>
      <c r="L122" s="29" t="n">
        <f aca="false">J122*K122</f>
        <v>46475.78</v>
      </c>
      <c r="M122" s="26" t="s">
        <v>37</v>
      </c>
      <c r="N122" s="34"/>
      <c r="O122" s="34" t="n">
        <v>46171</v>
      </c>
      <c r="P122" s="34"/>
      <c r="Q122" s="28" t="n">
        <f aca="false">IF(P122&lt;&gt;"",MAX(1,P122-B122),IF(M122="Dispatched",MAX(1,O122-B122),0))</f>
        <v>0</v>
      </c>
      <c r="R122" s="28" t="n">
        <f aca="false">IF(M122="Cancelled",0,IF(P122&lt;&gt;"",MAX(0,P122-O122),IF(T122&lt;&gt;"None",MAX(1,O122-B122-2),0)))</f>
        <v>1</v>
      </c>
      <c r="S122" s="26" t="s">
        <v>310</v>
      </c>
      <c r="T122" s="27" t="s">
        <v>106</v>
      </c>
    </row>
    <row r="123" customFormat="false" ht="15" hidden="false" customHeight="false" outlineLevel="0" collapsed="false">
      <c r="A123" s="18" t="s">
        <v>605</v>
      </c>
      <c r="B123" s="25" t="n">
        <v>46242</v>
      </c>
      <c r="C123" s="18" t="s">
        <v>606</v>
      </c>
      <c r="D123" s="20" t="s">
        <v>463</v>
      </c>
      <c r="E123" s="18" t="s">
        <v>109</v>
      </c>
      <c r="F123" s="20" t="s">
        <v>76</v>
      </c>
      <c r="G123" s="18" t="s">
        <v>231</v>
      </c>
      <c r="H123" s="20" t="str">
        <f aca="false">VLOOKUP(G123,'Product Master'!$A$5:$K$104,2,FALSE())</f>
        <v>Pro Industrial Item 037</v>
      </c>
      <c r="I123" s="20" t="str">
        <f aca="false">VLOOKUP(G123,'Product Master'!$A$5:$K$104,3,FALSE())</f>
        <v>Industrial</v>
      </c>
      <c r="J123" s="17" t="n">
        <v>16</v>
      </c>
      <c r="K123" s="16" t="n">
        <v>6419.17</v>
      </c>
      <c r="L123" s="16" t="n">
        <f aca="false">J123*K123</f>
        <v>102706.72</v>
      </c>
      <c r="M123" s="18" t="s">
        <v>35</v>
      </c>
      <c r="N123" s="25" t="n">
        <v>46244</v>
      </c>
      <c r="O123" s="25" t="n">
        <v>46248</v>
      </c>
      <c r="P123" s="25" t="n">
        <v>46248</v>
      </c>
      <c r="Q123" s="17" t="n">
        <f aca="false">IF(P123&lt;&gt;"",MAX(1,P123-B123),IF(M123="Dispatched",MAX(1,O123-B123),0))</f>
        <v>6</v>
      </c>
      <c r="R123" s="17" t="n">
        <f aca="false">IF(M123="Cancelled",0,IF(P123&lt;&gt;"",MAX(0,P123-O123),IF(T123&lt;&gt;"None",MAX(1,O123-B123-2),0)))</f>
        <v>0</v>
      </c>
      <c r="S123" s="18" t="s">
        <v>310</v>
      </c>
      <c r="T123" s="20" t="s">
        <v>317</v>
      </c>
    </row>
    <row r="124" customFormat="false" ht="15" hidden="false" customHeight="false" outlineLevel="0" collapsed="false">
      <c r="A124" s="26" t="s">
        <v>607</v>
      </c>
      <c r="B124" s="34" t="n">
        <v>46054</v>
      </c>
      <c r="C124" s="26" t="s">
        <v>606</v>
      </c>
      <c r="D124" s="27" t="s">
        <v>470</v>
      </c>
      <c r="E124" s="26" t="s">
        <v>113</v>
      </c>
      <c r="F124" s="27" t="s">
        <v>79</v>
      </c>
      <c r="G124" s="26" t="s">
        <v>202</v>
      </c>
      <c r="H124" s="27" t="str">
        <f aca="false">VLOOKUP(G124,'Product Master'!$A$5:$K$104,2,FALSE())</f>
        <v>Smart Automotive Item 008</v>
      </c>
      <c r="I124" s="27" t="str">
        <f aca="false">VLOOKUP(G124,'Product Master'!$A$5:$K$104,3,FALSE())</f>
        <v>Automotive</v>
      </c>
      <c r="J124" s="28" t="n">
        <v>22</v>
      </c>
      <c r="K124" s="29" t="n">
        <v>8489.02</v>
      </c>
      <c r="L124" s="29" t="n">
        <f aca="false">J124*K124</f>
        <v>186758.44</v>
      </c>
      <c r="M124" s="26" t="s">
        <v>35</v>
      </c>
      <c r="N124" s="34" t="n">
        <v>46054</v>
      </c>
      <c r="O124" s="34" t="n">
        <v>46058</v>
      </c>
      <c r="P124" s="34" t="n">
        <v>46062</v>
      </c>
      <c r="Q124" s="28" t="n">
        <f aca="false">IF(P124&lt;&gt;"",MAX(1,P124-B124),IF(M124="Dispatched",MAX(1,O124-B124),0))</f>
        <v>8</v>
      </c>
      <c r="R124" s="28" t="n">
        <f aca="false">IF(M124="Cancelled",0,IF(P124&lt;&gt;"",MAX(0,P124-O124),IF(T124&lt;&gt;"None",MAX(1,O124-B124-2),0)))</f>
        <v>4</v>
      </c>
      <c r="S124" s="26" t="s">
        <v>310</v>
      </c>
      <c r="T124" s="27" t="s">
        <v>112</v>
      </c>
    </row>
    <row r="125" customFormat="false" ht="15" hidden="false" customHeight="false" outlineLevel="0" collapsed="false">
      <c r="A125" s="18" t="s">
        <v>608</v>
      </c>
      <c r="B125" s="25" t="n">
        <v>45949</v>
      </c>
      <c r="C125" s="18" t="s">
        <v>609</v>
      </c>
      <c r="D125" s="20" t="s">
        <v>370</v>
      </c>
      <c r="E125" s="18" t="s">
        <v>113</v>
      </c>
      <c r="F125" s="20" t="s">
        <v>77</v>
      </c>
      <c r="G125" s="18" t="s">
        <v>269</v>
      </c>
      <c r="H125" s="20" t="str">
        <f aca="false">VLOOKUP(G125,'Product Master'!$A$5:$K$104,2,FALSE())</f>
        <v>Everyday Office Item 075</v>
      </c>
      <c r="I125" s="20" t="str">
        <f aca="false">VLOOKUP(G125,'Product Master'!$A$5:$K$104,3,FALSE())</f>
        <v>Office Supplies</v>
      </c>
      <c r="J125" s="17" t="n">
        <v>11</v>
      </c>
      <c r="K125" s="16" t="n">
        <v>6952.03</v>
      </c>
      <c r="L125" s="16" t="n">
        <f aca="false">J125*K125</f>
        <v>76472.33</v>
      </c>
      <c r="M125" s="18" t="s">
        <v>39</v>
      </c>
      <c r="N125" s="25"/>
      <c r="O125" s="25" t="n">
        <v>45954</v>
      </c>
      <c r="P125" s="25"/>
      <c r="Q125" s="17" t="n">
        <f aca="false">IF(P125&lt;&gt;"",MAX(1,P125-B125),IF(M125="Dispatched",MAX(1,O125-B125),0))</f>
        <v>0</v>
      </c>
      <c r="R125" s="17" t="n">
        <f aca="false">IF(M125="Cancelled",0,IF(P125&lt;&gt;"",MAX(0,P125-O125),IF(T125&lt;&gt;"None",MAX(1,O125-B125-2),0)))</f>
        <v>0</v>
      </c>
      <c r="S125" s="18" t="s">
        <v>310</v>
      </c>
      <c r="T125" s="20" t="s">
        <v>317</v>
      </c>
    </row>
    <row r="126" customFormat="false" ht="15" hidden="false" customHeight="false" outlineLevel="0" collapsed="false">
      <c r="A126" s="26" t="s">
        <v>610</v>
      </c>
      <c r="B126" s="34" t="n">
        <v>46018</v>
      </c>
      <c r="C126" s="26" t="s">
        <v>611</v>
      </c>
      <c r="D126" s="27" t="s">
        <v>612</v>
      </c>
      <c r="E126" s="26" t="s">
        <v>113</v>
      </c>
      <c r="F126" s="27" t="s">
        <v>77</v>
      </c>
      <c r="G126" s="26" t="s">
        <v>279</v>
      </c>
      <c r="H126" s="27" t="str">
        <f aca="false">VLOOKUP(G126,'Product Master'!$A$5:$K$104,2,FALSE())</f>
        <v>Classic Industrial Item 085</v>
      </c>
      <c r="I126" s="27" t="str">
        <f aca="false">VLOOKUP(G126,'Product Master'!$A$5:$K$104,3,FALSE())</f>
        <v>Industrial</v>
      </c>
      <c r="J126" s="28" t="n">
        <v>10</v>
      </c>
      <c r="K126" s="29" t="n">
        <v>2284.18</v>
      </c>
      <c r="L126" s="29" t="n">
        <f aca="false">J126*K126</f>
        <v>22841.8</v>
      </c>
      <c r="M126" s="26" t="s">
        <v>35</v>
      </c>
      <c r="N126" s="34" t="n">
        <v>46020</v>
      </c>
      <c r="O126" s="34" t="n">
        <v>46022</v>
      </c>
      <c r="P126" s="34" t="n">
        <v>46030</v>
      </c>
      <c r="Q126" s="28" t="n">
        <f aca="false">IF(P126&lt;&gt;"",MAX(1,P126-B126),IF(M126="Dispatched",MAX(1,O126-B126),0))</f>
        <v>12</v>
      </c>
      <c r="R126" s="28" t="n">
        <f aca="false">IF(M126="Cancelled",0,IF(P126&lt;&gt;"",MAX(0,P126-O126),IF(T126&lt;&gt;"None",MAX(1,O126-B126-2),0)))</f>
        <v>8</v>
      </c>
      <c r="S126" s="26" t="s">
        <v>310</v>
      </c>
      <c r="T126" s="27" t="s">
        <v>106</v>
      </c>
    </row>
    <row r="127" customFormat="false" ht="15" hidden="false" customHeight="false" outlineLevel="0" collapsed="false">
      <c r="A127" s="18" t="s">
        <v>613</v>
      </c>
      <c r="B127" s="25" t="n">
        <v>46112</v>
      </c>
      <c r="C127" s="18" t="s">
        <v>614</v>
      </c>
      <c r="D127" s="20" t="s">
        <v>313</v>
      </c>
      <c r="E127" s="18" t="s">
        <v>109</v>
      </c>
      <c r="F127" s="20" t="s">
        <v>79</v>
      </c>
      <c r="G127" s="18" t="s">
        <v>223</v>
      </c>
      <c r="H127" s="20" t="str">
        <f aca="false">VLOOKUP(G127,'Product Master'!$A$5:$K$104,2,FALSE())</f>
        <v>Eco Industrial Item 029</v>
      </c>
      <c r="I127" s="20" t="str">
        <f aca="false">VLOOKUP(G127,'Product Master'!$A$5:$K$104,3,FALSE())</f>
        <v>Industrial</v>
      </c>
      <c r="J127" s="17" t="n">
        <v>11</v>
      </c>
      <c r="K127" s="16" t="n">
        <v>10945.72</v>
      </c>
      <c r="L127" s="16" t="n">
        <f aca="false">J127*K127</f>
        <v>120402.92</v>
      </c>
      <c r="M127" s="18" t="s">
        <v>35</v>
      </c>
      <c r="N127" s="25" t="n">
        <v>46115</v>
      </c>
      <c r="O127" s="25" t="n">
        <v>46118</v>
      </c>
      <c r="P127" s="25" t="n">
        <v>46116</v>
      </c>
      <c r="Q127" s="17" t="n">
        <f aca="false">IF(P127&lt;&gt;"",MAX(1,P127-B127),IF(M127="Dispatched",MAX(1,O127-B127),0))</f>
        <v>4</v>
      </c>
      <c r="R127" s="17" t="n">
        <f aca="false">IF(M127="Cancelled",0,IF(P127&lt;&gt;"",MAX(0,P127-O127),IF(T127&lt;&gt;"None",MAX(1,O127-B127-2),0)))</f>
        <v>0</v>
      </c>
      <c r="S127" s="18" t="s">
        <v>310</v>
      </c>
      <c r="T127" s="20" t="s">
        <v>317</v>
      </c>
    </row>
    <row r="128" customFormat="false" ht="15" hidden="false" customHeight="false" outlineLevel="0" collapsed="false">
      <c r="A128" s="26" t="s">
        <v>615</v>
      </c>
      <c r="B128" s="34" t="n">
        <v>46228</v>
      </c>
      <c r="C128" s="26" t="s">
        <v>507</v>
      </c>
      <c r="D128" s="27" t="s">
        <v>616</v>
      </c>
      <c r="E128" s="26" t="s">
        <v>105</v>
      </c>
      <c r="F128" s="27" t="s">
        <v>79</v>
      </c>
      <c r="G128" s="26" t="s">
        <v>274</v>
      </c>
      <c r="H128" s="27" t="str">
        <f aca="false">VLOOKUP(G128,'Product Master'!$A$5:$K$104,2,FALSE())</f>
        <v>Classic Automotive Item 080</v>
      </c>
      <c r="I128" s="27" t="str">
        <f aca="false">VLOOKUP(G128,'Product Master'!$A$5:$K$104,3,FALSE())</f>
        <v>Automotive</v>
      </c>
      <c r="J128" s="28" t="n">
        <v>7</v>
      </c>
      <c r="K128" s="29" t="n">
        <v>2261.32</v>
      </c>
      <c r="L128" s="29" t="n">
        <f aca="false">J128*K128</f>
        <v>15829.24</v>
      </c>
      <c r="M128" s="26" t="s">
        <v>35</v>
      </c>
      <c r="N128" s="34" t="n">
        <v>46230</v>
      </c>
      <c r="O128" s="34" t="n">
        <v>46236</v>
      </c>
      <c r="P128" s="34" t="n">
        <v>46238</v>
      </c>
      <c r="Q128" s="28" t="n">
        <f aca="false">IF(P128&lt;&gt;"",MAX(1,P128-B128),IF(M128="Dispatched",MAX(1,O128-B128),0))</f>
        <v>10</v>
      </c>
      <c r="R128" s="28" t="n">
        <f aca="false">IF(M128="Cancelled",0,IF(P128&lt;&gt;"",MAX(0,P128-O128),IF(T128&lt;&gt;"None",MAX(1,O128-B128-2),0)))</f>
        <v>2</v>
      </c>
      <c r="S128" s="26" t="s">
        <v>339</v>
      </c>
      <c r="T128" s="27" t="s">
        <v>115</v>
      </c>
    </row>
    <row r="129" customFormat="false" ht="15" hidden="false" customHeight="false" outlineLevel="0" collapsed="false">
      <c r="A129" s="18" t="s">
        <v>617</v>
      </c>
      <c r="B129" s="25" t="n">
        <v>46106</v>
      </c>
      <c r="C129" s="18" t="s">
        <v>618</v>
      </c>
      <c r="D129" s="20" t="s">
        <v>405</v>
      </c>
      <c r="E129" s="18" t="s">
        <v>113</v>
      </c>
      <c r="F129" s="20" t="s">
        <v>79</v>
      </c>
      <c r="G129" s="18" t="s">
        <v>247</v>
      </c>
      <c r="H129" s="20" t="str">
        <f aca="false">VLOOKUP(G129,'Product Master'!$A$5:$K$104,2,FALSE())</f>
        <v>Classic Industrial Item 053</v>
      </c>
      <c r="I129" s="20" t="str">
        <f aca="false">VLOOKUP(G129,'Product Master'!$A$5:$K$104,3,FALSE())</f>
        <v>Industrial</v>
      </c>
      <c r="J129" s="17" t="n">
        <v>5</v>
      </c>
      <c r="K129" s="16" t="n">
        <v>10730.84</v>
      </c>
      <c r="L129" s="16" t="n">
        <f aca="false">J129*K129</f>
        <v>53654.2</v>
      </c>
      <c r="M129" s="18" t="s">
        <v>35</v>
      </c>
      <c r="N129" s="25" t="n">
        <v>46106</v>
      </c>
      <c r="O129" s="25" t="n">
        <v>46110</v>
      </c>
      <c r="P129" s="25" t="n">
        <v>46114</v>
      </c>
      <c r="Q129" s="17" t="n">
        <f aca="false">IF(P129&lt;&gt;"",MAX(1,P129-B129),IF(M129="Dispatched",MAX(1,O129-B129),0))</f>
        <v>8</v>
      </c>
      <c r="R129" s="17" t="n">
        <f aca="false">IF(M129="Cancelled",0,IF(P129&lt;&gt;"",MAX(0,P129-O129),IF(T129&lt;&gt;"None",MAX(1,O129-B129-2),0)))</f>
        <v>4</v>
      </c>
      <c r="S129" s="18" t="s">
        <v>310</v>
      </c>
      <c r="T129" s="20" t="s">
        <v>112</v>
      </c>
    </row>
    <row r="130" customFormat="false" ht="15" hidden="false" customHeight="false" outlineLevel="0" collapsed="false">
      <c r="A130" s="26" t="s">
        <v>619</v>
      </c>
      <c r="B130" s="34" t="n">
        <v>45933</v>
      </c>
      <c r="C130" s="26" t="s">
        <v>550</v>
      </c>
      <c r="D130" s="27" t="s">
        <v>620</v>
      </c>
      <c r="E130" s="26" t="s">
        <v>109</v>
      </c>
      <c r="F130" s="27" t="s">
        <v>77</v>
      </c>
      <c r="G130" s="26" t="s">
        <v>252</v>
      </c>
      <c r="H130" s="27" t="str">
        <f aca="false">VLOOKUP(G130,'Product Master'!$A$5:$K$104,2,FALSE())</f>
        <v>Pro Home Item 058</v>
      </c>
      <c r="I130" s="27" t="str">
        <f aca="false">VLOOKUP(G130,'Product Master'!$A$5:$K$104,3,FALSE())</f>
        <v>Home &amp; Kitchen</v>
      </c>
      <c r="J130" s="28" t="n">
        <v>25</v>
      </c>
      <c r="K130" s="29" t="n">
        <v>5080.54</v>
      </c>
      <c r="L130" s="29" t="n">
        <f aca="false">J130*K130</f>
        <v>127013.5</v>
      </c>
      <c r="M130" s="26" t="s">
        <v>39</v>
      </c>
      <c r="N130" s="34"/>
      <c r="O130" s="34" t="n">
        <v>45937</v>
      </c>
      <c r="P130" s="34"/>
      <c r="Q130" s="28" t="n">
        <f aca="false">IF(P130&lt;&gt;"",MAX(1,P130-B130),IF(M130="Dispatched",MAX(1,O130-B130),0))</f>
        <v>0</v>
      </c>
      <c r="R130" s="28" t="n">
        <f aca="false">IF(M130="Cancelled",0,IF(P130&lt;&gt;"",MAX(0,P130-O130),IF(T130&lt;&gt;"None",MAX(1,O130-B130-2),0)))</f>
        <v>2</v>
      </c>
      <c r="S130" s="26" t="s">
        <v>310</v>
      </c>
      <c r="T130" s="27" t="s">
        <v>108</v>
      </c>
    </row>
    <row r="131" customFormat="false" ht="15" hidden="false" customHeight="false" outlineLevel="0" collapsed="false">
      <c r="A131" s="18" t="s">
        <v>621</v>
      </c>
      <c r="B131" s="25" t="n">
        <v>46255</v>
      </c>
      <c r="C131" s="18" t="s">
        <v>380</v>
      </c>
      <c r="D131" s="20" t="s">
        <v>622</v>
      </c>
      <c r="E131" s="18" t="s">
        <v>111</v>
      </c>
      <c r="F131" s="20" t="s">
        <v>79</v>
      </c>
      <c r="G131" s="18" t="s">
        <v>249</v>
      </c>
      <c r="H131" s="20" t="str">
        <f aca="false">VLOOKUP(G131,'Product Master'!$A$5:$K$104,2,FALSE())</f>
        <v>Eco Apparel Item 055</v>
      </c>
      <c r="I131" s="20" t="str">
        <f aca="false">VLOOKUP(G131,'Product Master'!$A$5:$K$104,3,FALSE())</f>
        <v>Apparel</v>
      </c>
      <c r="J131" s="17" t="n">
        <v>16</v>
      </c>
      <c r="K131" s="16" t="n">
        <v>3025.58</v>
      </c>
      <c r="L131" s="16" t="n">
        <f aca="false">J131*K131</f>
        <v>48409.28</v>
      </c>
      <c r="M131" s="18" t="s">
        <v>35</v>
      </c>
      <c r="N131" s="25" t="n">
        <v>46256</v>
      </c>
      <c r="O131" s="25" t="n">
        <v>46257</v>
      </c>
      <c r="P131" s="25" t="n">
        <v>46258</v>
      </c>
      <c r="Q131" s="17" t="n">
        <f aca="false">IF(P131&lt;&gt;"",MAX(1,P131-B131),IF(M131="Dispatched",MAX(1,O131-B131),0))</f>
        <v>3</v>
      </c>
      <c r="R131" s="17" t="n">
        <f aca="false">IF(M131="Cancelled",0,IF(P131&lt;&gt;"",MAX(0,P131-O131),IF(T131&lt;&gt;"None",MAX(1,O131-B131-2),0)))</f>
        <v>1</v>
      </c>
      <c r="S131" s="18" t="s">
        <v>310</v>
      </c>
      <c r="T131" s="20" t="s">
        <v>115</v>
      </c>
    </row>
    <row r="132" customFormat="false" ht="15" hidden="false" customHeight="false" outlineLevel="0" collapsed="false">
      <c r="A132" s="26" t="s">
        <v>623</v>
      </c>
      <c r="B132" s="34" t="n">
        <v>46251</v>
      </c>
      <c r="C132" s="26" t="s">
        <v>496</v>
      </c>
      <c r="D132" s="27" t="s">
        <v>624</v>
      </c>
      <c r="E132" s="26" t="s">
        <v>107</v>
      </c>
      <c r="F132" s="27" t="s">
        <v>77</v>
      </c>
      <c r="G132" s="26" t="s">
        <v>288</v>
      </c>
      <c r="H132" s="27" t="str">
        <f aca="false">VLOOKUP(G132,'Product Master'!$A$5:$K$104,2,FALSE())</f>
        <v>Classic Packaging Item 094</v>
      </c>
      <c r="I132" s="27" t="str">
        <f aca="false">VLOOKUP(G132,'Product Master'!$A$5:$K$104,3,FALSE())</f>
        <v>Packaging</v>
      </c>
      <c r="J132" s="28" t="n">
        <v>23</v>
      </c>
      <c r="K132" s="29" t="n">
        <v>6811.13</v>
      </c>
      <c r="L132" s="29" t="n">
        <f aca="false">J132*K132</f>
        <v>156655.99</v>
      </c>
      <c r="M132" s="26" t="s">
        <v>41</v>
      </c>
      <c r="N132" s="34" t="n">
        <v>46252</v>
      </c>
      <c r="O132" s="34" t="n">
        <v>46257</v>
      </c>
      <c r="P132" s="34"/>
      <c r="Q132" s="28" t="n">
        <f aca="false">IF(P132&lt;&gt;"",MAX(1,P132-B132),IF(M132="Dispatched",MAX(1,O132-B132),0))</f>
        <v>6</v>
      </c>
      <c r="R132" s="28" t="n">
        <f aca="false">IF(M132="Cancelled",0,IF(P132&lt;&gt;"",MAX(0,P132-O132),IF(T132&lt;&gt;"None",MAX(1,O132-B132-2),0)))</f>
        <v>4</v>
      </c>
      <c r="S132" s="26" t="s">
        <v>310</v>
      </c>
      <c r="T132" s="27" t="s">
        <v>115</v>
      </c>
    </row>
    <row r="133" customFormat="false" ht="15" hidden="false" customHeight="false" outlineLevel="0" collapsed="false">
      <c r="A133" s="18" t="s">
        <v>625</v>
      </c>
      <c r="B133" s="25" t="n">
        <v>46016</v>
      </c>
      <c r="C133" s="18" t="s">
        <v>398</v>
      </c>
      <c r="D133" s="20" t="s">
        <v>626</v>
      </c>
      <c r="E133" s="18" t="s">
        <v>105</v>
      </c>
      <c r="F133" s="20" t="s">
        <v>78</v>
      </c>
      <c r="G133" s="18" t="s">
        <v>203</v>
      </c>
      <c r="H133" s="20" t="str">
        <f aca="false">VLOOKUP(G133,'Product Master'!$A$5:$K$104,2,FALSE())</f>
        <v>Essential Electronics Item 009</v>
      </c>
      <c r="I133" s="20" t="str">
        <f aca="false">VLOOKUP(G133,'Product Master'!$A$5:$K$104,3,FALSE())</f>
        <v>Electronics</v>
      </c>
      <c r="J133" s="17" t="n">
        <v>10</v>
      </c>
      <c r="K133" s="16" t="n">
        <v>5778.46</v>
      </c>
      <c r="L133" s="16" t="n">
        <f aca="false">J133*K133</f>
        <v>57784.6</v>
      </c>
      <c r="M133" s="18" t="s">
        <v>35</v>
      </c>
      <c r="N133" s="25" t="n">
        <v>46019</v>
      </c>
      <c r="O133" s="25" t="n">
        <v>46023</v>
      </c>
      <c r="P133" s="25" t="n">
        <v>46022</v>
      </c>
      <c r="Q133" s="17" t="n">
        <f aca="false">IF(P133&lt;&gt;"",MAX(1,P133-B133),IF(M133="Dispatched",MAX(1,O133-B133),0))</f>
        <v>6</v>
      </c>
      <c r="R133" s="17" t="n">
        <f aca="false">IF(M133="Cancelled",0,IF(P133&lt;&gt;"",MAX(0,P133-O133),IF(T133&lt;&gt;"None",MAX(1,O133-B133-2),0)))</f>
        <v>0</v>
      </c>
      <c r="S133" s="18" t="s">
        <v>37</v>
      </c>
      <c r="T133" s="20" t="s">
        <v>317</v>
      </c>
    </row>
    <row r="134" customFormat="false" ht="15" hidden="false" customHeight="false" outlineLevel="0" collapsed="false">
      <c r="A134" s="26" t="s">
        <v>627</v>
      </c>
      <c r="B134" s="34" t="n">
        <v>46015</v>
      </c>
      <c r="C134" s="26" t="s">
        <v>479</v>
      </c>
      <c r="D134" s="27" t="s">
        <v>628</v>
      </c>
      <c r="E134" s="26" t="s">
        <v>105</v>
      </c>
      <c r="F134" s="27" t="s">
        <v>77</v>
      </c>
      <c r="G134" s="26" t="s">
        <v>246</v>
      </c>
      <c r="H134" s="27" t="str">
        <f aca="false">VLOOKUP(G134,'Product Master'!$A$5:$K$104,2,FALSE())</f>
        <v>Compact Personal Item 052</v>
      </c>
      <c r="I134" s="27" t="str">
        <f aca="false">VLOOKUP(G134,'Product Master'!$A$5:$K$104,3,FALSE())</f>
        <v>Personal Care</v>
      </c>
      <c r="J134" s="28" t="n">
        <v>8</v>
      </c>
      <c r="K134" s="29" t="n">
        <v>8547.77</v>
      </c>
      <c r="L134" s="29" t="n">
        <f aca="false">J134*K134</f>
        <v>68382.16</v>
      </c>
      <c r="M134" s="26" t="s">
        <v>39</v>
      </c>
      <c r="N134" s="34"/>
      <c r="O134" s="34" t="n">
        <v>46019</v>
      </c>
      <c r="P134" s="34"/>
      <c r="Q134" s="28" t="n">
        <f aca="false">IF(P134&lt;&gt;"",MAX(1,P134-B134),IF(M134="Dispatched",MAX(1,O134-B134),0))</f>
        <v>0</v>
      </c>
      <c r="R134" s="28" t="n">
        <f aca="false">IF(M134="Cancelled",0,IF(P134&lt;&gt;"",MAX(0,P134-O134),IF(T134&lt;&gt;"None",MAX(1,O134-B134-2),0)))</f>
        <v>2</v>
      </c>
      <c r="S134" s="26" t="s">
        <v>310</v>
      </c>
      <c r="T134" s="27" t="s">
        <v>106</v>
      </c>
    </row>
    <row r="135" customFormat="false" ht="15" hidden="false" customHeight="false" outlineLevel="0" collapsed="false">
      <c r="A135" s="18" t="s">
        <v>629</v>
      </c>
      <c r="B135" s="25" t="n">
        <v>45994</v>
      </c>
      <c r="C135" s="18" t="s">
        <v>344</v>
      </c>
      <c r="D135" s="20" t="s">
        <v>630</v>
      </c>
      <c r="E135" s="18" t="s">
        <v>105</v>
      </c>
      <c r="F135" s="20" t="s">
        <v>79</v>
      </c>
      <c r="G135" s="18" t="s">
        <v>241</v>
      </c>
      <c r="H135" s="20" t="str">
        <f aca="false">VLOOKUP(G135,'Product Master'!$A$5:$K$104,2,FALSE())</f>
        <v>Premium Apparel Item 047</v>
      </c>
      <c r="I135" s="20" t="str">
        <f aca="false">VLOOKUP(G135,'Product Master'!$A$5:$K$104,3,FALSE())</f>
        <v>Apparel</v>
      </c>
      <c r="J135" s="17" t="n">
        <v>21</v>
      </c>
      <c r="K135" s="16" t="n">
        <v>3068.55</v>
      </c>
      <c r="L135" s="16" t="n">
        <f aca="false">J135*K135</f>
        <v>64439.55</v>
      </c>
      <c r="M135" s="18" t="s">
        <v>35</v>
      </c>
      <c r="N135" s="25" t="n">
        <v>45994</v>
      </c>
      <c r="O135" s="25" t="n">
        <v>45996</v>
      </c>
      <c r="P135" s="25" t="n">
        <v>45994</v>
      </c>
      <c r="Q135" s="17" t="n">
        <f aca="false">IF(P135&lt;&gt;"",MAX(1,P135-B135),IF(M135="Dispatched",MAX(1,O135-B135),0))</f>
        <v>1</v>
      </c>
      <c r="R135" s="17" t="n">
        <f aca="false">IF(M135="Cancelled",0,IF(P135&lt;&gt;"",MAX(0,P135-O135),IF(T135&lt;&gt;"None",MAX(1,O135-B135-2),0)))</f>
        <v>0</v>
      </c>
      <c r="S135" s="18" t="s">
        <v>310</v>
      </c>
      <c r="T135" s="20" t="s">
        <v>317</v>
      </c>
    </row>
    <row r="136" customFormat="false" ht="15" hidden="false" customHeight="false" outlineLevel="0" collapsed="false">
      <c r="A136" s="26" t="s">
        <v>631</v>
      </c>
      <c r="B136" s="34" t="n">
        <v>46144</v>
      </c>
      <c r="C136" s="26" t="s">
        <v>632</v>
      </c>
      <c r="D136" s="27" t="s">
        <v>633</v>
      </c>
      <c r="E136" s="26" t="s">
        <v>111</v>
      </c>
      <c r="F136" s="27" t="s">
        <v>76</v>
      </c>
      <c r="G136" s="26" t="s">
        <v>251</v>
      </c>
      <c r="H136" s="27" t="str">
        <f aca="false">VLOOKUP(G136,'Product Master'!$A$5:$K$104,2,FALSE())</f>
        <v>Essential Electronics Item 057</v>
      </c>
      <c r="I136" s="27" t="str">
        <f aca="false">VLOOKUP(G136,'Product Master'!$A$5:$K$104,3,FALSE())</f>
        <v>Electronics</v>
      </c>
      <c r="J136" s="28" t="n">
        <v>18</v>
      </c>
      <c r="K136" s="29" t="n">
        <v>8152.77</v>
      </c>
      <c r="L136" s="29" t="n">
        <f aca="false">J136*K136</f>
        <v>146749.86</v>
      </c>
      <c r="M136" s="26" t="s">
        <v>35</v>
      </c>
      <c r="N136" s="34" t="n">
        <v>46145</v>
      </c>
      <c r="O136" s="34" t="n">
        <v>46148</v>
      </c>
      <c r="P136" s="34" t="n">
        <v>46147</v>
      </c>
      <c r="Q136" s="28" t="n">
        <f aca="false">IF(P136&lt;&gt;"",MAX(1,P136-B136),IF(M136="Dispatched",MAX(1,O136-B136),0))</f>
        <v>3</v>
      </c>
      <c r="R136" s="28" t="n">
        <f aca="false">IF(M136="Cancelled",0,IF(P136&lt;&gt;"",MAX(0,P136-O136),IF(T136&lt;&gt;"None",MAX(1,O136-B136-2),0)))</f>
        <v>0</v>
      </c>
      <c r="S136" s="26" t="s">
        <v>310</v>
      </c>
      <c r="T136" s="27" t="s">
        <v>317</v>
      </c>
    </row>
    <row r="137" customFormat="false" ht="15" hidden="false" customHeight="false" outlineLevel="0" collapsed="false">
      <c r="A137" s="18" t="s">
        <v>634</v>
      </c>
      <c r="B137" s="25" t="n">
        <v>46197</v>
      </c>
      <c r="C137" s="18" t="s">
        <v>635</v>
      </c>
      <c r="D137" s="20" t="s">
        <v>514</v>
      </c>
      <c r="E137" s="18" t="s">
        <v>113</v>
      </c>
      <c r="F137" s="20" t="s">
        <v>80</v>
      </c>
      <c r="G137" s="18" t="s">
        <v>229</v>
      </c>
      <c r="H137" s="20" t="str">
        <f aca="false">VLOOKUP(G137,'Product Master'!$A$5:$K$104,2,FALSE())</f>
        <v>Smart Office Item 035</v>
      </c>
      <c r="I137" s="20" t="str">
        <f aca="false">VLOOKUP(G137,'Product Master'!$A$5:$K$104,3,FALSE())</f>
        <v>Office Supplies</v>
      </c>
      <c r="J137" s="17" t="n">
        <v>23</v>
      </c>
      <c r="K137" s="16" t="n">
        <v>7869.66</v>
      </c>
      <c r="L137" s="16" t="n">
        <f aca="false">J137*K137</f>
        <v>181002.18</v>
      </c>
      <c r="M137" s="18" t="s">
        <v>35</v>
      </c>
      <c r="N137" s="25" t="n">
        <v>46197</v>
      </c>
      <c r="O137" s="25" t="n">
        <v>46200</v>
      </c>
      <c r="P137" s="25" t="n">
        <v>46200</v>
      </c>
      <c r="Q137" s="17" t="n">
        <f aca="false">IF(P137&lt;&gt;"",MAX(1,P137-B137),IF(M137="Dispatched",MAX(1,O137-B137),0))</f>
        <v>3</v>
      </c>
      <c r="R137" s="17" t="n">
        <f aca="false">IF(M137="Cancelled",0,IF(P137&lt;&gt;"",MAX(0,P137-O137),IF(T137&lt;&gt;"None",MAX(1,O137-B137-2),0)))</f>
        <v>0</v>
      </c>
      <c r="S137" s="18" t="s">
        <v>310</v>
      </c>
      <c r="T137" s="20" t="s">
        <v>317</v>
      </c>
    </row>
    <row r="138" customFormat="false" ht="15" hidden="false" customHeight="false" outlineLevel="0" collapsed="false">
      <c r="A138" s="26" t="s">
        <v>636</v>
      </c>
      <c r="B138" s="34" t="n">
        <v>46033</v>
      </c>
      <c r="C138" s="26" t="s">
        <v>637</v>
      </c>
      <c r="D138" s="27" t="s">
        <v>638</v>
      </c>
      <c r="E138" s="26" t="s">
        <v>109</v>
      </c>
      <c r="F138" s="27" t="s">
        <v>80</v>
      </c>
      <c r="G138" s="26" t="s">
        <v>294</v>
      </c>
      <c r="H138" s="27" t="str">
        <f aca="false">VLOOKUP(G138,'Product Master'!$A$5:$K$104,2,FALSE())</f>
        <v>Smart Personal Item 100</v>
      </c>
      <c r="I138" s="27" t="str">
        <f aca="false">VLOOKUP(G138,'Product Master'!$A$5:$K$104,3,FALSE())</f>
        <v>Personal Care</v>
      </c>
      <c r="J138" s="28" t="n">
        <v>7</v>
      </c>
      <c r="K138" s="29" t="n">
        <v>9946.74</v>
      </c>
      <c r="L138" s="29" t="n">
        <f aca="false">J138*K138</f>
        <v>69627.18</v>
      </c>
      <c r="M138" s="26" t="s">
        <v>35</v>
      </c>
      <c r="N138" s="34" t="n">
        <v>46035</v>
      </c>
      <c r="O138" s="34" t="n">
        <v>46041</v>
      </c>
      <c r="P138" s="34" t="n">
        <v>46040</v>
      </c>
      <c r="Q138" s="28" t="n">
        <f aca="false">IF(P138&lt;&gt;"",MAX(1,P138-B138),IF(M138="Dispatched",MAX(1,O138-B138),0))</f>
        <v>7</v>
      </c>
      <c r="R138" s="28" t="n">
        <f aca="false">IF(M138="Cancelled",0,IF(P138&lt;&gt;"",MAX(0,P138-O138),IF(T138&lt;&gt;"None",MAX(1,O138-B138-2),0)))</f>
        <v>0</v>
      </c>
      <c r="S138" s="26" t="s">
        <v>310</v>
      </c>
      <c r="T138" s="27" t="s">
        <v>317</v>
      </c>
    </row>
    <row r="139" customFormat="false" ht="15" hidden="false" customHeight="false" outlineLevel="0" collapsed="false">
      <c r="A139" s="18" t="s">
        <v>639</v>
      </c>
      <c r="B139" s="25" t="n">
        <v>46177</v>
      </c>
      <c r="C139" s="18" t="s">
        <v>609</v>
      </c>
      <c r="D139" s="20" t="s">
        <v>640</v>
      </c>
      <c r="E139" s="18" t="s">
        <v>107</v>
      </c>
      <c r="F139" s="20" t="s">
        <v>76</v>
      </c>
      <c r="G139" s="18" t="s">
        <v>237</v>
      </c>
      <c r="H139" s="20" t="str">
        <f aca="false">VLOOKUP(G139,'Product Master'!$A$5:$K$104,2,FALSE())</f>
        <v>Eco Office Item 043</v>
      </c>
      <c r="I139" s="20" t="str">
        <f aca="false">VLOOKUP(G139,'Product Master'!$A$5:$K$104,3,FALSE())</f>
        <v>Office Supplies</v>
      </c>
      <c r="J139" s="17" t="n">
        <v>1</v>
      </c>
      <c r="K139" s="16" t="n">
        <v>2525.48</v>
      </c>
      <c r="L139" s="16" t="n">
        <f aca="false">J139*K139</f>
        <v>2525.48</v>
      </c>
      <c r="M139" s="18" t="s">
        <v>37</v>
      </c>
      <c r="N139" s="25"/>
      <c r="O139" s="25" t="n">
        <v>46180</v>
      </c>
      <c r="P139" s="25"/>
      <c r="Q139" s="17" t="n">
        <f aca="false">IF(P139&lt;&gt;"",MAX(1,P139-B139),IF(M139="Dispatched",MAX(1,O139-B139),0))</f>
        <v>0</v>
      </c>
      <c r="R139" s="17" t="n">
        <f aca="false">IF(M139="Cancelled",0,IF(P139&lt;&gt;"",MAX(0,P139-O139),IF(T139&lt;&gt;"None",MAX(1,O139-B139-2),0)))</f>
        <v>0</v>
      </c>
      <c r="S139" s="18" t="s">
        <v>352</v>
      </c>
      <c r="T139" s="20" t="s">
        <v>317</v>
      </c>
    </row>
    <row r="140" customFormat="false" ht="15" hidden="false" customHeight="false" outlineLevel="0" collapsed="false">
      <c r="A140" s="26" t="s">
        <v>641</v>
      </c>
      <c r="B140" s="34" t="n">
        <v>46192</v>
      </c>
      <c r="C140" s="26" t="s">
        <v>531</v>
      </c>
      <c r="D140" s="27" t="s">
        <v>642</v>
      </c>
      <c r="E140" s="26" t="s">
        <v>105</v>
      </c>
      <c r="F140" s="27" t="s">
        <v>78</v>
      </c>
      <c r="G140" s="26" t="s">
        <v>204</v>
      </c>
      <c r="H140" s="27" t="str">
        <f aca="false">VLOOKUP(G140,'Product Master'!$A$5:$K$104,2,FALSE())</f>
        <v>Essential Home Item 010</v>
      </c>
      <c r="I140" s="27" t="str">
        <f aca="false">VLOOKUP(G140,'Product Master'!$A$5:$K$104,3,FALSE())</f>
        <v>Home &amp; Kitchen</v>
      </c>
      <c r="J140" s="28" t="n">
        <v>21</v>
      </c>
      <c r="K140" s="29" t="n">
        <v>7388.75</v>
      </c>
      <c r="L140" s="29" t="n">
        <f aca="false">J140*K140</f>
        <v>155163.75</v>
      </c>
      <c r="M140" s="26" t="s">
        <v>35</v>
      </c>
      <c r="N140" s="34" t="n">
        <v>46194</v>
      </c>
      <c r="O140" s="34" t="n">
        <v>46198</v>
      </c>
      <c r="P140" s="34" t="n">
        <v>46202</v>
      </c>
      <c r="Q140" s="28" t="n">
        <f aca="false">IF(P140&lt;&gt;"",MAX(1,P140-B140),IF(M140="Dispatched",MAX(1,O140-B140),0))</f>
        <v>10</v>
      </c>
      <c r="R140" s="28" t="n">
        <f aca="false">IF(M140="Cancelled",0,IF(P140&lt;&gt;"",MAX(0,P140-O140),IF(T140&lt;&gt;"None",MAX(1,O140-B140-2),0)))</f>
        <v>4</v>
      </c>
      <c r="S140" s="26" t="s">
        <v>310</v>
      </c>
      <c r="T140" s="27" t="s">
        <v>115</v>
      </c>
    </row>
    <row r="141" customFormat="false" ht="15" hidden="false" customHeight="false" outlineLevel="0" collapsed="false">
      <c r="A141" s="18" t="s">
        <v>643</v>
      </c>
      <c r="B141" s="25" t="n">
        <v>46079</v>
      </c>
      <c r="C141" s="18" t="s">
        <v>604</v>
      </c>
      <c r="D141" s="20" t="s">
        <v>405</v>
      </c>
      <c r="E141" s="18" t="s">
        <v>109</v>
      </c>
      <c r="F141" s="20" t="s">
        <v>79</v>
      </c>
      <c r="G141" s="18" t="s">
        <v>241</v>
      </c>
      <c r="H141" s="20" t="str">
        <f aca="false">VLOOKUP(G141,'Product Master'!$A$5:$K$104,2,FALSE())</f>
        <v>Premium Apparel Item 047</v>
      </c>
      <c r="I141" s="20" t="str">
        <f aca="false">VLOOKUP(G141,'Product Master'!$A$5:$K$104,3,FALSE())</f>
        <v>Apparel</v>
      </c>
      <c r="J141" s="17" t="n">
        <v>24</v>
      </c>
      <c r="K141" s="16" t="n">
        <v>3068.55</v>
      </c>
      <c r="L141" s="16" t="n">
        <f aca="false">J141*K141</f>
        <v>73645.2</v>
      </c>
      <c r="M141" s="18" t="s">
        <v>35</v>
      </c>
      <c r="N141" s="25" t="n">
        <v>46079</v>
      </c>
      <c r="O141" s="25" t="n">
        <v>46081</v>
      </c>
      <c r="P141" s="25" t="n">
        <v>46080</v>
      </c>
      <c r="Q141" s="17" t="n">
        <f aca="false">IF(P141&lt;&gt;"",MAX(1,P141-B141),IF(M141="Dispatched",MAX(1,O141-B141),0))</f>
        <v>1</v>
      </c>
      <c r="R141" s="17" t="n">
        <f aca="false">IF(M141="Cancelled",0,IF(P141&lt;&gt;"",MAX(0,P141-O141),IF(T141&lt;&gt;"None",MAX(1,O141-B141-2),0)))</f>
        <v>0</v>
      </c>
      <c r="S141" s="18" t="s">
        <v>310</v>
      </c>
      <c r="T141" s="20" t="s">
        <v>317</v>
      </c>
    </row>
    <row r="142" customFormat="false" ht="15" hidden="false" customHeight="false" outlineLevel="0" collapsed="false">
      <c r="A142" s="26" t="s">
        <v>644</v>
      </c>
      <c r="B142" s="34" t="n">
        <v>46155</v>
      </c>
      <c r="C142" s="26" t="s">
        <v>645</v>
      </c>
      <c r="D142" s="27" t="s">
        <v>646</v>
      </c>
      <c r="E142" s="26" t="s">
        <v>109</v>
      </c>
      <c r="F142" s="27" t="s">
        <v>76</v>
      </c>
      <c r="G142" s="26" t="s">
        <v>274</v>
      </c>
      <c r="H142" s="27" t="str">
        <f aca="false">VLOOKUP(G142,'Product Master'!$A$5:$K$104,2,FALSE())</f>
        <v>Classic Automotive Item 080</v>
      </c>
      <c r="I142" s="27" t="str">
        <f aca="false">VLOOKUP(G142,'Product Master'!$A$5:$K$104,3,FALSE())</f>
        <v>Automotive</v>
      </c>
      <c r="J142" s="28" t="n">
        <v>12</v>
      </c>
      <c r="K142" s="29" t="n">
        <v>2261.32</v>
      </c>
      <c r="L142" s="29" t="n">
        <f aca="false">J142*K142</f>
        <v>27135.84</v>
      </c>
      <c r="M142" s="26" t="s">
        <v>39</v>
      </c>
      <c r="N142" s="34"/>
      <c r="O142" s="34" t="n">
        <v>46159</v>
      </c>
      <c r="P142" s="34"/>
      <c r="Q142" s="28" t="n">
        <f aca="false">IF(P142&lt;&gt;"",MAX(1,P142-B142),IF(M142="Dispatched",MAX(1,O142-B142),0))</f>
        <v>0</v>
      </c>
      <c r="R142" s="28" t="n">
        <f aca="false">IF(M142="Cancelled",0,IF(P142&lt;&gt;"",MAX(0,P142-O142),IF(T142&lt;&gt;"None",MAX(1,O142-B142-2),0)))</f>
        <v>2</v>
      </c>
      <c r="S142" s="26" t="s">
        <v>310</v>
      </c>
      <c r="T142" s="27" t="s">
        <v>106</v>
      </c>
    </row>
    <row r="143" customFormat="false" ht="15" hidden="false" customHeight="false" outlineLevel="0" collapsed="false">
      <c r="A143" s="18" t="s">
        <v>647</v>
      </c>
      <c r="B143" s="25" t="n">
        <v>46128</v>
      </c>
      <c r="C143" s="18" t="s">
        <v>442</v>
      </c>
      <c r="D143" s="20" t="s">
        <v>313</v>
      </c>
      <c r="E143" s="18" t="s">
        <v>111</v>
      </c>
      <c r="F143" s="20" t="s">
        <v>79</v>
      </c>
      <c r="G143" s="18" t="s">
        <v>283</v>
      </c>
      <c r="H143" s="20" t="str">
        <f aca="false">VLOOKUP(G143,'Product Master'!$A$5:$K$104,2,FALSE())</f>
        <v>Everyday Electronics Item 089</v>
      </c>
      <c r="I143" s="20" t="str">
        <f aca="false">VLOOKUP(G143,'Product Master'!$A$5:$K$104,3,FALSE())</f>
        <v>Electronics</v>
      </c>
      <c r="J143" s="17" t="n">
        <v>21</v>
      </c>
      <c r="K143" s="16" t="n">
        <v>2282.32</v>
      </c>
      <c r="L143" s="16" t="n">
        <f aca="false">J143*K143</f>
        <v>47928.72</v>
      </c>
      <c r="M143" s="18" t="s">
        <v>41</v>
      </c>
      <c r="N143" s="25" t="n">
        <v>46128</v>
      </c>
      <c r="O143" s="25" t="n">
        <v>46132</v>
      </c>
      <c r="P143" s="25"/>
      <c r="Q143" s="17" t="n">
        <f aca="false">IF(P143&lt;&gt;"",MAX(1,P143-B143),IF(M143="Dispatched",MAX(1,O143-B143),0))</f>
        <v>4</v>
      </c>
      <c r="R143" s="17" t="n">
        <f aca="false">IF(M143="Cancelled",0,IF(P143&lt;&gt;"",MAX(0,P143-O143),IF(T143&lt;&gt;"None",MAX(1,O143-B143-2),0)))</f>
        <v>0</v>
      </c>
      <c r="S143" s="18" t="s">
        <v>310</v>
      </c>
      <c r="T143" s="20" t="s">
        <v>317</v>
      </c>
    </row>
    <row r="144" customFormat="false" ht="15" hidden="false" customHeight="false" outlineLevel="0" collapsed="false">
      <c r="A144" s="26" t="s">
        <v>648</v>
      </c>
      <c r="B144" s="34" t="n">
        <v>46144</v>
      </c>
      <c r="C144" s="26" t="s">
        <v>372</v>
      </c>
      <c r="D144" s="27" t="s">
        <v>649</v>
      </c>
      <c r="E144" s="26" t="s">
        <v>111</v>
      </c>
      <c r="F144" s="27" t="s">
        <v>80</v>
      </c>
      <c r="G144" s="26" t="s">
        <v>270</v>
      </c>
      <c r="H144" s="27" t="str">
        <f aca="false">VLOOKUP(G144,'Product Master'!$A$5:$K$104,2,FALSE())</f>
        <v>Everyday Personal Item 076</v>
      </c>
      <c r="I144" s="27" t="str">
        <f aca="false">VLOOKUP(G144,'Product Master'!$A$5:$K$104,3,FALSE())</f>
        <v>Personal Care</v>
      </c>
      <c r="J144" s="28" t="n">
        <v>22</v>
      </c>
      <c r="K144" s="29" t="n">
        <v>9870.63</v>
      </c>
      <c r="L144" s="29" t="n">
        <f aca="false">J144*K144</f>
        <v>217153.86</v>
      </c>
      <c r="M144" s="26" t="s">
        <v>35</v>
      </c>
      <c r="N144" s="34" t="n">
        <v>46146</v>
      </c>
      <c r="O144" s="34" t="n">
        <v>46152</v>
      </c>
      <c r="P144" s="34" t="n">
        <v>46148</v>
      </c>
      <c r="Q144" s="28" t="n">
        <f aca="false">IF(P144&lt;&gt;"",MAX(1,P144-B144),IF(M144="Dispatched",MAX(1,O144-B144),0))</f>
        <v>4</v>
      </c>
      <c r="R144" s="28" t="n">
        <f aca="false">IF(M144="Cancelled",0,IF(P144&lt;&gt;"",MAX(0,P144-O144),IF(T144&lt;&gt;"None",MAX(1,O144-B144-2),0)))</f>
        <v>0</v>
      </c>
      <c r="S144" s="26" t="s">
        <v>352</v>
      </c>
      <c r="T144" s="27" t="s">
        <v>317</v>
      </c>
    </row>
    <row r="145" customFormat="false" ht="15" hidden="false" customHeight="false" outlineLevel="0" collapsed="false">
      <c r="A145" s="18" t="s">
        <v>650</v>
      </c>
      <c r="B145" s="25" t="n">
        <v>45988</v>
      </c>
      <c r="C145" s="18" t="s">
        <v>651</v>
      </c>
      <c r="D145" s="20" t="s">
        <v>532</v>
      </c>
      <c r="E145" s="18" t="s">
        <v>111</v>
      </c>
      <c r="F145" s="20" t="s">
        <v>76</v>
      </c>
      <c r="G145" s="18" t="s">
        <v>247</v>
      </c>
      <c r="H145" s="20" t="str">
        <f aca="false">VLOOKUP(G145,'Product Master'!$A$5:$K$104,2,FALSE())</f>
        <v>Classic Industrial Item 053</v>
      </c>
      <c r="I145" s="20" t="str">
        <f aca="false">VLOOKUP(G145,'Product Master'!$A$5:$K$104,3,FALSE())</f>
        <v>Industrial</v>
      </c>
      <c r="J145" s="17" t="n">
        <v>3</v>
      </c>
      <c r="K145" s="16" t="n">
        <v>10730.84</v>
      </c>
      <c r="L145" s="16" t="n">
        <f aca="false">J145*K145</f>
        <v>32192.52</v>
      </c>
      <c r="M145" s="18" t="s">
        <v>35</v>
      </c>
      <c r="N145" s="25" t="n">
        <v>45988</v>
      </c>
      <c r="O145" s="25" t="n">
        <v>45995</v>
      </c>
      <c r="P145" s="25" t="n">
        <v>46003</v>
      </c>
      <c r="Q145" s="17" t="n">
        <f aca="false">IF(P145&lt;&gt;"",MAX(1,P145-B145),IF(M145="Dispatched",MAX(1,O145-B145),0))</f>
        <v>15</v>
      </c>
      <c r="R145" s="17" t="n">
        <f aca="false">IF(M145="Cancelled",0,IF(P145&lt;&gt;"",MAX(0,P145-O145),IF(T145&lt;&gt;"None",MAX(1,O145-B145-2),0)))</f>
        <v>8</v>
      </c>
      <c r="S145" s="18" t="s">
        <v>352</v>
      </c>
      <c r="T145" s="20" t="s">
        <v>110</v>
      </c>
    </row>
    <row r="146" customFormat="false" ht="15" hidden="false" customHeight="false" outlineLevel="0" collapsed="false">
      <c r="A146" s="26" t="s">
        <v>652</v>
      </c>
      <c r="B146" s="34" t="n">
        <v>46196</v>
      </c>
      <c r="C146" s="26" t="s">
        <v>653</v>
      </c>
      <c r="D146" s="27" t="s">
        <v>373</v>
      </c>
      <c r="E146" s="26" t="s">
        <v>113</v>
      </c>
      <c r="F146" s="27" t="s">
        <v>76</v>
      </c>
      <c r="G146" s="26" t="s">
        <v>261</v>
      </c>
      <c r="H146" s="27" t="str">
        <f aca="false">VLOOKUP(G146,'Product Master'!$A$5:$K$104,2,FALSE())</f>
        <v>Premium Office Item 067</v>
      </c>
      <c r="I146" s="27" t="str">
        <f aca="false">VLOOKUP(G146,'Product Master'!$A$5:$K$104,3,FALSE())</f>
        <v>Office Supplies</v>
      </c>
      <c r="J146" s="28" t="n">
        <v>14</v>
      </c>
      <c r="K146" s="29" t="n">
        <v>3543.72</v>
      </c>
      <c r="L146" s="29" t="n">
        <f aca="false">J146*K146</f>
        <v>49612.08</v>
      </c>
      <c r="M146" s="26" t="s">
        <v>37</v>
      </c>
      <c r="N146" s="34"/>
      <c r="O146" s="34" t="n">
        <v>46201</v>
      </c>
      <c r="P146" s="34"/>
      <c r="Q146" s="28" t="n">
        <f aca="false">IF(P146&lt;&gt;"",MAX(1,P146-B146),IF(M146="Dispatched",MAX(1,O146-B146),0))</f>
        <v>0</v>
      </c>
      <c r="R146" s="28" t="n">
        <f aca="false">IF(M146="Cancelled",0,IF(P146&lt;&gt;"",MAX(0,P146-O146),IF(T146&lt;&gt;"None",MAX(1,O146-B146-2),0)))</f>
        <v>3</v>
      </c>
      <c r="S146" s="26" t="s">
        <v>37</v>
      </c>
      <c r="T146" s="27" t="s">
        <v>116</v>
      </c>
    </row>
    <row r="147" customFormat="false" ht="15" hidden="false" customHeight="false" outlineLevel="0" collapsed="false">
      <c r="A147" s="18" t="s">
        <v>654</v>
      </c>
      <c r="B147" s="25" t="n">
        <v>46216</v>
      </c>
      <c r="C147" s="18" t="s">
        <v>507</v>
      </c>
      <c r="D147" s="20" t="s">
        <v>566</v>
      </c>
      <c r="E147" s="18" t="s">
        <v>105</v>
      </c>
      <c r="F147" s="20" t="s">
        <v>76</v>
      </c>
      <c r="G147" s="18" t="s">
        <v>273</v>
      </c>
      <c r="H147" s="20" t="str">
        <f aca="false">VLOOKUP(G147,'Product Master'!$A$5:$K$104,2,FALSE())</f>
        <v>Essential Apparel Item 079</v>
      </c>
      <c r="I147" s="20" t="str">
        <f aca="false">VLOOKUP(G147,'Product Master'!$A$5:$K$104,3,FALSE())</f>
        <v>Apparel</v>
      </c>
      <c r="J147" s="17" t="n">
        <v>21</v>
      </c>
      <c r="K147" s="16" t="n">
        <v>12867.62</v>
      </c>
      <c r="L147" s="16" t="n">
        <f aca="false">J147*K147</f>
        <v>270220.02</v>
      </c>
      <c r="M147" s="18" t="s">
        <v>43</v>
      </c>
      <c r="N147" s="25"/>
      <c r="O147" s="25" t="n">
        <v>46225</v>
      </c>
      <c r="P147" s="25"/>
      <c r="Q147" s="17" t="n">
        <f aca="false">IF(P147&lt;&gt;"",MAX(1,P147-B147),IF(M147="Dispatched",MAX(1,O147-B147),0))</f>
        <v>0</v>
      </c>
      <c r="R147" s="17" t="n">
        <f aca="false">IF(M147="Cancelled",0,IF(P147&lt;&gt;"",MAX(0,P147-O147),IF(T147&lt;&gt;"None",MAX(1,O147-B147-2),0)))</f>
        <v>0</v>
      </c>
      <c r="S147" s="18" t="s">
        <v>310</v>
      </c>
      <c r="T147" s="20" t="s">
        <v>411</v>
      </c>
    </row>
    <row r="148" customFormat="false" ht="15" hidden="false" customHeight="false" outlineLevel="0" collapsed="false">
      <c r="A148" s="26" t="s">
        <v>655</v>
      </c>
      <c r="B148" s="34" t="n">
        <v>46182</v>
      </c>
      <c r="C148" s="26" t="s">
        <v>565</v>
      </c>
      <c r="D148" s="27" t="s">
        <v>656</v>
      </c>
      <c r="E148" s="26" t="s">
        <v>107</v>
      </c>
      <c r="F148" s="27" t="s">
        <v>78</v>
      </c>
      <c r="G148" s="26" t="s">
        <v>236</v>
      </c>
      <c r="H148" s="27" t="str">
        <f aca="false">VLOOKUP(G148,'Product Master'!$A$5:$K$104,2,FALSE())</f>
        <v>Compact Home Item 042</v>
      </c>
      <c r="I148" s="27" t="str">
        <f aca="false">VLOOKUP(G148,'Product Master'!$A$5:$K$104,3,FALSE())</f>
        <v>Home &amp; Kitchen</v>
      </c>
      <c r="J148" s="28" t="n">
        <v>9</v>
      </c>
      <c r="K148" s="29" t="n">
        <v>5892.15</v>
      </c>
      <c r="L148" s="29" t="n">
        <f aca="false">J148*K148</f>
        <v>53029.35</v>
      </c>
      <c r="M148" s="26" t="s">
        <v>35</v>
      </c>
      <c r="N148" s="34" t="n">
        <v>46185</v>
      </c>
      <c r="O148" s="34" t="n">
        <v>46187</v>
      </c>
      <c r="P148" s="34" t="n">
        <v>46189</v>
      </c>
      <c r="Q148" s="28" t="n">
        <f aca="false">IF(P148&lt;&gt;"",MAX(1,P148-B148),IF(M148="Dispatched",MAX(1,O148-B148),0))</f>
        <v>7</v>
      </c>
      <c r="R148" s="28" t="n">
        <f aca="false">IF(M148="Cancelled",0,IF(P148&lt;&gt;"",MAX(0,P148-O148),IF(T148&lt;&gt;"None",MAX(1,O148-B148-2),0)))</f>
        <v>2</v>
      </c>
      <c r="S148" s="26" t="s">
        <v>37</v>
      </c>
      <c r="T148" s="27" t="s">
        <v>106</v>
      </c>
    </row>
    <row r="149" customFormat="false" ht="15" hidden="false" customHeight="false" outlineLevel="0" collapsed="false">
      <c r="A149" s="18" t="s">
        <v>657</v>
      </c>
      <c r="B149" s="25" t="n">
        <v>46160</v>
      </c>
      <c r="C149" s="18" t="s">
        <v>658</v>
      </c>
      <c r="D149" s="20" t="s">
        <v>494</v>
      </c>
      <c r="E149" s="18" t="s">
        <v>111</v>
      </c>
      <c r="F149" s="20" t="s">
        <v>79</v>
      </c>
      <c r="G149" s="18" t="s">
        <v>206</v>
      </c>
      <c r="H149" s="20" t="str">
        <f aca="false">VLOOKUP(G149,'Product Master'!$A$5:$K$104,2,FALSE())</f>
        <v>Eco Personal Item 012</v>
      </c>
      <c r="I149" s="20" t="str">
        <f aca="false">VLOOKUP(G149,'Product Master'!$A$5:$K$104,3,FALSE())</f>
        <v>Personal Care</v>
      </c>
      <c r="J149" s="17" t="n">
        <v>11</v>
      </c>
      <c r="K149" s="16" t="n">
        <v>7685.49</v>
      </c>
      <c r="L149" s="16" t="n">
        <f aca="false">J149*K149</f>
        <v>84540.39</v>
      </c>
      <c r="M149" s="18" t="s">
        <v>35</v>
      </c>
      <c r="N149" s="25" t="n">
        <v>46160</v>
      </c>
      <c r="O149" s="25" t="n">
        <v>46169</v>
      </c>
      <c r="P149" s="25" t="n">
        <v>46167</v>
      </c>
      <c r="Q149" s="17" t="n">
        <f aca="false">IF(P149&lt;&gt;"",MAX(1,P149-B149),IF(M149="Dispatched",MAX(1,O149-B149),0))</f>
        <v>7</v>
      </c>
      <c r="R149" s="17" t="n">
        <f aca="false">IF(M149="Cancelled",0,IF(P149&lt;&gt;"",MAX(0,P149-O149),IF(T149&lt;&gt;"None",MAX(1,O149-B149-2),0)))</f>
        <v>0</v>
      </c>
      <c r="S149" s="18" t="s">
        <v>310</v>
      </c>
      <c r="T149" s="20" t="s">
        <v>317</v>
      </c>
    </row>
    <row r="150" customFormat="false" ht="15" hidden="false" customHeight="false" outlineLevel="0" collapsed="false">
      <c r="A150" s="26" t="s">
        <v>659</v>
      </c>
      <c r="B150" s="34" t="n">
        <v>45931</v>
      </c>
      <c r="C150" s="26" t="s">
        <v>660</v>
      </c>
      <c r="D150" s="27" t="s">
        <v>313</v>
      </c>
      <c r="E150" s="26" t="s">
        <v>113</v>
      </c>
      <c r="F150" s="27" t="s">
        <v>80</v>
      </c>
      <c r="G150" s="26" t="s">
        <v>206</v>
      </c>
      <c r="H150" s="27" t="str">
        <f aca="false">VLOOKUP(G150,'Product Master'!$A$5:$K$104,2,FALSE())</f>
        <v>Eco Personal Item 012</v>
      </c>
      <c r="I150" s="27" t="str">
        <f aca="false">VLOOKUP(G150,'Product Master'!$A$5:$K$104,3,FALSE())</f>
        <v>Personal Care</v>
      </c>
      <c r="J150" s="28" t="n">
        <v>21</v>
      </c>
      <c r="K150" s="29" t="n">
        <v>7685.49</v>
      </c>
      <c r="L150" s="29" t="n">
        <f aca="false">J150*K150</f>
        <v>161395.29</v>
      </c>
      <c r="M150" s="26" t="s">
        <v>35</v>
      </c>
      <c r="N150" s="34" t="n">
        <v>45934</v>
      </c>
      <c r="O150" s="34" t="n">
        <v>45936</v>
      </c>
      <c r="P150" s="34" t="n">
        <v>45937</v>
      </c>
      <c r="Q150" s="28" t="n">
        <f aca="false">IF(P150&lt;&gt;"",MAX(1,P150-B150),IF(M150="Dispatched",MAX(1,O150-B150),0))</f>
        <v>6</v>
      </c>
      <c r="R150" s="28" t="n">
        <f aca="false">IF(M150="Cancelled",0,IF(P150&lt;&gt;"",MAX(0,P150-O150),IF(T150&lt;&gt;"None",MAX(1,O150-B150-2),0)))</f>
        <v>1</v>
      </c>
      <c r="S150" s="26" t="s">
        <v>310</v>
      </c>
      <c r="T150" s="27" t="s">
        <v>112</v>
      </c>
    </row>
    <row r="151" customFormat="false" ht="15" hidden="false" customHeight="false" outlineLevel="0" collapsed="false">
      <c r="A151" s="18" t="s">
        <v>661</v>
      </c>
      <c r="B151" s="25" t="n">
        <v>46163</v>
      </c>
      <c r="C151" s="18" t="s">
        <v>662</v>
      </c>
      <c r="D151" s="20" t="s">
        <v>663</v>
      </c>
      <c r="E151" s="18" t="s">
        <v>113</v>
      </c>
      <c r="F151" s="20" t="s">
        <v>80</v>
      </c>
      <c r="G151" s="18" t="s">
        <v>237</v>
      </c>
      <c r="H151" s="20" t="str">
        <f aca="false">VLOOKUP(G151,'Product Master'!$A$5:$K$104,2,FALSE())</f>
        <v>Eco Office Item 043</v>
      </c>
      <c r="I151" s="20" t="str">
        <f aca="false">VLOOKUP(G151,'Product Master'!$A$5:$K$104,3,FALSE())</f>
        <v>Office Supplies</v>
      </c>
      <c r="J151" s="17" t="n">
        <v>20</v>
      </c>
      <c r="K151" s="16" t="n">
        <v>2525.48</v>
      </c>
      <c r="L151" s="16" t="n">
        <f aca="false">J151*K151</f>
        <v>50509.6</v>
      </c>
      <c r="M151" s="18" t="s">
        <v>35</v>
      </c>
      <c r="N151" s="25" t="n">
        <v>46166</v>
      </c>
      <c r="O151" s="25" t="n">
        <v>46170</v>
      </c>
      <c r="P151" s="25" t="n">
        <v>46168</v>
      </c>
      <c r="Q151" s="17" t="n">
        <f aca="false">IF(P151&lt;&gt;"",MAX(1,P151-B151),IF(M151="Dispatched",MAX(1,O151-B151),0))</f>
        <v>5</v>
      </c>
      <c r="R151" s="17" t="n">
        <f aca="false">IF(M151="Cancelled",0,IF(P151&lt;&gt;"",MAX(0,P151-O151),IF(T151&lt;&gt;"None",MAX(1,O151-B151-2),0)))</f>
        <v>0</v>
      </c>
      <c r="S151" s="18" t="s">
        <v>310</v>
      </c>
      <c r="T151" s="20" t="s">
        <v>317</v>
      </c>
    </row>
    <row r="152" customFormat="false" ht="15" hidden="false" customHeight="false" outlineLevel="0" collapsed="false">
      <c r="A152" s="26" t="s">
        <v>664</v>
      </c>
      <c r="B152" s="34" t="n">
        <v>46255</v>
      </c>
      <c r="C152" s="26" t="s">
        <v>665</v>
      </c>
      <c r="D152" s="27" t="s">
        <v>666</v>
      </c>
      <c r="E152" s="26" t="s">
        <v>113</v>
      </c>
      <c r="F152" s="27" t="s">
        <v>80</v>
      </c>
      <c r="G152" s="26" t="s">
        <v>232</v>
      </c>
      <c r="H152" s="27" t="str">
        <f aca="false">VLOOKUP(G152,'Product Master'!$A$5:$K$104,2,FALSE())</f>
        <v>Eco Packaging Item 038</v>
      </c>
      <c r="I152" s="27" t="str">
        <f aca="false">VLOOKUP(G152,'Product Master'!$A$5:$K$104,3,FALSE())</f>
        <v>Packaging</v>
      </c>
      <c r="J152" s="28" t="n">
        <v>12</v>
      </c>
      <c r="K152" s="29" t="n">
        <v>7556.46</v>
      </c>
      <c r="L152" s="29" t="n">
        <f aca="false">J152*K152</f>
        <v>90677.52</v>
      </c>
      <c r="M152" s="26" t="s">
        <v>39</v>
      </c>
      <c r="N152" s="34"/>
      <c r="O152" s="34" t="n">
        <v>46257</v>
      </c>
      <c r="P152" s="34"/>
      <c r="Q152" s="28" t="n">
        <f aca="false">IF(P152&lt;&gt;"",MAX(1,P152-B152),IF(M152="Dispatched",MAX(1,O152-B152),0))</f>
        <v>0</v>
      </c>
      <c r="R152" s="28" t="n">
        <f aca="false">IF(M152="Cancelled",0,IF(P152&lt;&gt;"",MAX(0,P152-O152),IF(T152&lt;&gt;"None",MAX(1,O152-B152-2),0)))</f>
        <v>1</v>
      </c>
      <c r="S152" s="26" t="s">
        <v>37</v>
      </c>
      <c r="T152" s="27" t="s">
        <v>106</v>
      </c>
    </row>
    <row r="153" customFormat="false" ht="15" hidden="false" customHeight="false" outlineLevel="0" collapsed="false">
      <c r="A153" s="18" t="s">
        <v>667</v>
      </c>
      <c r="B153" s="25" t="n">
        <v>46308</v>
      </c>
      <c r="C153" s="18" t="s">
        <v>328</v>
      </c>
      <c r="D153" s="20" t="s">
        <v>316</v>
      </c>
      <c r="E153" s="18" t="s">
        <v>105</v>
      </c>
      <c r="F153" s="20" t="s">
        <v>78</v>
      </c>
      <c r="G153" s="18" t="s">
        <v>247</v>
      </c>
      <c r="H153" s="20" t="str">
        <f aca="false">VLOOKUP(G153,'Product Master'!$A$5:$K$104,2,FALSE())</f>
        <v>Classic Industrial Item 053</v>
      </c>
      <c r="I153" s="20" t="str">
        <f aca="false">VLOOKUP(G153,'Product Master'!$A$5:$K$104,3,FALSE())</f>
        <v>Industrial</v>
      </c>
      <c r="J153" s="17" t="n">
        <v>20</v>
      </c>
      <c r="K153" s="16" t="n">
        <v>10730.84</v>
      </c>
      <c r="L153" s="16" t="n">
        <f aca="false">J153*K153</f>
        <v>214616.8</v>
      </c>
      <c r="M153" s="18" t="s">
        <v>35</v>
      </c>
      <c r="N153" s="25" t="n">
        <v>46309</v>
      </c>
      <c r="O153" s="25" t="n">
        <v>46312</v>
      </c>
      <c r="P153" s="25" t="n">
        <v>46311</v>
      </c>
      <c r="Q153" s="17" t="n">
        <f aca="false">IF(P153&lt;&gt;"",MAX(1,P153-B153),IF(M153="Dispatched",MAX(1,O153-B153),0))</f>
        <v>3</v>
      </c>
      <c r="R153" s="17" t="n">
        <f aca="false">IF(M153="Cancelled",0,IF(P153&lt;&gt;"",MAX(0,P153-O153),IF(T153&lt;&gt;"None",MAX(1,O153-B153-2),0)))</f>
        <v>0</v>
      </c>
      <c r="S153" s="18" t="s">
        <v>310</v>
      </c>
      <c r="T153" s="20" t="s">
        <v>317</v>
      </c>
    </row>
    <row r="154" customFormat="false" ht="15" hidden="false" customHeight="false" outlineLevel="0" collapsed="false">
      <c r="A154" s="26" t="s">
        <v>668</v>
      </c>
      <c r="B154" s="34" t="n">
        <v>46143</v>
      </c>
      <c r="C154" s="26" t="s">
        <v>669</v>
      </c>
      <c r="D154" s="27" t="s">
        <v>670</v>
      </c>
      <c r="E154" s="26" t="s">
        <v>113</v>
      </c>
      <c r="F154" s="27" t="s">
        <v>76</v>
      </c>
      <c r="G154" s="26" t="s">
        <v>200</v>
      </c>
      <c r="H154" s="27" t="str">
        <f aca="false">VLOOKUP(G154,'Product Master'!$A$5:$K$104,2,FALSE())</f>
        <v>Pro Packaging Item 006</v>
      </c>
      <c r="I154" s="27" t="str">
        <f aca="false">VLOOKUP(G154,'Product Master'!$A$5:$K$104,3,FALSE())</f>
        <v>Packaging</v>
      </c>
      <c r="J154" s="28" t="n">
        <v>25</v>
      </c>
      <c r="K154" s="29" t="n">
        <v>1867.12</v>
      </c>
      <c r="L154" s="29" t="n">
        <f aca="false">J154*K154</f>
        <v>46678</v>
      </c>
      <c r="M154" s="26" t="s">
        <v>41</v>
      </c>
      <c r="N154" s="34" t="n">
        <v>46144</v>
      </c>
      <c r="O154" s="34" t="n">
        <v>46152</v>
      </c>
      <c r="P154" s="34"/>
      <c r="Q154" s="28" t="n">
        <f aca="false">IF(P154&lt;&gt;"",MAX(1,P154-B154),IF(M154="Dispatched",MAX(1,O154-B154),0))</f>
        <v>9</v>
      </c>
      <c r="R154" s="28" t="n">
        <f aca="false">IF(M154="Cancelled",0,IF(P154&lt;&gt;"",MAX(0,P154-O154),IF(T154&lt;&gt;"None",MAX(1,O154-B154-2),0)))</f>
        <v>0</v>
      </c>
      <c r="S154" s="26" t="s">
        <v>37</v>
      </c>
      <c r="T154" s="27" t="s">
        <v>317</v>
      </c>
    </row>
    <row r="155" customFormat="false" ht="15" hidden="false" customHeight="false" outlineLevel="0" collapsed="false">
      <c r="A155" s="18" t="s">
        <v>671</v>
      </c>
      <c r="B155" s="25" t="n">
        <v>46214</v>
      </c>
      <c r="C155" s="18" t="s">
        <v>479</v>
      </c>
      <c r="D155" s="20" t="s">
        <v>672</v>
      </c>
      <c r="E155" s="18" t="s">
        <v>113</v>
      </c>
      <c r="F155" s="20" t="s">
        <v>79</v>
      </c>
      <c r="G155" s="18" t="s">
        <v>250</v>
      </c>
      <c r="H155" s="20" t="str">
        <f aca="false">VLOOKUP(G155,'Product Master'!$A$5:$K$104,2,FALSE())</f>
        <v>Smart Automotive Item 056</v>
      </c>
      <c r="I155" s="20" t="str">
        <f aca="false">VLOOKUP(G155,'Product Master'!$A$5:$K$104,3,FALSE())</f>
        <v>Automotive</v>
      </c>
      <c r="J155" s="17" t="n">
        <v>17</v>
      </c>
      <c r="K155" s="16" t="n">
        <v>4007.08</v>
      </c>
      <c r="L155" s="16" t="n">
        <f aca="false">J155*K155</f>
        <v>68120.36</v>
      </c>
      <c r="M155" s="18" t="s">
        <v>39</v>
      </c>
      <c r="N155" s="25"/>
      <c r="O155" s="25" t="n">
        <v>46218</v>
      </c>
      <c r="P155" s="25"/>
      <c r="Q155" s="17" t="n">
        <f aca="false">IF(P155&lt;&gt;"",MAX(1,P155-B155),IF(M155="Dispatched",MAX(1,O155-B155),0))</f>
        <v>0</v>
      </c>
      <c r="R155" s="17" t="n">
        <f aca="false">IF(M155="Cancelled",0,IF(P155&lt;&gt;"",MAX(0,P155-O155),IF(T155&lt;&gt;"None",MAX(1,O155-B155-2),0)))</f>
        <v>0</v>
      </c>
      <c r="S155" s="18" t="s">
        <v>310</v>
      </c>
      <c r="T155" s="20" t="s">
        <v>317</v>
      </c>
    </row>
    <row r="156" customFormat="false" ht="15" hidden="false" customHeight="false" outlineLevel="0" collapsed="false">
      <c r="A156" s="26" t="s">
        <v>673</v>
      </c>
      <c r="B156" s="34" t="n">
        <v>46238</v>
      </c>
      <c r="C156" s="26" t="s">
        <v>674</v>
      </c>
      <c r="D156" s="27" t="s">
        <v>399</v>
      </c>
      <c r="E156" s="26" t="s">
        <v>109</v>
      </c>
      <c r="F156" s="27" t="s">
        <v>80</v>
      </c>
      <c r="G156" s="26" t="s">
        <v>272</v>
      </c>
      <c r="H156" s="27" t="str">
        <f aca="false">VLOOKUP(G156,'Product Master'!$A$5:$K$104,2,FALSE())</f>
        <v>Smart Packaging Item 078</v>
      </c>
      <c r="I156" s="27" t="str">
        <f aca="false">VLOOKUP(G156,'Product Master'!$A$5:$K$104,3,FALSE())</f>
        <v>Packaging</v>
      </c>
      <c r="J156" s="28" t="n">
        <v>13</v>
      </c>
      <c r="K156" s="29" t="n">
        <v>627.95</v>
      </c>
      <c r="L156" s="29" t="n">
        <f aca="false">J156*K156</f>
        <v>8163.35</v>
      </c>
      <c r="M156" s="26" t="s">
        <v>35</v>
      </c>
      <c r="N156" s="34" t="n">
        <v>46240</v>
      </c>
      <c r="O156" s="34" t="n">
        <v>46243</v>
      </c>
      <c r="P156" s="34" t="n">
        <v>46245</v>
      </c>
      <c r="Q156" s="28" t="n">
        <f aca="false">IF(P156&lt;&gt;"",MAX(1,P156-B156),IF(M156="Dispatched",MAX(1,O156-B156),0))</f>
        <v>7</v>
      </c>
      <c r="R156" s="28" t="n">
        <f aca="false">IF(M156="Cancelled",0,IF(P156&lt;&gt;"",MAX(0,P156-O156),IF(T156&lt;&gt;"None",MAX(1,O156-B156-2),0)))</f>
        <v>2</v>
      </c>
      <c r="S156" s="26" t="s">
        <v>310</v>
      </c>
      <c r="T156" s="27" t="s">
        <v>112</v>
      </c>
    </row>
    <row r="157" customFormat="false" ht="15" hidden="false" customHeight="false" outlineLevel="0" collapsed="false">
      <c r="A157" s="18" t="s">
        <v>675</v>
      </c>
      <c r="B157" s="25" t="n">
        <v>46142</v>
      </c>
      <c r="C157" s="18" t="s">
        <v>676</v>
      </c>
      <c r="D157" s="20" t="s">
        <v>677</v>
      </c>
      <c r="E157" s="18" t="s">
        <v>113</v>
      </c>
      <c r="F157" s="20" t="s">
        <v>78</v>
      </c>
      <c r="G157" s="18" t="s">
        <v>272</v>
      </c>
      <c r="H157" s="20" t="str">
        <f aca="false">VLOOKUP(G157,'Product Master'!$A$5:$K$104,2,FALSE())</f>
        <v>Smart Packaging Item 078</v>
      </c>
      <c r="I157" s="20" t="str">
        <f aca="false">VLOOKUP(G157,'Product Master'!$A$5:$K$104,3,FALSE())</f>
        <v>Packaging</v>
      </c>
      <c r="J157" s="17" t="n">
        <v>23</v>
      </c>
      <c r="K157" s="16" t="n">
        <v>627.95</v>
      </c>
      <c r="L157" s="16" t="n">
        <f aca="false">J157*K157</f>
        <v>14442.85</v>
      </c>
      <c r="M157" s="18" t="s">
        <v>35</v>
      </c>
      <c r="N157" s="25" t="n">
        <v>46143</v>
      </c>
      <c r="O157" s="25" t="n">
        <v>46149</v>
      </c>
      <c r="P157" s="25" t="n">
        <v>46149</v>
      </c>
      <c r="Q157" s="17" t="n">
        <f aca="false">IF(P157&lt;&gt;"",MAX(1,P157-B157),IF(M157="Dispatched",MAX(1,O157-B157),0))</f>
        <v>7</v>
      </c>
      <c r="R157" s="17" t="n">
        <f aca="false">IF(M157="Cancelled",0,IF(P157&lt;&gt;"",MAX(0,P157-O157),IF(T157&lt;&gt;"None",MAX(1,O157-B157-2),0)))</f>
        <v>0</v>
      </c>
      <c r="S157" s="18" t="s">
        <v>310</v>
      </c>
      <c r="T157" s="20" t="s">
        <v>317</v>
      </c>
    </row>
    <row r="158" customFormat="false" ht="15" hidden="false" customHeight="false" outlineLevel="0" collapsed="false">
      <c r="A158" s="26" t="s">
        <v>678</v>
      </c>
      <c r="B158" s="34" t="n">
        <v>46275</v>
      </c>
      <c r="C158" s="26" t="s">
        <v>635</v>
      </c>
      <c r="D158" s="27" t="s">
        <v>370</v>
      </c>
      <c r="E158" s="26" t="s">
        <v>107</v>
      </c>
      <c r="F158" s="27" t="s">
        <v>80</v>
      </c>
      <c r="G158" s="26" t="s">
        <v>211</v>
      </c>
      <c r="H158" s="27" t="str">
        <f aca="false">VLOOKUP(G158,'Product Master'!$A$5:$K$104,2,FALSE())</f>
        <v>Premium Electronics Item 017</v>
      </c>
      <c r="I158" s="27" t="str">
        <f aca="false">VLOOKUP(G158,'Product Master'!$A$5:$K$104,3,FALSE())</f>
        <v>Electronics</v>
      </c>
      <c r="J158" s="28" t="n">
        <v>18</v>
      </c>
      <c r="K158" s="29" t="n">
        <v>4534.74</v>
      </c>
      <c r="L158" s="29" t="n">
        <f aca="false">J158*K158</f>
        <v>81625.32</v>
      </c>
      <c r="M158" s="26" t="s">
        <v>37</v>
      </c>
      <c r="N158" s="34"/>
      <c r="O158" s="34" t="n">
        <v>46282</v>
      </c>
      <c r="P158" s="34"/>
      <c r="Q158" s="28" t="n">
        <f aca="false">IF(P158&lt;&gt;"",MAX(1,P158-B158),IF(M158="Dispatched",MAX(1,O158-B158),0))</f>
        <v>0</v>
      </c>
      <c r="R158" s="28" t="n">
        <f aca="false">IF(M158="Cancelled",0,IF(P158&lt;&gt;"",MAX(0,P158-O158),IF(T158&lt;&gt;"None",MAX(1,O158-B158-2),0)))</f>
        <v>5</v>
      </c>
      <c r="S158" s="26" t="s">
        <v>310</v>
      </c>
      <c r="T158" s="27" t="s">
        <v>106</v>
      </c>
    </row>
    <row r="159" customFormat="false" ht="15" hidden="false" customHeight="false" outlineLevel="0" collapsed="false">
      <c r="A159" s="18" t="s">
        <v>679</v>
      </c>
      <c r="B159" s="25" t="n">
        <v>46223</v>
      </c>
      <c r="C159" s="18" t="s">
        <v>680</v>
      </c>
      <c r="D159" s="20" t="s">
        <v>681</v>
      </c>
      <c r="E159" s="18" t="s">
        <v>111</v>
      </c>
      <c r="F159" s="20" t="s">
        <v>80</v>
      </c>
      <c r="G159" s="18" t="s">
        <v>280</v>
      </c>
      <c r="H159" s="20" t="str">
        <f aca="false">VLOOKUP(G159,'Product Master'!$A$5:$K$104,2,FALSE())</f>
        <v>Classic Packaging Item 086</v>
      </c>
      <c r="I159" s="20" t="str">
        <f aca="false">VLOOKUP(G159,'Product Master'!$A$5:$K$104,3,FALSE())</f>
        <v>Packaging</v>
      </c>
      <c r="J159" s="17" t="n">
        <v>10</v>
      </c>
      <c r="K159" s="16" t="n">
        <v>7631.52</v>
      </c>
      <c r="L159" s="16" t="n">
        <f aca="false">J159*K159</f>
        <v>76315.2</v>
      </c>
      <c r="M159" s="18" t="s">
        <v>41</v>
      </c>
      <c r="N159" s="25" t="n">
        <v>46223</v>
      </c>
      <c r="O159" s="25" t="n">
        <v>46231</v>
      </c>
      <c r="P159" s="25"/>
      <c r="Q159" s="17" t="n">
        <f aca="false">IF(P159&lt;&gt;"",MAX(1,P159-B159),IF(M159="Dispatched",MAX(1,O159-B159),0))</f>
        <v>8</v>
      </c>
      <c r="R159" s="17" t="n">
        <f aca="false">IF(M159="Cancelled",0,IF(P159&lt;&gt;"",MAX(0,P159-O159),IF(T159&lt;&gt;"None",MAX(1,O159-B159-2),0)))</f>
        <v>6</v>
      </c>
      <c r="S159" s="18" t="s">
        <v>310</v>
      </c>
      <c r="T159" s="20" t="s">
        <v>115</v>
      </c>
    </row>
    <row r="160" customFormat="false" ht="15" hidden="false" customHeight="false" outlineLevel="0" collapsed="false">
      <c r="A160" s="26" t="s">
        <v>682</v>
      </c>
      <c r="B160" s="34" t="n">
        <v>45958</v>
      </c>
      <c r="C160" s="26" t="s">
        <v>611</v>
      </c>
      <c r="D160" s="27" t="s">
        <v>683</v>
      </c>
      <c r="E160" s="26" t="s">
        <v>105</v>
      </c>
      <c r="F160" s="27" t="s">
        <v>77</v>
      </c>
      <c r="G160" s="26" t="s">
        <v>280</v>
      </c>
      <c r="H160" s="27" t="str">
        <f aca="false">VLOOKUP(G160,'Product Master'!$A$5:$K$104,2,FALSE())</f>
        <v>Classic Packaging Item 086</v>
      </c>
      <c r="I160" s="27" t="str">
        <f aca="false">VLOOKUP(G160,'Product Master'!$A$5:$K$104,3,FALSE())</f>
        <v>Packaging</v>
      </c>
      <c r="J160" s="28" t="n">
        <v>9</v>
      </c>
      <c r="K160" s="29" t="n">
        <v>7631.52</v>
      </c>
      <c r="L160" s="29" t="n">
        <f aca="false">J160*K160</f>
        <v>68683.68</v>
      </c>
      <c r="M160" s="26" t="s">
        <v>39</v>
      </c>
      <c r="N160" s="34"/>
      <c r="O160" s="34" t="n">
        <v>45962</v>
      </c>
      <c r="P160" s="34"/>
      <c r="Q160" s="28" t="n">
        <f aca="false">IF(P160&lt;&gt;"",MAX(1,P160-B160),IF(M160="Dispatched",MAX(1,O160-B160),0))</f>
        <v>0</v>
      </c>
      <c r="R160" s="28" t="n">
        <f aca="false">IF(M160="Cancelled",0,IF(P160&lt;&gt;"",MAX(0,P160-O160),IF(T160&lt;&gt;"None",MAX(1,O160-B160-2),0)))</f>
        <v>2</v>
      </c>
      <c r="S160" s="26" t="s">
        <v>37</v>
      </c>
      <c r="T160" s="27" t="s">
        <v>108</v>
      </c>
    </row>
    <row r="161" customFormat="false" ht="15" hidden="false" customHeight="false" outlineLevel="0" collapsed="false">
      <c r="A161" s="18" t="s">
        <v>684</v>
      </c>
      <c r="B161" s="25" t="n">
        <v>46284</v>
      </c>
      <c r="C161" s="18" t="s">
        <v>685</v>
      </c>
      <c r="D161" s="20" t="s">
        <v>686</v>
      </c>
      <c r="E161" s="18" t="s">
        <v>107</v>
      </c>
      <c r="F161" s="20" t="s">
        <v>80</v>
      </c>
      <c r="G161" s="18" t="s">
        <v>232</v>
      </c>
      <c r="H161" s="20" t="str">
        <f aca="false">VLOOKUP(G161,'Product Master'!$A$5:$K$104,2,FALSE())</f>
        <v>Eco Packaging Item 038</v>
      </c>
      <c r="I161" s="20" t="str">
        <f aca="false">VLOOKUP(G161,'Product Master'!$A$5:$K$104,3,FALSE())</f>
        <v>Packaging</v>
      </c>
      <c r="J161" s="17" t="n">
        <v>2</v>
      </c>
      <c r="K161" s="16" t="n">
        <v>7556.46</v>
      </c>
      <c r="L161" s="16" t="n">
        <f aca="false">J161*K161</f>
        <v>15112.92</v>
      </c>
      <c r="M161" s="18" t="s">
        <v>35</v>
      </c>
      <c r="N161" s="25" t="n">
        <v>46284</v>
      </c>
      <c r="O161" s="25" t="n">
        <v>46293</v>
      </c>
      <c r="P161" s="25" t="n">
        <v>46301</v>
      </c>
      <c r="Q161" s="17" t="n">
        <f aca="false">IF(P161&lt;&gt;"",MAX(1,P161-B161),IF(M161="Dispatched",MAX(1,O161-B161),0))</f>
        <v>17</v>
      </c>
      <c r="R161" s="17" t="n">
        <f aca="false">IF(M161="Cancelled",0,IF(P161&lt;&gt;"",MAX(0,P161-O161),IF(T161&lt;&gt;"None",MAX(1,O161-B161-2),0)))</f>
        <v>8</v>
      </c>
      <c r="S161" s="18" t="s">
        <v>310</v>
      </c>
      <c r="T161" s="20" t="s">
        <v>106</v>
      </c>
    </row>
    <row r="162" customFormat="false" ht="15" hidden="false" customHeight="false" outlineLevel="0" collapsed="false">
      <c r="A162" s="26" t="s">
        <v>687</v>
      </c>
      <c r="B162" s="34" t="n">
        <v>46287</v>
      </c>
      <c r="C162" s="26" t="s">
        <v>685</v>
      </c>
      <c r="D162" s="27" t="s">
        <v>688</v>
      </c>
      <c r="E162" s="26" t="s">
        <v>105</v>
      </c>
      <c r="F162" s="27" t="s">
        <v>79</v>
      </c>
      <c r="G162" s="26" t="s">
        <v>231</v>
      </c>
      <c r="H162" s="27" t="str">
        <f aca="false">VLOOKUP(G162,'Product Master'!$A$5:$K$104,2,FALSE())</f>
        <v>Pro Industrial Item 037</v>
      </c>
      <c r="I162" s="27" t="str">
        <f aca="false">VLOOKUP(G162,'Product Master'!$A$5:$K$104,3,FALSE())</f>
        <v>Industrial</v>
      </c>
      <c r="J162" s="28" t="n">
        <v>13</v>
      </c>
      <c r="K162" s="29" t="n">
        <v>6419.17</v>
      </c>
      <c r="L162" s="29" t="n">
        <f aca="false">J162*K162</f>
        <v>83449.21</v>
      </c>
      <c r="M162" s="26" t="s">
        <v>35</v>
      </c>
      <c r="N162" s="34" t="n">
        <v>46287</v>
      </c>
      <c r="O162" s="34" t="n">
        <v>46294</v>
      </c>
      <c r="P162" s="34" t="n">
        <v>46290</v>
      </c>
      <c r="Q162" s="28" t="n">
        <f aca="false">IF(P162&lt;&gt;"",MAX(1,P162-B162),IF(M162="Dispatched",MAX(1,O162-B162),0))</f>
        <v>3</v>
      </c>
      <c r="R162" s="28" t="n">
        <f aca="false">IF(M162="Cancelled",0,IF(P162&lt;&gt;"",MAX(0,P162-O162),IF(T162&lt;&gt;"None",MAX(1,O162-B162-2),0)))</f>
        <v>0</v>
      </c>
      <c r="S162" s="26" t="s">
        <v>310</v>
      </c>
      <c r="T162" s="27" t="s">
        <v>317</v>
      </c>
    </row>
    <row r="163" customFormat="false" ht="15" hidden="false" customHeight="false" outlineLevel="0" collapsed="false">
      <c r="A163" s="18" t="s">
        <v>689</v>
      </c>
      <c r="B163" s="25" t="n">
        <v>46157</v>
      </c>
      <c r="C163" s="18" t="s">
        <v>674</v>
      </c>
      <c r="D163" s="20" t="s">
        <v>575</v>
      </c>
      <c r="E163" s="18" t="s">
        <v>109</v>
      </c>
      <c r="F163" s="20" t="s">
        <v>80</v>
      </c>
      <c r="G163" s="18" t="s">
        <v>223</v>
      </c>
      <c r="H163" s="20" t="str">
        <f aca="false">VLOOKUP(G163,'Product Master'!$A$5:$K$104,2,FALSE())</f>
        <v>Eco Industrial Item 029</v>
      </c>
      <c r="I163" s="20" t="str">
        <f aca="false">VLOOKUP(G163,'Product Master'!$A$5:$K$104,3,FALSE())</f>
        <v>Industrial</v>
      </c>
      <c r="J163" s="17" t="n">
        <v>18</v>
      </c>
      <c r="K163" s="16" t="n">
        <v>10945.72</v>
      </c>
      <c r="L163" s="16" t="n">
        <f aca="false">J163*K163</f>
        <v>197022.96</v>
      </c>
      <c r="M163" s="18" t="s">
        <v>39</v>
      </c>
      <c r="N163" s="25"/>
      <c r="O163" s="25" t="n">
        <v>46162</v>
      </c>
      <c r="P163" s="25"/>
      <c r="Q163" s="17" t="n">
        <f aca="false">IF(P163&lt;&gt;"",MAX(1,P163-B163),IF(M163="Dispatched",MAX(1,O163-B163),0))</f>
        <v>0</v>
      </c>
      <c r="R163" s="17" t="n">
        <f aca="false">IF(M163="Cancelled",0,IF(P163&lt;&gt;"",MAX(0,P163-O163),IF(T163&lt;&gt;"None",MAX(1,O163-B163-2),0)))</f>
        <v>0</v>
      </c>
      <c r="S163" s="18" t="s">
        <v>339</v>
      </c>
      <c r="T163" s="20" t="s">
        <v>317</v>
      </c>
    </row>
    <row r="164" customFormat="false" ht="15" hidden="false" customHeight="false" outlineLevel="0" collapsed="false">
      <c r="A164" s="26" t="s">
        <v>690</v>
      </c>
      <c r="B164" s="34" t="n">
        <v>45969</v>
      </c>
      <c r="C164" s="26" t="s">
        <v>442</v>
      </c>
      <c r="D164" s="27" t="s">
        <v>355</v>
      </c>
      <c r="E164" s="26" t="s">
        <v>107</v>
      </c>
      <c r="F164" s="27" t="s">
        <v>80</v>
      </c>
      <c r="G164" s="26" t="s">
        <v>218</v>
      </c>
      <c r="H164" s="27" t="str">
        <f aca="false">VLOOKUP(G164,'Product Master'!$A$5:$K$104,2,FALSE())</f>
        <v>Eco Automotive Item 024</v>
      </c>
      <c r="I164" s="27" t="str">
        <f aca="false">VLOOKUP(G164,'Product Master'!$A$5:$K$104,3,FALSE())</f>
        <v>Automotive</v>
      </c>
      <c r="J164" s="28" t="n">
        <v>4</v>
      </c>
      <c r="K164" s="29" t="n">
        <v>6053.58</v>
      </c>
      <c r="L164" s="29" t="n">
        <f aca="false">J164*K164</f>
        <v>24214.32</v>
      </c>
      <c r="M164" s="26" t="s">
        <v>35</v>
      </c>
      <c r="N164" s="34" t="n">
        <v>45971</v>
      </c>
      <c r="O164" s="34" t="n">
        <v>45977</v>
      </c>
      <c r="P164" s="34" t="n">
        <v>45985</v>
      </c>
      <c r="Q164" s="28" t="n">
        <f aca="false">IF(P164&lt;&gt;"",MAX(1,P164-B164),IF(M164="Dispatched",MAX(1,O164-B164),0))</f>
        <v>16</v>
      </c>
      <c r="R164" s="28" t="n">
        <f aca="false">IF(M164="Cancelled",0,IF(P164&lt;&gt;"",MAX(0,P164-O164),IF(T164&lt;&gt;"None",MAX(1,O164-B164-2),0)))</f>
        <v>8</v>
      </c>
      <c r="S164" s="26" t="s">
        <v>352</v>
      </c>
      <c r="T164" s="27" t="s">
        <v>112</v>
      </c>
    </row>
    <row r="165" customFormat="false" ht="15" hidden="false" customHeight="false" outlineLevel="0" collapsed="false">
      <c r="A165" s="18" t="s">
        <v>691</v>
      </c>
      <c r="B165" s="25" t="n">
        <v>45933</v>
      </c>
      <c r="C165" s="18" t="s">
        <v>692</v>
      </c>
      <c r="D165" s="20" t="s">
        <v>693</v>
      </c>
      <c r="E165" s="18" t="s">
        <v>111</v>
      </c>
      <c r="F165" s="20" t="s">
        <v>77</v>
      </c>
      <c r="G165" s="18" t="s">
        <v>237</v>
      </c>
      <c r="H165" s="20" t="str">
        <f aca="false">VLOOKUP(G165,'Product Master'!$A$5:$K$104,2,FALSE())</f>
        <v>Eco Office Item 043</v>
      </c>
      <c r="I165" s="20" t="str">
        <f aca="false">VLOOKUP(G165,'Product Master'!$A$5:$K$104,3,FALSE())</f>
        <v>Office Supplies</v>
      </c>
      <c r="J165" s="17" t="n">
        <v>2</v>
      </c>
      <c r="K165" s="16" t="n">
        <v>2525.48</v>
      </c>
      <c r="L165" s="16" t="n">
        <f aca="false">J165*K165</f>
        <v>5050.96</v>
      </c>
      <c r="M165" s="18" t="s">
        <v>35</v>
      </c>
      <c r="N165" s="25" t="n">
        <v>45933</v>
      </c>
      <c r="O165" s="25" t="n">
        <v>45940</v>
      </c>
      <c r="P165" s="25" t="n">
        <v>45940</v>
      </c>
      <c r="Q165" s="17" t="n">
        <f aca="false">IF(P165&lt;&gt;"",MAX(1,P165-B165),IF(M165="Dispatched",MAX(1,O165-B165),0))</f>
        <v>7</v>
      </c>
      <c r="R165" s="17" t="n">
        <f aca="false">IF(M165="Cancelled",0,IF(P165&lt;&gt;"",MAX(0,P165-O165),IF(T165&lt;&gt;"None",MAX(1,O165-B165-2),0)))</f>
        <v>0</v>
      </c>
      <c r="S165" s="18" t="s">
        <v>37</v>
      </c>
      <c r="T165" s="20" t="s">
        <v>317</v>
      </c>
    </row>
    <row r="166" customFormat="false" ht="15" hidden="false" customHeight="false" outlineLevel="0" collapsed="false">
      <c r="A166" s="26" t="s">
        <v>694</v>
      </c>
      <c r="B166" s="34" t="n">
        <v>46093</v>
      </c>
      <c r="C166" s="26" t="s">
        <v>658</v>
      </c>
      <c r="D166" s="27" t="s">
        <v>376</v>
      </c>
      <c r="E166" s="26" t="s">
        <v>107</v>
      </c>
      <c r="F166" s="27" t="s">
        <v>77</v>
      </c>
      <c r="G166" s="26" t="s">
        <v>262</v>
      </c>
      <c r="H166" s="27" t="str">
        <f aca="false">VLOOKUP(G166,'Product Master'!$A$5:$K$104,2,FALSE())</f>
        <v>Compact Personal Item 068</v>
      </c>
      <c r="I166" s="27" t="str">
        <f aca="false">VLOOKUP(G166,'Product Master'!$A$5:$K$104,3,FALSE())</f>
        <v>Personal Care</v>
      </c>
      <c r="J166" s="28" t="n">
        <v>17</v>
      </c>
      <c r="K166" s="29" t="n">
        <v>7446.2</v>
      </c>
      <c r="L166" s="29" t="n">
        <f aca="false">J166*K166</f>
        <v>126585.4</v>
      </c>
      <c r="M166" s="26" t="s">
        <v>35</v>
      </c>
      <c r="N166" s="34" t="n">
        <v>46096</v>
      </c>
      <c r="O166" s="34" t="n">
        <v>46097</v>
      </c>
      <c r="P166" s="34" t="n">
        <v>46105</v>
      </c>
      <c r="Q166" s="28" t="n">
        <f aca="false">IF(P166&lt;&gt;"",MAX(1,P166-B166),IF(M166="Dispatched",MAX(1,O166-B166),0))</f>
        <v>12</v>
      </c>
      <c r="R166" s="28" t="n">
        <f aca="false">IF(M166="Cancelled",0,IF(P166&lt;&gt;"",MAX(0,P166-O166),IF(T166&lt;&gt;"None",MAX(1,O166-B166-2),0)))</f>
        <v>8</v>
      </c>
      <c r="S166" s="26" t="s">
        <v>310</v>
      </c>
      <c r="T166" s="27" t="s">
        <v>110</v>
      </c>
    </row>
    <row r="167" customFormat="false" ht="15" hidden="false" customHeight="false" outlineLevel="0" collapsed="false">
      <c r="A167" s="18" t="s">
        <v>695</v>
      </c>
      <c r="B167" s="25" t="n">
        <v>46040</v>
      </c>
      <c r="C167" s="18" t="s">
        <v>609</v>
      </c>
      <c r="D167" s="20" t="s">
        <v>499</v>
      </c>
      <c r="E167" s="18" t="s">
        <v>109</v>
      </c>
      <c r="F167" s="20" t="s">
        <v>78</v>
      </c>
      <c r="G167" s="18" t="s">
        <v>279</v>
      </c>
      <c r="H167" s="20" t="str">
        <f aca="false">VLOOKUP(G167,'Product Master'!$A$5:$K$104,2,FALSE())</f>
        <v>Classic Industrial Item 085</v>
      </c>
      <c r="I167" s="20" t="str">
        <f aca="false">VLOOKUP(G167,'Product Master'!$A$5:$K$104,3,FALSE())</f>
        <v>Industrial</v>
      </c>
      <c r="J167" s="17" t="n">
        <v>12</v>
      </c>
      <c r="K167" s="16" t="n">
        <v>2284.18</v>
      </c>
      <c r="L167" s="16" t="n">
        <f aca="false">J167*K167</f>
        <v>27410.16</v>
      </c>
      <c r="M167" s="18" t="s">
        <v>35</v>
      </c>
      <c r="N167" s="25" t="n">
        <v>46040</v>
      </c>
      <c r="O167" s="25" t="n">
        <v>46049</v>
      </c>
      <c r="P167" s="25" t="n">
        <v>46047</v>
      </c>
      <c r="Q167" s="17" t="n">
        <f aca="false">IF(P167&lt;&gt;"",MAX(1,P167-B167),IF(M167="Dispatched",MAX(1,O167-B167),0))</f>
        <v>7</v>
      </c>
      <c r="R167" s="17" t="n">
        <f aca="false">IF(M167="Cancelled",0,IF(P167&lt;&gt;"",MAX(0,P167-O167),IF(T167&lt;&gt;"None",MAX(1,O167-B167-2),0)))</f>
        <v>0</v>
      </c>
      <c r="S167" s="18" t="s">
        <v>310</v>
      </c>
      <c r="T167" s="20" t="s">
        <v>317</v>
      </c>
    </row>
    <row r="168" customFormat="false" ht="15" hidden="false" customHeight="false" outlineLevel="0" collapsed="false">
      <c r="A168" s="26" t="s">
        <v>696</v>
      </c>
      <c r="B168" s="34" t="n">
        <v>46259</v>
      </c>
      <c r="C168" s="26" t="s">
        <v>697</v>
      </c>
      <c r="D168" s="27" t="s">
        <v>698</v>
      </c>
      <c r="E168" s="26" t="s">
        <v>113</v>
      </c>
      <c r="F168" s="27" t="s">
        <v>77</v>
      </c>
      <c r="G168" s="26" t="s">
        <v>273</v>
      </c>
      <c r="H168" s="27" t="str">
        <f aca="false">VLOOKUP(G168,'Product Master'!$A$5:$K$104,2,FALSE())</f>
        <v>Essential Apparel Item 079</v>
      </c>
      <c r="I168" s="27" t="str">
        <f aca="false">VLOOKUP(G168,'Product Master'!$A$5:$K$104,3,FALSE())</f>
        <v>Apparel</v>
      </c>
      <c r="J168" s="28" t="n">
        <v>2</v>
      </c>
      <c r="K168" s="29" t="n">
        <v>12867.62</v>
      </c>
      <c r="L168" s="29" t="n">
        <f aca="false">J168*K168</f>
        <v>25735.24</v>
      </c>
      <c r="M168" s="26" t="s">
        <v>37</v>
      </c>
      <c r="N168" s="34"/>
      <c r="O168" s="34" t="n">
        <v>46266</v>
      </c>
      <c r="P168" s="34"/>
      <c r="Q168" s="28" t="n">
        <f aca="false">IF(P168&lt;&gt;"",MAX(1,P168-B168),IF(M168="Dispatched",MAX(1,O168-B168),0))</f>
        <v>0</v>
      </c>
      <c r="R168" s="28" t="n">
        <f aca="false">IF(M168="Cancelled",0,IF(P168&lt;&gt;"",MAX(0,P168-O168),IF(T168&lt;&gt;"None",MAX(1,O168-B168-2),0)))</f>
        <v>5</v>
      </c>
      <c r="S168" s="26" t="s">
        <v>310</v>
      </c>
      <c r="T168" s="27" t="s">
        <v>116</v>
      </c>
    </row>
    <row r="169" customFormat="false" ht="15" hidden="false" customHeight="false" outlineLevel="0" collapsed="false">
      <c r="A169" s="18" t="s">
        <v>699</v>
      </c>
      <c r="B169" s="25" t="n">
        <v>46309</v>
      </c>
      <c r="C169" s="18" t="s">
        <v>674</v>
      </c>
      <c r="D169" s="20" t="s">
        <v>309</v>
      </c>
      <c r="E169" s="18" t="s">
        <v>105</v>
      </c>
      <c r="F169" s="20" t="s">
        <v>80</v>
      </c>
      <c r="G169" s="18" t="s">
        <v>231</v>
      </c>
      <c r="H169" s="20" t="str">
        <f aca="false">VLOOKUP(G169,'Product Master'!$A$5:$K$104,2,FALSE())</f>
        <v>Pro Industrial Item 037</v>
      </c>
      <c r="I169" s="20" t="str">
        <f aca="false">VLOOKUP(G169,'Product Master'!$A$5:$K$104,3,FALSE())</f>
        <v>Industrial</v>
      </c>
      <c r="J169" s="17" t="n">
        <v>25</v>
      </c>
      <c r="K169" s="16" t="n">
        <v>6419.17</v>
      </c>
      <c r="L169" s="16" t="n">
        <f aca="false">J169*K169</f>
        <v>160479.25</v>
      </c>
      <c r="M169" s="18" t="s">
        <v>35</v>
      </c>
      <c r="N169" s="25" t="n">
        <v>46310</v>
      </c>
      <c r="O169" s="25" t="n">
        <v>46313</v>
      </c>
      <c r="P169" s="25" t="n">
        <v>46312</v>
      </c>
      <c r="Q169" s="17" t="n">
        <f aca="false">IF(P169&lt;&gt;"",MAX(1,P169-B169),IF(M169="Dispatched",MAX(1,O169-B169),0))</f>
        <v>3</v>
      </c>
      <c r="R169" s="17" t="n">
        <f aca="false">IF(M169="Cancelled",0,IF(P169&lt;&gt;"",MAX(0,P169-O169),IF(T169&lt;&gt;"None",MAX(1,O169-B169-2),0)))</f>
        <v>0</v>
      </c>
      <c r="S169" s="18" t="s">
        <v>310</v>
      </c>
      <c r="T169" s="20" t="s">
        <v>317</v>
      </c>
    </row>
    <row r="170" customFormat="false" ht="15" hidden="false" customHeight="false" outlineLevel="0" collapsed="false">
      <c r="A170" s="26" t="s">
        <v>700</v>
      </c>
      <c r="B170" s="34" t="n">
        <v>45980</v>
      </c>
      <c r="C170" s="26" t="s">
        <v>618</v>
      </c>
      <c r="D170" s="27" t="s">
        <v>536</v>
      </c>
      <c r="E170" s="26" t="s">
        <v>113</v>
      </c>
      <c r="F170" s="27" t="s">
        <v>80</v>
      </c>
      <c r="G170" s="26" t="s">
        <v>216</v>
      </c>
      <c r="H170" s="27" t="str">
        <f aca="false">VLOOKUP(G170,'Product Master'!$A$5:$K$104,2,FALSE())</f>
        <v>Smart Packaging Item 022</v>
      </c>
      <c r="I170" s="27" t="str">
        <f aca="false">VLOOKUP(G170,'Product Master'!$A$5:$K$104,3,FALSE())</f>
        <v>Packaging</v>
      </c>
      <c r="J170" s="28" t="n">
        <v>1</v>
      </c>
      <c r="K170" s="29" t="n">
        <v>1054.05</v>
      </c>
      <c r="L170" s="29" t="n">
        <f aca="false">J170*K170</f>
        <v>1054.05</v>
      </c>
      <c r="M170" s="26" t="s">
        <v>37</v>
      </c>
      <c r="N170" s="34"/>
      <c r="O170" s="34" t="n">
        <v>45985</v>
      </c>
      <c r="P170" s="34"/>
      <c r="Q170" s="28" t="n">
        <f aca="false">IF(P170&lt;&gt;"",MAX(1,P170-B170),IF(M170="Dispatched",MAX(1,O170-B170),0))</f>
        <v>0</v>
      </c>
      <c r="R170" s="28" t="n">
        <f aca="false">IF(M170="Cancelled",0,IF(P170&lt;&gt;"",MAX(0,P170-O170),IF(T170&lt;&gt;"None",MAX(1,O170-B170-2),0)))</f>
        <v>3</v>
      </c>
      <c r="S170" s="26" t="s">
        <v>310</v>
      </c>
      <c r="T170" s="27" t="s">
        <v>106</v>
      </c>
    </row>
    <row r="171" customFormat="false" ht="15" hidden="false" customHeight="false" outlineLevel="0" collapsed="false">
      <c r="A171" s="18" t="s">
        <v>701</v>
      </c>
      <c r="B171" s="25" t="n">
        <v>45984</v>
      </c>
      <c r="C171" s="18" t="s">
        <v>462</v>
      </c>
      <c r="D171" s="20" t="s">
        <v>702</v>
      </c>
      <c r="E171" s="18" t="s">
        <v>113</v>
      </c>
      <c r="F171" s="20" t="s">
        <v>79</v>
      </c>
      <c r="G171" s="18" t="s">
        <v>221</v>
      </c>
      <c r="H171" s="20" t="str">
        <f aca="false">VLOOKUP(G171,'Product Master'!$A$5:$K$104,2,FALSE())</f>
        <v>Premium Office Item 027</v>
      </c>
      <c r="I171" s="20" t="str">
        <f aca="false">VLOOKUP(G171,'Product Master'!$A$5:$K$104,3,FALSE())</f>
        <v>Office Supplies</v>
      </c>
      <c r="J171" s="17" t="n">
        <v>21</v>
      </c>
      <c r="K171" s="16" t="n">
        <v>8360.14</v>
      </c>
      <c r="L171" s="16" t="n">
        <f aca="false">J171*K171</f>
        <v>175562.94</v>
      </c>
      <c r="M171" s="18" t="s">
        <v>39</v>
      </c>
      <c r="N171" s="25"/>
      <c r="O171" s="25" t="n">
        <v>45987</v>
      </c>
      <c r="P171" s="25"/>
      <c r="Q171" s="17" t="n">
        <f aca="false">IF(P171&lt;&gt;"",MAX(1,P171-B171),IF(M171="Dispatched",MAX(1,O171-B171),0))</f>
        <v>0</v>
      </c>
      <c r="R171" s="17" t="n">
        <f aca="false">IF(M171="Cancelled",0,IF(P171&lt;&gt;"",MAX(0,P171-O171),IF(T171&lt;&gt;"None",MAX(1,O171-B171-2),0)))</f>
        <v>0</v>
      </c>
      <c r="S171" s="18" t="s">
        <v>310</v>
      </c>
      <c r="T171" s="20" t="s">
        <v>317</v>
      </c>
    </row>
    <row r="172" customFormat="false" ht="15" hidden="false" customHeight="false" outlineLevel="0" collapsed="false">
      <c r="A172" s="26" t="s">
        <v>703</v>
      </c>
      <c r="B172" s="34" t="n">
        <v>45975</v>
      </c>
      <c r="C172" s="26" t="s">
        <v>704</v>
      </c>
      <c r="D172" s="27" t="s">
        <v>705</v>
      </c>
      <c r="E172" s="26" t="s">
        <v>105</v>
      </c>
      <c r="F172" s="27" t="s">
        <v>77</v>
      </c>
      <c r="G172" s="26" t="s">
        <v>204</v>
      </c>
      <c r="H172" s="27" t="str">
        <f aca="false">VLOOKUP(G172,'Product Master'!$A$5:$K$104,2,FALSE())</f>
        <v>Essential Home Item 010</v>
      </c>
      <c r="I172" s="27" t="str">
        <f aca="false">VLOOKUP(G172,'Product Master'!$A$5:$K$104,3,FALSE())</f>
        <v>Home &amp; Kitchen</v>
      </c>
      <c r="J172" s="28" t="n">
        <v>9</v>
      </c>
      <c r="K172" s="29" t="n">
        <v>7388.75</v>
      </c>
      <c r="L172" s="29" t="n">
        <f aca="false">J172*K172</f>
        <v>66498.75</v>
      </c>
      <c r="M172" s="26" t="s">
        <v>35</v>
      </c>
      <c r="N172" s="34" t="n">
        <v>45977</v>
      </c>
      <c r="O172" s="34" t="n">
        <v>45980</v>
      </c>
      <c r="P172" s="34" t="n">
        <v>45982</v>
      </c>
      <c r="Q172" s="28" t="n">
        <f aca="false">IF(P172&lt;&gt;"",MAX(1,P172-B172),IF(M172="Dispatched",MAX(1,O172-B172),0))</f>
        <v>7</v>
      </c>
      <c r="R172" s="28" t="n">
        <f aca="false">IF(M172="Cancelled",0,IF(P172&lt;&gt;"",MAX(0,P172-O172),IF(T172&lt;&gt;"None",MAX(1,O172-B172-2),0)))</f>
        <v>2</v>
      </c>
      <c r="S172" s="26" t="s">
        <v>310</v>
      </c>
      <c r="T172" s="27" t="s">
        <v>114</v>
      </c>
    </row>
    <row r="173" customFormat="false" ht="15" hidden="false" customHeight="false" outlineLevel="0" collapsed="false">
      <c r="A173" s="18" t="s">
        <v>706</v>
      </c>
      <c r="B173" s="25" t="n">
        <v>46130</v>
      </c>
      <c r="C173" s="18" t="s">
        <v>707</v>
      </c>
      <c r="D173" s="20" t="s">
        <v>708</v>
      </c>
      <c r="E173" s="18" t="s">
        <v>105</v>
      </c>
      <c r="F173" s="20" t="s">
        <v>80</v>
      </c>
      <c r="G173" s="18" t="s">
        <v>281</v>
      </c>
      <c r="H173" s="20" t="str">
        <f aca="false">VLOOKUP(G173,'Product Master'!$A$5:$K$104,2,FALSE())</f>
        <v>Compact Apparel Item 087</v>
      </c>
      <c r="I173" s="20" t="str">
        <f aca="false">VLOOKUP(G173,'Product Master'!$A$5:$K$104,3,FALSE())</f>
        <v>Apparel</v>
      </c>
      <c r="J173" s="17" t="n">
        <v>1</v>
      </c>
      <c r="K173" s="16" t="n">
        <v>8400.02</v>
      </c>
      <c r="L173" s="16" t="n">
        <f aca="false">J173*K173</f>
        <v>8400.02</v>
      </c>
      <c r="M173" s="18" t="s">
        <v>37</v>
      </c>
      <c r="N173" s="25"/>
      <c r="O173" s="25" t="n">
        <v>46133</v>
      </c>
      <c r="P173" s="25"/>
      <c r="Q173" s="17" t="n">
        <f aca="false">IF(P173&lt;&gt;"",MAX(1,P173-B173),IF(M173="Dispatched",MAX(1,O173-B173),0))</f>
        <v>0</v>
      </c>
      <c r="R173" s="17" t="n">
        <f aca="false">IF(M173="Cancelled",0,IF(P173&lt;&gt;"",MAX(0,P173-O173),IF(T173&lt;&gt;"None",MAX(1,O173-B173-2),0)))</f>
        <v>0</v>
      </c>
      <c r="S173" s="18" t="s">
        <v>352</v>
      </c>
      <c r="T173" s="20" t="s">
        <v>317</v>
      </c>
    </row>
    <row r="174" customFormat="false" ht="15" hidden="false" customHeight="false" outlineLevel="0" collapsed="false">
      <c r="A174" s="26" t="s">
        <v>709</v>
      </c>
      <c r="B174" s="34" t="n">
        <v>46114</v>
      </c>
      <c r="C174" s="26" t="s">
        <v>710</v>
      </c>
      <c r="D174" s="27" t="s">
        <v>711</v>
      </c>
      <c r="E174" s="26" t="s">
        <v>105</v>
      </c>
      <c r="F174" s="27" t="s">
        <v>78</v>
      </c>
      <c r="G174" s="26" t="s">
        <v>259</v>
      </c>
      <c r="H174" s="27" t="str">
        <f aca="false">VLOOKUP(G174,'Product Master'!$A$5:$K$104,2,FALSE())</f>
        <v>Compact Electronics Item 065</v>
      </c>
      <c r="I174" s="27" t="str">
        <f aca="false">VLOOKUP(G174,'Product Master'!$A$5:$K$104,3,FALSE())</f>
        <v>Electronics</v>
      </c>
      <c r="J174" s="28" t="n">
        <v>22</v>
      </c>
      <c r="K174" s="29" t="n">
        <v>7172.77</v>
      </c>
      <c r="L174" s="29" t="n">
        <f aca="false">J174*K174</f>
        <v>157800.94</v>
      </c>
      <c r="M174" s="26" t="s">
        <v>35</v>
      </c>
      <c r="N174" s="34" t="n">
        <v>46116</v>
      </c>
      <c r="O174" s="34" t="n">
        <v>46117</v>
      </c>
      <c r="P174" s="34" t="n">
        <v>46121</v>
      </c>
      <c r="Q174" s="28" t="n">
        <f aca="false">IF(P174&lt;&gt;"",MAX(1,P174-B174),IF(M174="Dispatched",MAX(1,O174-B174),0))</f>
        <v>7</v>
      </c>
      <c r="R174" s="28" t="n">
        <f aca="false">IF(M174="Cancelled",0,IF(P174&lt;&gt;"",MAX(0,P174-O174),IF(T174&lt;&gt;"None",MAX(1,O174-B174-2),0)))</f>
        <v>4</v>
      </c>
      <c r="S174" s="26" t="s">
        <v>310</v>
      </c>
      <c r="T174" s="27" t="s">
        <v>114</v>
      </c>
    </row>
    <row r="175" customFormat="false" ht="15" hidden="false" customHeight="false" outlineLevel="0" collapsed="false">
      <c r="A175" s="18" t="s">
        <v>712</v>
      </c>
      <c r="B175" s="25" t="n">
        <v>46043</v>
      </c>
      <c r="C175" s="18" t="s">
        <v>354</v>
      </c>
      <c r="D175" s="20" t="s">
        <v>358</v>
      </c>
      <c r="E175" s="18" t="s">
        <v>111</v>
      </c>
      <c r="F175" s="20" t="s">
        <v>80</v>
      </c>
      <c r="G175" s="18" t="s">
        <v>212</v>
      </c>
      <c r="H175" s="20" t="str">
        <f aca="false">VLOOKUP(G175,'Product Master'!$A$5:$K$104,2,FALSE())</f>
        <v>Smart Home Item 018</v>
      </c>
      <c r="I175" s="20" t="str">
        <f aca="false">VLOOKUP(G175,'Product Master'!$A$5:$K$104,3,FALSE())</f>
        <v>Home &amp; Kitchen</v>
      </c>
      <c r="J175" s="17" t="n">
        <v>10</v>
      </c>
      <c r="K175" s="16" t="n">
        <v>5693.61</v>
      </c>
      <c r="L175" s="16" t="n">
        <f aca="false">J175*K175</f>
        <v>56936.1</v>
      </c>
      <c r="M175" s="18" t="s">
        <v>43</v>
      </c>
      <c r="N175" s="25"/>
      <c r="O175" s="25" t="n">
        <v>46047</v>
      </c>
      <c r="P175" s="25"/>
      <c r="Q175" s="17" t="n">
        <f aca="false">IF(P175&lt;&gt;"",MAX(1,P175-B175),IF(M175="Dispatched",MAX(1,O175-B175),0))</f>
        <v>0</v>
      </c>
      <c r="R175" s="17" t="n">
        <f aca="false">IF(M175="Cancelled",0,IF(P175&lt;&gt;"",MAX(0,P175-O175),IF(T175&lt;&gt;"None",MAX(1,O175-B175-2),0)))</f>
        <v>0</v>
      </c>
      <c r="S175" s="18" t="s">
        <v>310</v>
      </c>
      <c r="T175" s="20" t="s">
        <v>411</v>
      </c>
    </row>
    <row r="176" customFormat="false" ht="15" hidden="false" customHeight="false" outlineLevel="0" collapsed="false">
      <c r="A176" s="26" t="s">
        <v>713</v>
      </c>
      <c r="B176" s="34" t="n">
        <v>46215</v>
      </c>
      <c r="C176" s="26" t="s">
        <v>676</v>
      </c>
      <c r="D176" s="27" t="s">
        <v>714</v>
      </c>
      <c r="E176" s="26" t="s">
        <v>105</v>
      </c>
      <c r="F176" s="27" t="s">
        <v>76</v>
      </c>
      <c r="G176" s="26" t="s">
        <v>213</v>
      </c>
      <c r="H176" s="27" t="str">
        <f aca="false">VLOOKUP(G176,'Product Master'!$A$5:$K$104,2,FALSE())</f>
        <v>Everyday Office Item 019</v>
      </c>
      <c r="I176" s="27" t="str">
        <f aca="false">VLOOKUP(G176,'Product Master'!$A$5:$K$104,3,FALSE())</f>
        <v>Office Supplies</v>
      </c>
      <c r="J176" s="28" t="n">
        <v>1</v>
      </c>
      <c r="K176" s="29" t="n">
        <v>3354.66</v>
      </c>
      <c r="L176" s="29" t="n">
        <f aca="false">J176*K176</f>
        <v>3354.66</v>
      </c>
      <c r="M176" s="26" t="s">
        <v>35</v>
      </c>
      <c r="N176" s="34" t="n">
        <v>46215</v>
      </c>
      <c r="O176" s="34" t="n">
        <v>46223</v>
      </c>
      <c r="P176" s="34" t="n">
        <v>46223</v>
      </c>
      <c r="Q176" s="28" t="n">
        <f aca="false">IF(P176&lt;&gt;"",MAX(1,P176-B176),IF(M176="Dispatched",MAX(1,O176-B176),0))</f>
        <v>8</v>
      </c>
      <c r="R176" s="28" t="n">
        <f aca="false">IF(M176="Cancelled",0,IF(P176&lt;&gt;"",MAX(0,P176-O176),IF(T176&lt;&gt;"None",MAX(1,O176-B176-2),0)))</f>
        <v>0</v>
      </c>
      <c r="S176" s="26" t="s">
        <v>310</v>
      </c>
      <c r="T176" s="27" t="s">
        <v>317</v>
      </c>
    </row>
    <row r="177" customFormat="false" ht="15" hidden="false" customHeight="false" outlineLevel="0" collapsed="false">
      <c r="A177" s="18" t="s">
        <v>715</v>
      </c>
      <c r="B177" s="25" t="n">
        <v>46261</v>
      </c>
      <c r="C177" s="18" t="s">
        <v>716</v>
      </c>
      <c r="D177" s="20" t="s">
        <v>313</v>
      </c>
      <c r="E177" s="18" t="s">
        <v>107</v>
      </c>
      <c r="F177" s="20" t="s">
        <v>77</v>
      </c>
      <c r="G177" s="18" t="s">
        <v>260</v>
      </c>
      <c r="H177" s="20" t="str">
        <f aca="false">VLOOKUP(G177,'Product Master'!$A$5:$K$104,2,FALSE())</f>
        <v>Classic Home Item 066</v>
      </c>
      <c r="I177" s="20" t="str">
        <f aca="false">VLOOKUP(G177,'Product Master'!$A$5:$K$104,3,FALSE())</f>
        <v>Home &amp; Kitchen</v>
      </c>
      <c r="J177" s="17" t="n">
        <v>6</v>
      </c>
      <c r="K177" s="16" t="n">
        <v>6905.96</v>
      </c>
      <c r="L177" s="16" t="n">
        <f aca="false">J177*K177</f>
        <v>41435.76</v>
      </c>
      <c r="M177" s="18" t="s">
        <v>35</v>
      </c>
      <c r="N177" s="25" t="n">
        <v>46262</v>
      </c>
      <c r="O177" s="25" t="n">
        <v>46267</v>
      </c>
      <c r="P177" s="25" t="n">
        <v>46265</v>
      </c>
      <c r="Q177" s="17" t="n">
        <f aca="false">IF(P177&lt;&gt;"",MAX(1,P177-B177),IF(M177="Dispatched",MAX(1,O177-B177),0))</f>
        <v>4</v>
      </c>
      <c r="R177" s="17" t="n">
        <f aca="false">IF(M177="Cancelled",0,IF(P177&lt;&gt;"",MAX(0,P177-O177),IF(T177&lt;&gt;"None",MAX(1,O177-B177-2),0)))</f>
        <v>0</v>
      </c>
      <c r="S177" s="18" t="s">
        <v>37</v>
      </c>
      <c r="T177" s="20" t="s">
        <v>317</v>
      </c>
    </row>
    <row r="178" customFormat="false" ht="15" hidden="false" customHeight="false" outlineLevel="0" collapsed="false">
      <c r="A178" s="26" t="s">
        <v>717</v>
      </c>
      <c r="B178" s="34" t="n">
        <v>46212</v>
      </c>
      <c r="C178" s="26" t="s">
        <v>325</v>
      </c>
      <c r="D178" s="27" t="s">
        <v>626</v>
      </c>
      <c r="E178" s="26" t="s">
        <v>113</v>
      </c>
      <c r="F178" s="27" t="s">
        <v>76</v>
      </c>
      <c r="G178" s="26" t="s">
        <v>254</v>
      </c>
      <c r="H178" s="27" t="str">
        <f aca="false">VLOOKUP(G178,'Product Master'!$A$5:$K$104,2,FALSE())</f>
        <v>Smart Personal Item 060</v>
      </c>
      <c r="I178" s="27" t="str">
        <f aca="false">VLOOKUP(G178,'Product Master'!$A$5:$K$104,3,FALSE())</f>
        <v>Personal Care</v>
      </c>
      <c r="J178" s="28" t="n">
        <v>10</v>
      </c>
      <c r="K178" s="29" t="n">
        <v>4626.27</v>
      </c>
      <c r="L178" s="29" t="n">
        <f aca="false">J178*K178</f>
        <v>46262.7</v>
      </c>
      <c r="M178" s="26" t="s">
        <v>37</v>
      </c>
      <c r="N178" s="34"/>
      <c r="O178" s="34" t="n">
        <v>46218</v>
      </c>
      <c r="P178" s="34"/>
      <c r="Q178" s="28" t="n">
        <f aca="false">IF(P178&lt;&gt;"",MAX(1,P178-B178),IF(M178="Dispatched",MAX(1,O178-B178),0))</f>
        <v>0</v>
      </c>
      <c r="R178" s="28" t="n">
        <f aca="false">IF(M178="Cancelled",0,IF(P178&lt;&gt;"",MAX(0,P178-O178),IF(T178&lt;&gt;"None",MAX(1,O178-B178-2),0)))</f>
        <v>4</v>
      </c>
      <c r="S178" s="26" t="s">
        <v>310</v>
      </c>
      <c r="T178" s="27" t="s">
        <v>108</v>
      </c>
    </row>
    <row r="179" customFormat="false" ht="15" hidden="false" customHeight="false" outlineLevel="0" collapsed="false">
      <c r="A179" s="18" t="s">
        <v>718</v>
      </c>
      <c r="B179" s="25" t="n">
        <v>46274</v>
      </c>
      <c r="C179" s="18" t="s">
        <v>416</v>
      </c>
      <c r="D179" s="20" t="s">
        <v>335</v>
      </c>
      <c r="E179" s="18" t="s">
        <v>107</v>
      </c>
      <c r="F179" s="20" t="s">
        <v>76</v>
      </c>
      <c r="G179" s="18" t="s">
        <v>278</v>
      </c>
      <c r="H179" s="20" t="str">
        <f aca="false">VLOOKUP(G179,'Product Master'!$A$5:$K$104,2,FALSE())</f>
        <v>Eco Personal Item 084</v>
      </c>
      <c r="I179" s="20" t="str">
        <f aca="false">VLOOKUP(G179,'Product Master'!$A$5:$K$104,3,FALSE())</f>
        <v>Personal Care</v>
      </c>
      <c r="J179" s="17" t="n">
        <v>10</v>
      </c>
      <c r="K179" s="16" t="n">
        <v>4628.26</v>
      </c>
      <c r="L179" s="16" t="n">
        <f aca="false">J179*K179</f>
        <v>46282.6</v>
      </c>
      <c r="M179" s="18" t="s">
        <v>37</v>
      </c>
      <c r="N179" s="25"/>
      <c r="O179" s="25" t="n">
        <v>46279</v>
      </c>
      <c r="P179" s="25"/>
      <c r="Q179" s="17" t="n">
        <f aca="false">IF(P179&lt;&gt;"",MAX(1,P179-B179),IF(M179="Dispatched",MAX(1,O179-B179),0))</f>
        <v>0</v>
      </c>
      <c r="R179" s="17" t="n">
        <f aca="false">IF(M179="Cancelled",0,IF(P179&lt;&gt;"",MAX(0,P179-O179),IF(T179&lt;&gt;"None",MAX(1,O179-B179-2),0)))</f>
        <v>0</v>
      </c>
      <c r="S179" s="18" t="s">
        <v>310</v>
      </c>
      <c r="T179" s="20" t="s">
        <v>317</v>
      </c>
    </row>
    <row r="180" customFormat="false" ht="15" hidden="false" customHeight="false" outlineLevel="0" collapsed="false">
      <c r="A180" s="26" t="s">
        <v>719</v>
      </c>
      <c r="B180" s="34" t="n">
        <v>46087</v>
      </c>
      <c r="C180" s="26" t="s">
        <v>366</v>
      </c>
      <c r="D180" s="27" t="s">
        <v>326</v>
      </c>
      <c r="E180" s="26" t="s">
        <v>113</v>
      </c>
      <c r="F180" s="27" t="s">
        <v>77</v>
      </c>
      <c r="G180" s="26" t="s">
        <v>283</v>
      </c>
      <c r="H180" s="27" t="str">
        <f aca="false">VLOOKUP(G180,'Product Master'!$A$5:$K$104,2,FALSE())</f>
        <v>Everyday Electronics Item 089</v>
      </c>
      <c r="I180" s="27" t="str">
        <f aca="false">VLOOKUP(G180,'Product Master'!$A$5:$K$104,3,FALSE())</f>
        <v>Electronics</v>
      </c>
      <c r="J180" s="28" t="n">
        <v>19</v>
      </c>
      <c r="K180" s="29" t="n">
        <v>2282.32</v>
      </c>
      <c r="L180" s="29" t="n">
        <f aca="false">J180*K180</f>
        <v>43364.08</v>
      </c>
      <c r="M180" s="26" t="s">
        <v>35</v>
      </c>
      <c r="N180" s="34" t="n">
        <v>46090</v>
      </c>
      <c r="O180" s="34" t="n">
        <v>46094</v>
      </c>
      <c r="P180" s="34" t="n">
        <v>46093</v>
      </c>
      <c r="Q180" s="28" t="n">
        <f aca="false">IF(P180&lt;&gt;"",MAX(1,P180-B180),IF(M180="Dispatched",MAX(1,O180-B180),0))</f>
        <v>6</v>
      </c>
      <c r="R180" s="28" t="n">
        <f aca="false">IF(M180="Cancelled",0,IF(P180&lt;&gt;"",MAX(0,P180-O180),IF(T180&lt;&gt;"None",MAX(1,O180-B180-2),0)))</f>
        <v>0</v>
      </c>
      <c r="S180" s="26" t="s">
        <v>37</v>
      </c>
      <c r="T180" s="27" t="s">
        <v>317</v>
      </c>
    </row>
    <row r="181" customFormat="false" ht="15" hidden="false" customHeight="false" outlineLevel="0" collapsed="false">
      <c r="A181" s="18" t="s">
        <v>720</v>
      </c>
      <c r="B181" s="25" t="n">
        <v>46295</v>
      </c>
      <c r="C181" s="18" t="s">
        <v>721</v>
      </c>
      <c r="D181" s="20" t="s">
        <v>367</v>
      </c>
      <c r="E181" s="18" t="s">
        <v>111</v>
      </c>
      <c r="F181" s="20" t="s">
        <v>78</v>
      </c>
      <c r="G181" s="18" t="s">
        <v>289</v>
      </c>
      <c r="H181" s="20" t="str">
        <f aca="false">VLOOKUP(G181,'Product Master'!$A$5:$K$104,2,FALSE())</f>
        <v>Eco Apparel Item 095</v>
      </c>
      <c r="I181" s="20" t="str">
        <f aca="false">VLOOKUP(G181,'Product Master'!$A$5:$K$104,3,FALSE())</f>
        <v>Apparel</v>
      </c>
      <c r="J181" s="17" t="n">
        <v>12</v>
      </c>
      <c r="K181" s="16" t="n">
        <v>2884.81</v>
      </c>
      <c r="L181" s="16" t="n">
        <f aca="false">J181*K181</f>
        <v>34617.72</v>
      </c>
      <c r="M181" s="18" t="s">
        <v>35</v>
      </c>
      <c r="N181" s="25" t="n">
        <v>46298</v>
      </c>
      <c r="O181" s="25" t="n">
        <v>46302</v>
      </c>
      <c r="P181" s="25" t="n">
        <v>46306</v>
      </c>
      <c r="Q181" s="17" t="n">
        <f aca="false">IF(P181&lt;&gt;"",MAX(1,P181-B181),IF(M181="Dispatched",MAX(1,O181-B181),0))</f>
        <v>11</v>
      </c>
      <c r="R181" s="17" t="n">
        <f aca="false">IF(M181="Cancelled",0,IF(P181&lt;&gt;"",MAX(0,P181-O181),IF(T181&lt;&gt;"None",MAX(1,O181-B181-2),0)))</f>
        <v>4</v>
      </c>
      <c r="S181" s="18" t="s">
        <v>310</v>
      </c>
      <c r="T181" s="20" t="s">
        <v>114</v>
      </c>
    </row>
    <row r="182" customFormat="false" ht="15" hidden="false" customHeight="false" outlineLevel="0" collapsed="false">
      <c r="A182" s="26" t="s">
        <v>722</v>
      </c>
      <c r="B182" s="34" t="n">
        <v>46020</v>
      </c>
      <c r="C182" s="26" t="s">
        <v>723</v>
      </c>
      <c r="D182" s="27" t="s">
        <v>450</v>
      </c>
      <c r="E182" s="26" t="s">
        <v>113</v>
      </c>
      <c r="F182" s="27" t="s">
        <v>76</v>
      </c>
      <c r="G182" s="26" t="s">
        <v>277</v>
      </c>
      <c r="H182" s="27" t="str">
        <f aca="false">VLOOKUP(G182,'Product Master'!$A$5:$K$104,2,FALSE())</f>
        <v>Essential Office Item 083</v>
      </c>
      <c r="I182" s="27" t="str">
        <f aca="false">VLOOKUP(G182,'Product Master'!$A$5:$K$104,3,FALSE())</f>
        <v>Office Supplies</v>
      </c>
      <c r="J182" s="28" t="n">
        <v>9</v>
      </c>
      <c r="K182" s="29" t="n">
        <v>4117.89</v>
      </c>
      <c r="L182" s="29" t="n">
        <f aca="false">J182*K182</f>
        <v>37061.01</v>
      </c>
      <c r="M182" s="26" t="s">
        <v>41</v>
      </c>
      <c r="N182" s="34" t="n">
        <v>46021</v>
      </c>
      <c r="O182" s="34" t="n">
        <v>46024</v>
      </c>
      <c r="P182" s="34"/>
      <c r="Q182" s="28" t="n">
        <f aca="false">IF(P182&lt;&gt;"",MAX(1,P182-B182),IF(M182="Dispatched",MAX(1,O182-B182),0))</f>
        <v>4</v>
      </c>
      <c r="R182" s="28" t="n">
        <f aca="false">IF(M182="Cancelled",0,IF(P182&lt;&gt;"",MAX(0,P182-O182),IF(T182&lt;&gt;"None",MAX(1,O182-B182-2),0)))</f>
        <v>0</v>
      </c>
      <c r="S182" s="26" t="s">
        <v>310</v>
      </c>
      <c r="T182" s="27" t="s">
        <v>317</v>
      </c>
    </row>
    <row r="183" customFormat="false" ht="15" hidden="false" customHeight="false" outlineLevel="0" collapsed="false">
      <c r="A183" s="18" t="s">
        <v>724</v>
      </c>
      <c r="B183" s="25" t="n">
        <v>45940</v>
      </c>
      <c r="C183" s="18" t="s">
        <v>725</v>
      </c>
      <c r="D183" s="20" t="s">
        <v>466</v>
      </c>
      <c r="E183" s="18" t="s">
        <v>105</v>
      </c>
      <c r="F183" s="20" t="s">
        <v>80</v>
      </c>
      <c r="G183" s="18" t="s">
        <v>259</v>
      </c>
      <c r="H183" s="20" t="str">
        <f aca="false">VLOOKUP(G183,'Product Master'!$A$5:$K$104,2,FALSE())</f>
        <v>Compact Electronics Item 065</v>
      </c>
      <c r="I183" s="20" t="str">
        <f aca="false">VLOOKUP(G183,'Product Master'!$A$5:$K$104,3,FALSE())</f>
        <v>Electronics</v>
      </c>
      <c r="J183" s="17" t="n">
        <v>19</v>
      </c>
      <c r="K183" s="16" t="n">
        <v>7172.77</v>
      </c>
      <c r="L183" s="16" t="n">
        <f aca="false">J183*K183</f>
        <v>136282.63</v>
      </c>
      <c r="M183" s="18" t="s">
        <v>35</v>
      </c>
      <c r="N183" s="25" t="n">
        <v>45940</v>
      </c>
      <c r="O183" s="25" t="n">
        <v>45945</v>
      </c>
      <c r="P183" s="25" t="n">
        <v>45953</v>
      </c>
      <c r="Q183" s="17" t="n">
        <f aca="false">IF(P183&lt;&gt;"",MAX(1,P183-B183),IF(M183="Dispatched",MAX(1,O183-B183),0))</f>
        <v>13</v>
      </c>
      <c r="R183" s="17" t="n">
        <f aca="false">IF(M183="Cancelled",0,IF(P183&lt;&gt;"",MAX(0,P183-O183),IF(T183&lt;&gt;"None",MAX(1,O183-B183-2),0)))</f>
        <v>8</v>
      </c>
      <c r="S183" s="18" t="s">
        <v>37</v>
      </c>
      <c r="T183" s="20" t="s">
        <v>112</v>
      </c>
    </row>
    <row r="184" customFormat="false" ht="15" hidden="false" customHeight="false" outlineLevel="0" collapsed="false">
      <c r="A184" s="26" t="s">
        <v>726</v>
      </c>
      <c r="B184" s="34" t="n">
        <v>46118</v>
      </c>
      <c r="C184" s="26" t="s">
        <v>357</v>
      </c>
      <c r="D184" s="27" t="s">
        <v>437</v>
      </c>
      <c r="E184" s="26" t="s">
        <v>107</v>
      </c>
      <c r="F184" s="27" t="s">
        <v>80</v>
      </c>
      <c r="G184" s="26" t="s">
        <v>245</v>
      </c>
      <c r="H184" s="27" t="str">
        <f aca="false">VLOOKUP(G184,'Product Master'!$A$5:$K$104,2,FALSE())</f>
        <v>Classic Office Item 051</v>
      </c>
      <c r="I184" s="27" t="str">
        <f aca="false">VLOOKUP(G184,'Product Master'!$A$5:$K$104,3,FALSE())</f>
        <v>Office Supplies</v>
      </c>
      <c r="J184" s="28" t="n">
        <v>24</v>
      </c>
      <c r="K184" s="29" t="n">
        <v>4705.56</v>
      </c>
      <c r="L184" s="29" t="n">
        <f aca="false">J184*K184</f>
        <v>112933.44</v>
      </c>
      <c r="M184" s="26" t="s">
        <v>41</v>
      </c>
      <c r="N184" s="34" t="n">
        <v>46121</v>
      </c>
      <c r="O184" s="34" t="n">
        <v>46122</v>
      </c>
      <c r="P184" s="34"/>
      <c r="Q184" s="28" t="n">
        <f aca="false">IF(P184&lt;&gt;"",MAX(1,P184-B184),IF(M184="Dispatched",MAX(1,O184-B184),0))</f>
        <v>4</v>
      </c>
      <c r="R184" s="28" t="n">
        <f aca="false">IF(M184="Cancelled",0,IF(P184&lt;&gt;"",MAX(0,P184-O184),IF(T184&lt;&gt;"None",MAX(1,O184-B184-2),0)))</f>
        <v>0</v>
      </c>
      <c r="S184" s="26" t="s">
        <v>310</v>
      </c>
      <c r="T184" s="27" t="s">
        <v>317</v>
      </c>
    </row>
    <row r="185" customFormat="false" ht="15" hidden="false" customHeight="false" outlineLevel="0" collapsed="false">
      <c r="A185" s="18" t="s">
        <v>727</v>
      </c>
      <c r="B185" s="25" t="n">
        <v>45936</v>
      </c>
      <c r="C185" s="18" t="s">
        <v>728</v>
      </c>
      <c r="D185" s="20" t="s">
        <v>388</v>
      </c>
      <c r="E185" s="18" t="s">
        <v>107</v>
      </c>
      <c r="F185" s="20" t="s">
        <v>80</v>
      </c>
      <c r="G185" s="18" t="s">
        <v>279</v>
      </c>
      <c r="H185" s="20" t="str">
        <f aca="false">VLOOKUP(G185,'Product Master'!$A$5:$K$104,2,FALSE())</f>
        <v>Classic Industrial Item 085</v>
      </c>
      <c r="I185" s="20" t="str">
        <f aca="false">VLOOKUP(G185,'Product Master'!$A$5:$K$104,3,FALSE())</f>
        <v>Industrial</v>
      </c>
      <c r="J185" s="17" t="n">
        <v>22</v>
      </c>
      <c r="K185" s="16" t="n">
        <v>2284.18</v>
      </c>
      <c r="L185" s="16" t="n">
        <f aca="false">J185*K185</f>
        <v>50251.96</v>
      </c>
      <c r="M185" s="18" t="s">
        <v>35</v>
      </c>
      <c r="N185" s="25" t="n">
        <v>45939</v>
      </c>
      <c r="O185" s="25" t="n">
        <v>45940</v>
      </c>
      <c r="P185" s="25" t="n">
        <v>45939</v>
      </c>
      <c r="Q185" s="17" t="n">
        <f aca="false">IF(P185&lt;&gt;"",MAX(1,P185-B185),IF(M185="Dispatched",MAX(1,O185-B185),0))</f>
        <v>3</v>
      </c>
      <c r="R185" s="17" t="n">
        <f aca="false">IF(M185="Cancelled",0,IF(P185&lt;&gt;"",MAX(0,P185-O185),IF(T185&lt;&gt;"None",MAX(1,O185-B185-2),0)))</f>
        <v>0</v>
      </c>
      <c r="S185" s="18" t="s">
        <v>37</v>
      </c>
      <c r="T185" s="20" t="s">
        <v>317</v>
      </c>
    </row>
    <row r="186" customFormat="false" ht="15" hidden="false" customHeight="false" outlineLevel="0" collapsed="false">
      <c r="A186" s="26" t="s">
        <v>729</v>
      </c>
      <c r="B186" s="34" t="n">
        <v>46114</v>
      </c>
      <c r="C186" s="26" t="s">
        <v>609</v>
      </c>
      <c r="D186" s="27" t="s">
        <v>497</v>
      </c>
      <c r="E186" s="26" t="s">
        <v>107</v>
      </c>
      <c r="F186" s="27" t="s">
        <v>79</v>
      </c>
      <c r="G186" s="26" t="s">
        <v>200</v>
      </c>
      <c r="H186" s="27" t="str">
        <f aca="false">VLOOKUP(G186,'Product Master'!$A$5:$K$104,2,FALSE())</f>
        <v>Pro Packaging Item 006</v>
      </c>
      <c r="I186" s="27" t="str">
        <f aca="false">VLOOKUP(G186,'Product Master'!$A$5:$K$104,3,FALSE())</f>
        <v>Packaging</v>
      </c>
      <c r="J186" s="28" t="n">
        <v>8</v>
      </c>
      <c r="K186" s="29" t="n">
        <v>1867.12</v>
      </c>
      <c r="L186" s="29" t="n">
        <f aca="false">J186*K186</f>
        <v>14936.96</v>
      </c>
      <c r="M186" s="26" t="s">
        <v>35</v>
      </c>
      <c r="N186" s="34" t="n">
        <v>46115</v>
      </c>
      <c r="O186" s="34" t="n">
        <v>46121</v>
      </c>
      <c r="P186" s="34" t="n">
        <v>46117</v>
      </c>
      <c r="Q186" s="28" t="n">
        <f aca="false">IF(P186&lt;&gt;"",MAX(1,P186-B186),IF(M186="Dispatched",MAX(1,O186-B186),0))</f>
        <v>3</v>
      </c>
      <c r="R186" s="28" t="n">
        <f aca="false">IF(M186="Cancelled",0,IF(P186&lt;&gt;"",MAX(0,P186-O186),IF(T186&lt;&gt;"None",MAX(1,O186-B186-2),0)))</f>
        <v>0</v>
      </c>
      <c r="S186" s="26" t="s">
        <v>352</v>
      </c>
      <c r="T186" s="27" t="s">
        <v>317</v>
      </c>
    </row>
    <row r="187" customFormat="false" ht="15" hidden="false" customHeight="false" outlineLevel="0" collapsed="false">
      <c r="A187" s="18" t="s">
        <v>730</v>
      </c>
      <c r="B187" s="25" t="n">
        <v>46115</v>
      </c>
      <c r="C187" s="18" t="s">
        <v>577</v>
      </c>
      <c r="D187" s="20" t="s">
        <v>731</v>
      </c>
      <c r="E187" s="18" t="s">
        <v>111</v>
      </c>
      <c r="F187" s="20" t="s">
        <v>79</v>
      </c>
      <c r="G187" s="18" t="s">
        <v>244</v>
      </c>
      <c r="H187" s="20" t="str">
        <f aca="false">VLOOKUP(G187,'Product Master'!$A$5:$K$104,2,FALSE())</f>
        <v>Eco Home Item 050</v>
      </c>
      <c r="I187" s="20" t="str">
        <f aca="false">VLOOKUP(G187,'Product Master'!$A$5:$K$104,3,FALSE())</f>
        <v>Home &amp; Kitchen</v>
      </c>
      <c r="J187" s="17" t="n">
        <v>2</v>
      </c>
      <c r="K187" s="16" t="n">
        <v>5831.62</v>
      </c>
      <c r="L187" s="16" t="n">
        <f aca="false">J187*K187</f>
        <v>11663.24</v>
      </c>
      <c r="M187" s="18" t="s">
        <v>35</v>
      </c>
      <c r="N187" s="25" t="n">
        <v>46115</v>
      </c>
      <c r="O187" s="25" t="n">
        <v>46122</v>
      </c>
      <c r="P187" s="25" t="n">
        <v>46130</v>
      </c>
      <c r="Q187" s="17" t="n">
        <f aca="false">IF(P187&lt;&gt;"",MAX(1,P187-B187),IF(M187="Dispatched",MAX(1,O187-B187),0))</f>
        <v>15</v>
      </c>
      <c r="R187" s="17" t="n">
        <f aca="false">IF(M187="Cancelled",0,IF(P187&lt;&gt;"",MAX(0,P187-O187),IF(T187&lt;&gt;"None",MAX(1,O187-B187-2),0)))</f>
        <v>8</v>
      </c>
      <c r="S187" s="18" t="s">
        <v>310</v>
      </c>
      <c r="T187" s="20" t="s">
        <v>112</v>
      </c>
    </row>
    <row r="188" customFormat="false" ht="15" hidden="false" customHeight="false" outlineLevel="0" collapsed="false">
      <c r="A188" s="26" t="s">
        <v>732</v>
      </c>
      <c r="B188" s="34" t="n">
        <v>46020</v>
      </c>
      <c r="C188" s="26" t="s">
        <v>733</v>
      </c>
      <c r="D188" s="27" t="s">
        <v>686</v>
      </c>
      <c r="E188" s="26" t="s">
        <v>111</v>
      </c>
      <c r="F188" s="27" t="s">
        <v>78</v>
      </c>
      <c r="G188" s="26" t="s">
        <v>243</v>
      </c>
      <c r="H188" s="27" t="str">
        <f aca="false">VLOOKUP(G188,'Product Master'!$A$5:$K$104,2,FALSE())</f>
        <v>Premium Electronics Item 049</v>
      </c>
      <c r="I188" s="27" t="str">
        <f aca="false">VLOOKUP(G188,'Product Master'!$A$5:$K$104,3,FALSE())</f>
        <v>Electronics</v>
      </c>
      <c r="J188" s="28" t="n">
        <v>19</v>
      </c>
      <c r="K188" s="29" t="n">
        <v>8712.18</v>
      </c>
      <c r="L188" s="29" t="n">
        <f aca="false">J188*K188</f>
        <v>165531.42</v>
      </c>
      <c r="M188" s="26" t="s">
        <v>37</v>
      </c>
      <c r="N188" s="34"/>
      <c r="O188" s="34" t="n">
        <v>46023</v>
      </c>
      <c r="P188" s="34"/>
      <c r="Q188" s="28" t="n">
        <f aca="false">IF(P188&lt;&gt;"",MAX(1,P188-B188),IF(M188="Dispatched",MAX(1,O188-B188),0))</f>
        <v>0</v>
      </c>
      <c r="R188" s="28" t="n">
        <f aca="false">IF(M188="Cancelled",0,IF(P188&lt;&gt;"",MAX(0,P188-O188),IF(T188&lt;&gt;"None",MAX(1,O188-B188-2),0)))</f>
        <v>1</v>
      </c>
      <c r="S188" s="26" t="s">
        <v>310</v>
      </c>
      <c r="T188" s="27" t="s">
        <v>106</v>
      </c>
    </row>
    <row r="189" customFormat="false" ht="15" hidden="false" customHeight="false" outlineLevel="0" collapsed="false">
      <c r="A189" s="18" t="s">
        <v>734</v>
      </c>
      <c r="B189" s="25" t="n">
        <v>46111</v>
      </c>
      <c r="C189" s="18" t="s">
        <v>735</v>
      </c>
      <c r="D189" s="20" t="s">
        <v>736</v>
      </c>
      <c r="E189" s="18" t="s">
        <v>111</v>
      </c>
      <c r="F189" s="20" t="s">
        <v>79</v>
      </c>
      <c r="G189" s="18" t="s">
        <v>239</v>
      </c>
      <c r="H189" s="20" t="str">
        <f aca="false">VLOOKUP(G189,'Product Master'!$A$5:$K$104,2,FALSE())</f>
        <v>Essential Industrial Item 045</v>
      </c>
      <c r="I189" s="20" t="str">
        <f aca="false">VLOOKUP(G189,'Product Master'!$A$5:$K$104,3,FALSE())</f>
        <v>Industrial</v>
      </c>
      <c r="J189" s="17" t="n">
        <v>20</v>
      </c>
      <c r="K189" s="16" t="n">
        <v>9908.93</v>
      </c>
      <c r="L189" s="16" t="n">
        <f aca="false">J189*K189</f>
        <v>198178.6</v>
      </c>
      <c r="M189" s="18" t="s">
        <v>35</v>
      </c>
      <c r="N189" s="25" t="n">
        <v>46114</v>
      </c>
      <c r="O189" s="25" t="n">
        <v>46115</v>
      </c>
      <c r="P189" s="25" t="n">
        <v>46114</v>
      </c>
      <c r="Q189" s="17" t="n">
        <f aca="false">IF(P189&lt;&gt;"",MAX(1,P189-B189),IF(M189="Dispatched",MAX(1,O189-B189),0))</f>
        <v>3</v>
      </c>
      <c r="R189" s="17" t="n">
        <f aca="false">IF(M189="Cancelled",0,IF(P189&lt;&gt;"",MAX(0,P189-O189),IF(T189&lt;&gt;"None",MAX(1,O189-B189-2),0)))</f>
        <v>0</v>
      </c>
      <c r="S189" s="18" t="s">
        <v>310</v>
      </c>
      <c r="T189" s="20" t="s">
        <v>317</v>
      </c>
    </row>
    <row r="190" customFormat="false" ht="15" hidden="false" customHeight="false" outlineLevel="0" collapsed="false">
      <c r="A190" s="26" t="s">
        <v>737</v>
      </c>
      <c r="B190" s="34" t="n">
        <v>46039</v>
      </c>
      <c r="C190" s="26" t="s">
        <v>735</v>
      </c>
      <c r="D190" s="27" t="s">
        <v>738</v>
      </c>
      <c r="E190" s="26" t="s">
        <v>107</v>
      </c>
      <c r="F190" s="27" t="s">
        <v>77</v>
      </c>
      <c r="G190" s="26" t="s">
        <v>214</v>
      </c>
      <c r="H190" s="27" t="str">
        <f aca="false">VLOOKUP(G190,'Product Master'!$A$5:$K$104,2,FALSE())</f>
        <v>Eco Personal Item 020</v>
      </c>
      <c r="I190" s="27" t="str">
        <f aca="false">VLOOKUP(G190,'Product Master'!$A$5:$K$104,3,FALSE())</f>
        <v>Personal Care</v>
      </c>
      <c r="J190" s="28" t="n">
        <v>12</v>
      </c>
      <c r="K190" s="29" t="n">
        <v>4674.99</v>
      </c>
      <c r="L190" s="29" t="n">
        <f aca="false">J190*K190</f>
        <v>56099.88</v>
      </c>
      <c r="M190" s="26" t="s">
        <v>37</v>
      </c>
      <c r="N190" s="34"/>
      <c r="O190" s="34" t="n">
        <v>46042</v>
      </c>
      <c r="P190" s="34"/>
      <c r="Q190" s="28" t="n">
        <f aca="false">IF(P190&lt;&gt;"",MAX(1,P190-B190),IF(M190="Dispatched",MAX(1,O190-B190),0))</f>
        <v>0</v>
      </c>
      <c r="R190" s="28" t="n">
        <f aca="false">IF(M190="Cancelled",0,IF(P190&lt;&gt;"",MAX(0,P190-O190),IF(T190&lt;&gt;"None",MAX(1,O190-B190-2),0)))</f>
        <v>1</v>
      </c>
      <c r="S190" s="26" t="s">
        <v>310</v>
      </c>
      <c r="T190" s="27" t="s">
        <v>106</v>
      </c>
    </row>
    <row r="191" customFormat="false" ht="15" hidden="false" customHeight="false" outlineLevel="0" collapsed="false">
      <c r="A191" s="18" t="s">
        <v>739</v>
      </c>
      <c r="B191" s="25" t="n">
        <v>45989</v>
      </c>
      <c r="C191" s="18" t="s">
        <v>475</v>
      </c>
      <c r="D191" s="20" t="s">
        <v>740</v>
      </c>
      <c r="E191" s="18" t="s">
        <v>111</v>
      </c>
      <c r="F191" s="20" t="s">
        <v>79</v>
      </c>
      <c r="G191" s="18" t="s">
        <v>256</v>
      </c>
      <c r="H191" s="20" t="str">
        <f aca="false">VLOOKUP(G191,'Product Master'!$A$5:$K$104,2,FALSE())</f>
        <v>Compact Packaging Item 062</v>
      </c>
      <c r="I191" s="20" t="str">
        <f aca="false">VLOOKUP(G191,'Product Master'!$A$5:$K$104,3,FALSE())</f>
        <v>Packaging</v>
      </c>
      <c r="J191" s="17" t="n">
        <v>7</v>
      </c>
      <c r="K191" s="16" t="n">
        <v>10323.31</v>
      </c>
      <c r="L191" s="16" t="n">
        <f aca="false">J191*K191</f>
        <v>72263.17</v>
      </c>
      <c r="M191" s="18" t="s">
        <v>37</v>
      </c>
      <c r="N191" s="25"/>
      <c r="O191" s="25" t="n">
        <v>45997</v>
      </c>
      <c r="P191" s="25"/>
      <c r="Q191" s="17" t="n">
        <f aca="false">IF(P191&lt;&gt;"",MAX(1,P191-B191),IF(M191="Dispatched",MAX(1,O191-B191),0))</f>
        <v>0</v>
      </c>
      <c r="R191" s="17" t="n">
        <f aca="false">IF(M191="Cancelled",0,IF(P191&lt;&gt;"",MAX(0,P191-O191),IF(T191&lt;&gt;"None",MAX(1,O191-B191-2),0)))</f>
        <v>0</v>
      </c>
      <c r="S191" s="18" t="s">
        <v>310</v>
      </c>
      <c r="T191" s="20" t="s">
        <v>317</v>
      </c>
    </row>
    <row r="192" customFormat="false" ht="15" hidden="false" customHeight="false" outlineLevel="0" collapsed="false">
      <c r="A192" s="26" t="s">
        <v>741</v>
      </c>
      <c r="B192" s="34" t="n">
        <v>46013</v>
      </c>
      <c r="C192" s="26" t="s">
        <v>742</v>
      </c>
      <c r="D192" s="27" t="s">
        <v>410</v>
      </c>
      <c r="E192" s="26" t="s">
        <v>113</v>
      </c>
      <c r="F192" s="27" t="s">
        <v>76</v>
      </c>
      <c r="G192" s="26" t="s">
        <v>212</v>
      </c>
      <c r="H192" s="27" t="str">
        <f aca="false">VLOOKUP(G192,'Product Master'!$A$5:$K$104,2,FALSE())</f>
        <v>Smart Home Item 018</v>
      </c>
      <c r="I192" s="27" t="str">
        <f aca="false">VLOOKUP(G192,'Product Master'!$A$5:$K$104,3,FALSE())</f>
        <v>Home &amp; Kitchen</v>
      </c>
      <c r="J192" s="28" t="n">
        <v>19</v>
      </c>
      <c r="K192" s="29" t="n">
        <v>5693.61</v>
      </c>
      <c r="L192" s="29" t="n">
        <f aca="false">J192*K192</f>
        <v>108178.59</v>
      </c>
      <c r="M192" s="26" t="s">
        <v>35</v>
      </c>
      <c r="N192" s="34" t="n">
        <v>46015</v>
      </c>
      <c r="O192" s="34" t="n">
        <v>46017</v>
      </c>
      <c r="P192" s="34" t="n">
        <v>46016</v>
      </c>
      <c r="Q192" s="28" t="n">
        <f aca="false">IF(P192&lt;&gt;"",MAX(1,P192-B192),IF(M192="Dispatched",MAX(1,O192-B192),0))</f>
        <v>3</v>
      </c>
      <c r="R192" s="28" t="n">
        <f aca="false">IF(M192="Cancelled",0,IF(P192&lt;&gt;"",MAX(0,P192-O192),IF(T192&lt;&gt;"None",MAX(1,O192-B192-2),0)))</f>
        <v>0</v>
      </c>
      <c r="S192" s="26" t="s">
        <v>339</v>
      </c>
      <c r="T192" s="27" t="s">
        <v>317</v>
      </c>
    </row>
    <row r="193" customFormat="false" ht="15" hidden="false" customHeight="false" outlineLevel="0" collapsed="false">
      <c r="A193" s="18" t="s">
        <v>743</v>
      </c>
      <c r="B193" s="25" t="n">
        <v>46257</v>
      </c>
      <c r="C193" s="18" t="s">
        <v>529</v>
      </c>
      <c r="D193" s="20" t="s">
        <v>744</v>
      </c>
      <c r="E193" s="18" t="s">
        <v>109</v>
      </c>
      <c r="F193" s="20" t="s">
        <v>76</v>
      </c>
      <c r="G193" s="18" t="s">
        <v>197</v>
      </c>
      <c r="H193" s="20" t="str">
        <f aca="false">VLOOKUP(G193,'Product Master'!$A$5:$K$104,2,FALSE())</f>
        <v>Premium Office Item 003</v>
      </c>
      <c r="I193" s="20" t="str">
        <f aca="false">VLOOKUP(G193,'Product Master'!$A$5:$K$104,3,FALSE())</f>
        <v>Office Supplies</v>
      </c>
      <c r="J193" s="17" t="n">
        <v>7</v>
      </c>
      <c r="K193" s="16" t="n">
        <v>1653.15</v>
      </c>
      <c r="L193" s="16" t="n">
        <f aca="false">J193*K193</f>
        <v>11572.05</v>
      </c>
      <c r="M193" s="18" t="s">
        <v>35</v>
      </c>
      <c r="N193" s="25" t="n">
        <v>46260</v>
      </c>
      <c r="O193" s="25" t="n">
        <v>46266</v>
      </c>
      <c r="P193" s="25" t="n">
        <v>46265</v>
      </c>
      <c r="Q193" s="17" t="n">
        <f aca="false">IF(P193&lt;&gt;"",MAX(1,P193-B193),IF(M193="Dispatched",MAX(1,O193-B193),0))</f>
        <v>8</v>
      </c>
      <c r="R193" s="17" t="n">
        <f aca="false">IF(M193="Cancelled",0,IF(P193&lt;&gt;"",MAX(0,P193-O193),IF(T193&lt;&gt;"None",MAX(1,O193-B193-2),0)))</f>
        <v>0</v>
      </c>
      <c r="S193" s="18" t="s">
        <v>310</v>
      </c>
      <c r="T193" s="20" t="s">
        <v>317</v>
      </c>
    </row>
    <row r="194" customFormat="false" ht="15" hidden="false" customHeight="false" outlineLevel="0" collapsed="false">
      <c r="A194" s="26" t="s">
        <v>745</v>
      </c>
      <c r="B194" s="34" t="n">
        <v>46229</v>
      </c>
      <c r="C194" s="26" t="s">
        <v>501</v>
      </c>
      <c r="D194" s="27" t="s">
        <v>746</v>
      </c>
      <c r="E194" s="26" t="s">
        <v>107</v>
      </c>
      <c r="F194" s="27" t="s">
        <v>80</v>
      </c>
      <c r="G194" s="26" t="s">
        <v>293</v>
      </c>
      <c r="H194" s="27" t="str">
        <f aca="false">VLOOKUP(G194,'Product Master'!$A$5:$K$104,2,FALSE())</f>
        <v>Eco Office Item 099</v>
      </c>
      <c r="I194" s="27" t="str">
        <f aca="false">VLOOKUP(G194,'Product Master'!$A$5:$K$104,3,FALSE())</f>
        <v>Office Supplies</v>
      </c>
      <c r="J194" s="28" t="n">
        <v>22</v>
      </c>
      <c r="K194" s="29" t="n">
        <v>8700.35</v>
      </c>
      <c r="L194" s="29" t="n">
        <f aca="false">J194*K194</f>
        <v>191407.7</v>
      </c>
      <c r="M194" s="26" t="s">
        <v>35</v>
      </c>
      <c r="N194" s="34" t="n">
        <v>46231</v>
      </c>
      <c r="O194" s="34" t="n">
        <v>46233</v>
      </c>
      <c r="P194" s="34" t="n">
        <v>46237</v>
      </c>
      <c r="Q194" s="28" t="n">
        <f aca="false">IF(P194&lt;&gt;"",MAX(1,P194-B194),IF(M194="Dispatched",MAX(1,O194-B194),0))</f>
        <v>8</v>
      </c>
      <c r="R194" s="28" t="n">
        <f aca="false">IF(M194="Cancelled",0,IF(P194&lt;&gt;"",MAX(0,P194-O194),IF(T194&lt;&gt;"None",MAX(1,O194-B194-2),0)))</f>
        <v>4</v>
      </c>
      <c r="S194" s="26" t="s">
        <v>310</v>
      </c>
      <c r="T194" s="27" t="s">
        <v>110</v>
      </c>
    </row>
    <row r="195" customFormat="false" ht="15" hidden="false" customHeight="false" outlineLevel="0" collapsed="false">
      <c r="A195" s="18" t="s">
        <v>747</v>
      </c>
      <c r="B195" s="25" t="n">
        <v>45998</v>
      </c>
      <c r="C195" s="18" t="s">
        <v>748</v>
      </c>
      <c r="D195" s="20" t="s">
        <v>749</v>
      </c>
      <c r="E195" s="18" t="s">
        <v>105</v>
      </c>
      <c r="F195" s="20" t="s">
        <v>77</v>
      </c>
      <c r="G195" s="18" t="s">
        <v>208</v>
      </c>
      <c r="H195" s="20" t="str">
        <f aca="false">VLOOKUP(G195,'Product Master'!$A$5:$K$104,2,FALSE())</f>
        <v>Pro Packaging Item 014</v>
      </c>
      <c r="I195" s="20" t="str">
        <f aca="false">VLOOKUP(G195,'Product Master'!$A$5:$K$104,3,FALSE())</f>
        <v>Packaging</v>
      </c>
      <c r="J195" s="17" t="n">
        <v>17</v>
      </c>
      <c r="K195" s="16" t="n">
        <v>4696.7</v>
      </c>
      <c r="L195" s="16" t="n">
        <f aca="false">J195*K195</f>
        <v>79843.9</v>
      </c>
      <c r="M195" s="18" t="s">
        <v>41</v>
      </c>
      <c r="N195" s="25" t="n">
        <v>45999</v>
      </c>
      <c r="O195" s="25" t="n">
        <v>46006</v>
      </c>
      <c r="P195" s="25"/>
      <c r="Q195" s="17" t="n">
        <f aca="false">IF(P195&lt;&gt;"",MAX(1,P195-B195),IF(M195="Dispatched",MAX(1,O195-B195),0))</f>
        <v>8</v>
      </c>
      <c r="R195" s="17" t="n">
        <f aca="false">IF(M195="Cancelled",0,IF(P195&lt;&gt;"",MAX(0,P195-O195),IF(T195&lt;&gt;"None",MAX(1,O195-B195-2),0)))</f>
        <v>6</v>
      </c>
      <c r="S195" s="18" t="s">
        <v>310</v>
      </c>
      <c r="T195" s="20" t="s">
        <v>115</v>
      </c>
    </row>
    <row r="196" customFormat="false" ht="15" hidden="false" customHeight="false" outlineLevel="0" collapsed="false">
      <c r="A196" s="26" t="s">
        <v>750</v>
      </c>
      <c r="B196" s="34" t="n">
        <v>46245</v>
      </c>
      <c r="C196" s="26" t="s">
        <v>387</v>
      </c>
      <c r="D196" s="27" t="s">
        <v>751</v>
      </c>
      <c r="E196" s="26" t="s">
        <v>105</v>
      </c>
      <c r="F196" s="27" t="s">
        <v>80</v>
      </c>
      <c r="G196" s="26" t="s">
        <v>271</v>
      </c>
      <c r="H196" s="27" t="str">
        <f aca="false">VLOOKUP(G196,'Product Master'!$A$5:$K$104,2,FALSE())</f>
        <v>Everyday Industrial Item 077</v>
      </c>
      <c r="I196" s="27" t="str">
        <f aca="false">VLOOKUP(G196,'Product Master'!$A$5:$K$104,3,FALSE())</f>
        <v>Industrial</v>
      </c>
      <c r="J196" s="28" t="n">
        <v>17</v>
      </c>
      <c r="K196" s="29" t="n">
        <v>3653.35</v>
      </c>
      <c r="L196" s="29" t="n">
        <f aca="false">J196*K196</f>
        <v>62106.95</v>
      </c>
      <c r="M196" s="26" t="s">
        <v>39</v>
      </c>
      <c r="N196" s="34"/>
      <c r="O196" s="34" t="n">
        <v>46248</v>
      </c>
      <c r="P196" s="34"/>
      <c r="Q196" s="28" t="n">
        <f aca="false">IF(P196&lt;&gt;"",MAX(1,P196-B196),IF(M196="Dispatched",MAX(1,O196-B196),0))</f>
        <v>0</v>
      </c>
      <c r="R196" s="28" t="n">
        <f aca="false">IF(M196="Cancelled",0,IF(P196&lt;&gt;"",MAX(0,P196-O196),IF(T196&lt;&gt;"None",MAX(1,O196-B196-2),0)))</f>
        <v>1</v>
      </c>
      <c r="S196" s="26" t="s">
        <v>310</v>
      </c>
      <c r="T196" s="27" t="s">
        <v>108</v>
      </c>
    </row>
    <row r="197" customFormat="false" ht="15" hidden="false" customHeight="false" outlineLevel="0" collapsed="false">
      <c r="A197" s="18" t="s">
        <v>752</v>
      </c>
      <c r="B197" s="25" t="n">
        <v>45931</v>
      </c>
      <c r="C197" s="18" t="s">
        <v>489</v>
      </c>
      <c r="D197" s="20" t="s">
        <v>443</v>
      </c>
      <c r="E197" s="18" t="s">
        <v>111</v>
      </c>
      <c r="F197" s="20" t="s">
        <v>80</v>
      </c>
      <c r="G197" s="18" t="s">
        <v>294</v>
      </c>
      <c r="H197" s="20" t="str">
        <f aca="false">VLOOKUP(G197,'Product Master'!$A$5:$K$104,2,FALSE())</f>
        <v>Smart Personal Item 100</v>
      </c>
      <c r="I197" s="20" t="str">
        <f aca="false">VLOOKUP(G197,'Product Master'!$A$5:$K$104,3,FALSE())</f>
        <v>Personal Care</v>
      </c>
      <c r="J197" s="17" t="n">
        <v>14</v>
      </c>
      <c r="K197" s="16" t="n">
        <v>9946.74</v>
      </c>
      <c r="L197" s="16" t="n">
        <f aca="false">J197*K197</f>
        <v>139254.36</v>
      </c>
      <c r="M197" s="18" t="s">
        <v>35</v>
      </c>
      <c r="N197" s="25" t="n">
        <v>45934</v>
      </c>
      <c r="O197" s="25" t="n">
        <v>45938</v>
      </c>
      <c r="P197" s="25" t="n">
        <v>45936</v>
      </c>
      <c r="Q197" s="17" t="n">
        <f aca="false">IF(P197&lt;&gt;"",MAX(1,P197-B197),IF(M197="Dispatched",MAX(1,O197-B197),0))</f>
        <v>5</v>
      </c>
      <c r="R197" s="17" t="n">
        <f aca="false">IF(M197="Cancelled",0,IF(P197&lt;&gt;"",MAX(0,P197-O197),IF(T197&lt;&gt;"None",MAX(1,O197-B197-2),0)))</f>
        <v>0</v>
      </c>
      <c r="S197" s="18" t="s">
        <v>37</v>
      </c>
      <c r="T197" s="20" t="s">
        <v>317</v>
      </c>
    </row>
    <row r="198" customFormat="false" ht="15" hidden="false" customHeight="false" outlineLevel="0" collapsed="false">
      <c r="A198" s="26" t="s">
        <v>753</v>
      </c>
      <c r="B198" s="34" t="n">
        <v>46110</v>
      </c>
      <c r="C198" s="26" t="s">
        <v>754</v>
      </c>
      <c r="D198" s="27" t="s">
        <v>755</v>
      </c>
      <c r="E198" s="26" t="s">
        <v>113</v>
      </c>
      <c r="F198" s="27" t="s">
        <v>76</v>
      </c>
      <c r="G198" s="26" t="s">
        <v>270</v>
      </c>
      <c r="H198" s="27" t="str">
        <f aca="false">VLOOKUP(G198,'Product Master'!$A$5:$K$104,2,FALSE())</f>
        <v>Everyday Personal Item 076</v>
      </c>
      <c r="I198" s="27" t="str">
        <f aca="false">VLOOKUP(G198,'Product Master'!$A$5:$K$104,3,FALSE())</f>
        <v>Personal Care</v>
      </c>
      <c r="J198" s="28" t="n">
        <v>14</v>
      </c>
      <c r="K198" s="29" t="n">
        <v>9870.63</v>
      </c>
      <c r="L198" s="29" t="n">
        <f aca="false">J198*K198</f>
        <v>138188.82</v>
      </c>
      <c r="M198" s="26" t="s">
        <v>35</v>
      </c>
      <c r="N198" s="34" t="n">
        <v>46111</v>
      </c>
      <c r="O198" s="34" t="n">
        <v>46119</v>
      </c>
      <c r="P198" s="34" t="n">
        <v>46117</v>
      </c>
      <c r="Q198" s="28" t="n">
        <f aca="false">IF(P198&lt;&gt;"",MAX(1,P198-B198),IF(M198="Dispatched",MAX(1,O198-B198),0))</f>
        <v>7</v>
      </c>
      <c r="R198" s="28" t="n">
        <f aca="false">IF(M198="Cancelled",0,IF(P198&lt;&gt;"",MAX(0,P198-O198),IF(T198&lt;&gt;"None",MAX(1,O198-B198-2),0)))</f>
        <v>0</v>
      </c>
      <c r="S198" s="26" t="s">
        <v>310</v>
      </c>
      <c r="T198" s="27" t="s">
        <v>317</v>
      </c>
    </row>
    <row r="199" customFormat="false" ht="15" hidden="false" customHeight="false" outlineLevel="0" collapsed="false">
      <c r="A199" s="18" t="s">
        <v>756</v>
      </c>
      <c r="B199" s="25" t="n">
        <v>46294</v>
      </c>
      <c r="C199" s="18" t="s">
        <v>757</v>
      </c>
      <c r="D199" s="20" t="s">
        <v>323</v>
      </c>
      <c r="E199" s="18" t="s">
        <v>105</v>
      </c>
      <c r="F199" s="20" t="s">
        <v>80</v>
      </c>
      <c r="G199" s="18" t="s">
        <v>290</v>
      </c>
      <c r="H199" s="20" t="str">
        <f aca="false">VLOOKUP(G199,'Product Master'!$A$5:$K$104,2,FALSE())</f>
        <v>Eco Automotive Item 096</v>
      </c>
      <c r="I199" s="20" t="str">
        <f aca="false">VLOOKUP(G199,'Product Master'!$A$5:$K$104,3,FALSE())</f>
        <v>Automotive</v>
      </c>
      <c r="J199" s="17" t="n">
        <v>17</v>
      </c>
      <c r="K199" s="16" t="n">
        <v>9414.72</v>
      </c>
      <c r="L199" s="16" t="n">
        <f aca="false">J199*K199</f>
        <v>160050.24</v>
      </c>
      <c r="M199" s="18" t="s">
        <v>35</v>
      </c>
      <c r="N199" s="25" t="n">
        <v>46297</v>
      </c>
      <c r="O199" s="25" t="n">
        <v>46301</v>
      </c>
      <c r="P199" s="25" t="n">
        <v>46299</v>
      </c>
      <c r="Q199" s="17" t="n">
        <f aca="false">IF(P199&lt;&gt;"",MAX(1,P199-B199),IF(M199="Dispatched",MAX(1,O199-B199),0))</f>
        <v>5</v>
      </c>
      <c r="R199" s="17" t="n">
        <f aca="false">IF(M199="Cancelled",0,IF(P199&lt;&gt;"",MAX(0,P199-O199),IF(T199&lt;&gt;"None",MAX(1,O199-B199-2),0)))</f>
        <v>0</v>
      </c>
      <c r="S199" s="18" t="s">
        <v>310</v>
      </c>
      <c r="T199" s="20" t="s">
        <v>317</v>
      </c>
    </row>
    <row r="200" customFormat="false" ht="15" hidden="false" customHeight="false" outlineLevel="0" collapsed="false">
      <c r="A200" s="26" t="s">
        <v>758</v>
      </c>
      <c r="B200" s="34" t="n">
        <v>46010</v>
      </c>
      <c r="C200" s="26" t="s">
        <v>759</v>
      </c>
      <c r="D200" s="27" t="s">
        <v>561</v>
      </c>
      <c r="E200" s="26" t="s">
        <v>113</v>
      </c>
      <c r="F200" s="27" t="s">
        <v>78</v>
      </c>
      <c r="G200" s="26" t="s">
        <v>249</v>
      </c>
      <c r="H200" s="27" t="str">
        <f aca="false">VLOOKUP(G200,'Product Master'!$A$5:$K$104,2,FALSE())</f>
        <v>Eco Apparel Item 055</v>
      </c>
      <c r="I200" s="27" t="str">
        <f aca="false">VLOOKUP(G200,'Product Master'!$A$5:$K$104,3,FALSE())</f>
        <v>Apparel</v>
      </c>
      <c r="J200" s="28" t="n">
        <v>9</v>
      </c>
      <c r="K200" s="29" t="n">
        <v>3025.58</v>
      </c>
      <c r="L200" s="29" t="n">
        <f aca="false">J200*K200</f>
        <v>27230.22</v>
      </c>
      <c r="M200" s="26" t="s">
        <v>41</v>
      </c>
      <c r="N200" s="34" t="n">
        <v>46012</v>
      </c>
      <c r="O200" s="34" t="n">
        <v>46018</v>
      </c>
      <c r="P200" s="34"/>
      <c r="Q200" s="28" t="n">
        <f aca="false">IF(P200&lt;&gt;"",MAX(1,P200-B200),IF(M200="Dispatched",MAX(1,O200-B200),0))</f>
        <v>8</v>
      </c>
      <c r="R200" s="28" t="n">
        <f aca="false">IF(M200="Cancelled",0,IF(P200&lt;&gt;"",MAX(0,P200-O200),IF(T200&lt;&gt;"None",MAX(1,O200-B200-2),0)))</f>
        <v>0</v>
      </c>
      <c r="S200" s="26" t="s">
        <v>310</v>
      </c>
      <c r="T200" s="27" t="s">
        <v>317</v>
      </c>
    </row>
    <row r="201" customFormat="false" ht="15" hidden="false" customHeight="false" outlineLevel="0" collapsed="false">
      <c r="A201" s="18" t="s">
        <v>760</v>
      </c>
      <c r="B201" s="25" t="n">
        <v>46035</v>
      </c>
      <c r="C201" s="18" t="s">
        <v>761</v>
      </c>
      <c r="D201" s="20" t="s">
        <v>762</v>
      </c>
      <c r="E201" s="18" t="s">
        <v>113</v>
      </c>
      <c r="F201" s="20" t="s">
        <v>80</v>
      </c>
      <c r="G201" s="18" t="s">
        <v>247</v>
      </c>
      <c r="H201" s="20" t="str">
        <f aca="false">VLOOKUP(G201,'Product Master'!$A$5:$K$104,2,FALSE())</f>
        <v>Classic Industrial Item 053</v>
      </c>
      <c r="I201" s="20" t="str">
        <f aca="false">VLOOKUP(G201,'Product Master'!$A$5:$K$104,3,FALSE())</f>
        <v>Industrial</v>
      </c>
      <c r="J201" s="17" t="n">
        <v>16</v>
      </c>
      <c r="K201" s="16" t="n">
        <v>10730.84</v>
      </c>
      <c r="L201" s="16" t="n">
        <f aca="false">J201*K201</f>
        <v>171693.44</v>
      </c>
      <c r="M201" s="18" t="s">
        <v>35</v>
      </c>
      <c r="N201" s="25" t="n">
        <v>46037</v>
      </c>
      <c r="O201" s="25" t="n">
        <v>46044</v>
      </c>
      <c r="P201" s="25" t="n">
        <v>46044</v>
      </c>
      <c r="Q201" s="17" t="n">
        <f aca="false">IF(P201&lt;&gt;"",MAX(1,P201-B201),IF(M201="Dispatched",MAX(1,O201-B201),0))</f>
        <v>9</v>
      </c>
      <c r="R201" s="17" t="n">
        <f aca="false">IF(M201="Cancelled",0,IF(P201&lt;&gt;"",MAX(0,P201-O201),IF(T201&lt;&gt;"None",MAX(1,O201-B201-2),0)))</f>
        <v>0</v>
      </c>
      <c r="S201" s="18" t="s">
        <v>37</v>
      </c>
      <c r="T201" s="20" t="s">
        <v>317</v>
      </c>
    </row>
    <row r="202" customFormat="false" ht="15" hidden="false" customHeight="false" outlineLevel="0" collapsed="false">
      <c r="A202" s="26" t="s">
        <v>763</v>
      </c>
      <c r="B202" s="34" t="n">
        <v>46310</v>
      </c>
      <c r="C202" s="26" t="s">
        <v>315</v>
      </c>
      <c r="D202" s="27" t="s">
        <v>394</v>
      </c>
      <c r="E202" s="26" t="s">
        <v>105</v>
      </c>
      <c r="F202" s="27" t="s">
        <v>77</v>
      </c>
      <c r="G202" s="26" t="s">
        <v>212</v>
      </c>
      <c r="H202" s="27" t="str">
        <f aca="false">VLOOKUP(G202,'Product Master'!$A$5:$K$104,2,FALSE())</f>
        <v>Smart Home Item 018</v>
      </c>
      <c r="I202" s="27" t="str">
        <f aca="false">VLOOKUP(G202,'Product Master'!$A$5:$K$104,3,FALSE())</f>
        <v>Home &amp; Kitchen</v>
      </c>
      <c r="J202" s="28" t="n">
        <v>15</v>
      </c>
      <c r="K202" s="29" t="n">
        <v>5693.61</v>
      </c>
      <c r="L202" s="29" t="n">
        <f aca="false">J202*K202</f>
        <v>85404.15</v>
      </c>
      <c r="M202" s="26" t="s">
        <v>35</v>
      </c>
      <c r="N202" s="34" t="n">
        <v>46311</v>
      </c>
      <c r="O202" s="34" t="n">
        <v>46314</v>
      </c>
      <c r="P202" s="34" t="n">
        <v>46313</v>
      </c>
      <c r="Q202" s="28" t="n">
        <f aca="false">IF(P202&lt;&gt;"",MAX(1,P202-B202),IF(M202="Dispatched",MAX(1,O202-B202),0))</f>
        <v>3</v>
      </c>
      <c r="R202" s="28" t="n">
        <f aca="false">IF(M202="Cancelled",0,IF(P202&lt;&gt;"",MAX(0,P202-O202),IF(T202&lt;&gt;"None",MAX(1,O202-B202-2),0)))</f>
        <v>0</v>
      </c>
      <c r="S202" s="26" t="s">
        <v>310</v>
      </c>
      <c r="T202" s="27" t="s">
        <v>317</v>
      </c>
    </row>
    <row r="203" customFormat="false" ht="15" hidden="false" customHeight="false" outlineLevel="0" collapsed="false">
      <c r="A203" s="18" t="s">
        <v>764</v>
      </c>
      <c r="B203" s="25" t="n">
        <v>46212</v>
      </c>
      <c r="C203" s="18" t="s">
        <v>489</v>
      </c>
      <c r="D203" s="20" t="s">
        <v>332</v>
      </c>
      <c r="E203" s="18" t="s">
        <v>105</v>
      </c>
      <c r="F203" s="20" t="s">
        <v>77</v>
      </c>
      <c r="G203" s="18" t="s">
        <v>273</v>
      </c>
      <c r="H203" s="20" t="str">
        <f aca="false">VLOOKUP(G203,'Product Master'!$A$5:$K$104,2,FALSE())</f>
        <v>Essential Apparel Item 079</v>
      </c>
      <c r="I203" s="20" t="str">
        <f aca="false">VLOOKUP(G203,'Product Master'!$A$5:$K$104,3,FALSE())</f>
        <v>Apparel</v>
      </c>
      <c r="J203" s="17" t="n">
        <v>13</v>
      </c>
      <c r="K203" s="16" t="n">
        <v>12867.62</v>
      </c>
      <c r="L203" s="16" t="n">
        <f aca="false">J203*K203</f>
        <v>167279.06</v>
      </c>
      <c r="M203" s="18" t="s">
        <v>43</v>
      </c>
      <c r="N203" s="25"/>
      <c r="O203" s="25" t="n">
        <v>46214</v>
      </c>
      <c r="P203" s="25"/>
      <c r="Q203" s="17" t="n">
        <f aca="false">IF(P203&lt;&gt;"",MAX(1,P203-B203),IF(M203="Dispatched",MAX(1,O203-B203),0))</f>
        <v>0</v>
      </c>
      <c r="R203" s="17" t="n">
        <f aca="false">IF(M203="Cancelled",0,IF(P203&lt;&gt;"",MAX(0,P203-O203),IF(T203&lt;&gt;"None",MAX(1,O203-B203-2),0)))</f>
        <v>0</v>
      </c>
      <c r="S203" s="18" t="s">
        <v>310</v>
      </c>
      <c r="T203" s="20" t="s">
        <v>411</v>
      </c>
    </row>
    <row r="204" customFormat="false" ht="15" hidden="false" customHeight="false" outlineLevel="0" collapsed="false">
      <c r="A204" s="26" t="s">
        <v>765</v>
      </c>
      <c r="B204" s="34" t="n">
        <v>46238</v>
      </c>
      <c r="C204" s="26" t="s">
        <v>766</v>
      </c>
      <c r="D204" s="27" t="s">
        <v>492</v>
      </c>
      <c r="E204" s="26" t="s">
        <v>105</v>
      </c>
      <c r="F204" s="27" t="s">
        <v>76</v>
      </c>
      <c r="G204" s="26" t="s">
        <v>250</v>
      </c>
      <c r="H204" s="27" t="str">
        <f aca="false">VLOOKUP(G204,'Product Master'!$A$5:$K$104,2,FALSE())</f>
        <v>Smart Automotive Item 056</v>
      </c>
      <c r="I204" s="27" t="str">
        <f aca="false">VLOOKUP(G204,'Product Master'!$A$5:$K$104,3,FALSE())</f>
        <v>Automotive</v>
      </c>
      <c r="J204" s="28" t="n">
        <v>9</v>
      </c>
      <c r="K204" s="29" t="n">
        <v>4007.08</v>
      </c>
      <c r="L204" s="29" t="n">
        <f aca="false">J204*K204</f>
        <v>36063.72</v>
      </c>
      <c r="M204" s="26" t="s">
        <v>35</v>
      </c>
      <c r="N204" s="34" t="n">
        <v>46238</v>
      </c>
      <c r="O204" s="34" t="n">
        <v>46241</v>
      </c>
      <c r="P204" s="34" t="n">
        <v>46243</v>
      </c>
      <c r="Q204" s="28" t="n">
        <f aca="false">IF(P204&lt;&gt;"",MAX(1,P204-B204),IF(M204="Dispatched",MAX(1,O204-B204),0))</f>
        <v>5</v>
      </c>
      <c r="R204" s="28" t="n">
        <f aca="false">IF(M204="Cancelled",0,IF(P204&lt;&gt;"",MAX(0,P204-O204),IF(T204&lt;&gt;"None",MAX(1,O204-B204-2),0)))</f>
        <v>2</v>
      </c>
      <c r="S204" s="26" t="s">
        <v>339</v>
      </c>
      <c r="T204" s="27" t="s">
        <v>114</v>
      </c>
    </row>
    <row r="205" customFormat="false" ht="15" hidden="false" customHeight="false" outlineLevel="0" collapsed="false">
      <c r="A205" s="18" t="s">
        <v>767</v>
      </c>
      <c r="B205" s="25" t="n">
        <v>45960</v>
      </c>
      <c r="C205" s="18" t="s">
        <v>768</v>
      </c>
      <c r="D205" s="20" t="s">
        <v>769</v>
      </c>
      <c r="E205" s="18" t="s">
        <v>107</v>
      </c>
      <c r="F205" s="20" t="s">
        <v>79</v>
      </c>
      <c r="G205" s="18" t="s">
        <v>294</v>
      </c>
      <c r="H205" s="20" t="str">
        <f aca="false">VLOOKUP(G205,'Product Master'!$A$5:$K$104,2,FALSE())</f>
        <v>Smart Personal Item 100</v>
      </c>
      <c r="I205" s="20" t="str">
        <f aca="false">VLOOKUP(G205,'Product Master'!$A$5:$K$104,3,FALSE())</f>
        <v>Personal Care</v>
      </c>
      <c r="J205" s="17" t="n">
        <v>15</v>
      </c>
      <c r="K205" s="16" t="n">
        <v>9946.74</v>
      </c>
      <c r="L205" s="16" t="n">
        <f aca="false">J205*K205</f>
        <v>149201.1</v>
      </c>
      <c r="M205" s="18" t="s">
        <v>35</v>
      </c>
      <c r="N205" s="25" t="n">
        <v>45961</v>
      </c>
      <c r="O205" s="25" t="n">
        <v>45966</v>
      </c>
      <c r="P205" s="25" t="n">
        <v>45962</v>
      </c>
      <c r="Q205" s="17" t="n">
        <f aca="false">IF(P205&lt;&gt;"",MAX(1,P205-B205),IF(M205="Dispatched",MAX(1,O205-B205),0))</f>
        <v>2</v>
      </c>
      <c r="R205" s="17" t="n">
        <f aca="false">IF(M205="Cancelled",0,IF(P205&lt;&gt;"",MAX(0,P205-O205),IF(T205&lt;&gt;"None",MAX(1,O205-B205-2),0)))</f>
        <v>0</v>
      </c>
      <c r="S205" s="18" t="s">
        <v>310</v>
      </c>
      <c r="T205" s="20" t="s">
        <v>317</v>
      </c>
    </row>
    <row r="206" customFormat="false" ht="15" hidden="false" customHeight="false" outlineLevel="0" collapsed="false">
      <c r="A206" s="26" t="s">
        <v>770</v>
      </c>
      <c r="B206" s="34" t="n">
        <v>45949</v>
      </c>
      <c r="C206" s="26" t="s">
        <v>658</v>
      </c>
      <c r="D206" s="27" t="s">
        <v>497</v>
      </c>
      <c r="E206" s="26" t="s">
        <v>107</v>
      </c>
      <c r="F206" s="27" t="s">
        <v>76</v>
      </c>
      <c r="G206" s="26" t="s">
        <v>241</v>
      </c>
      <c r="H206" s="27" t="str">
        <f aca="false">VLOOKUP(G206,'Product Master'!$A$5:$K$104,2,FALSE())</f>
        <v>Premium Apparel Item 047</v>
      </c>
      <c r="I206" s="27" t="str">
        <f aca="false">VLOOKUP(G206,'Product Master'!$A$5:$K$104,3,FALSE())</f>
        <v>Apparel</v>
      </c>
      <c r="J206" s="28" t="n">
        <v>6</v>
      </c>
      <c r="K206" s="29" t="n">
        <v>3068.55</v>
      </c>
      <c r="L206" s="29" t="n">
        <f aca="false">J206*K206</f>
        <v>18411.3</v>
      </c>
      <c r="M206" s="26" t="s">
        <v>35</v>
      </c>
      <c r="N206" s="34" t="n">
        <v>45952</v>
      </c>
      <c r="O206" s="34" t="n">
        <v>45955</v>
      </c>
      <c r="P206" s="34" t="n">
        <v>45956</v>
      </c>
      <c r="Q206" s="28" t="n">
        <f aca="false">IF(P206&lt;&gt;"",MAX(1,P206-B206),IF(M206="Dispatched",MAX(1,O206-B206),0))</f>
        <v>7</v>
      </c>
      <c r="R206" s="28" t="n">
        <f aca="false">IF(M206="Cancelled",0,IF(P206&lt;&gt;"",MAX(0,P206-O206),IF(T206&lt;&gt;"None",MAX(1,O206-B206-2),0)))</f>
        <v>1</v>
      </c>
      <c r="S206" s="26" t="s">
        <v>310</v>
      </c>
      <c r="T206" s="27" t="s">
        <v>114</v>
      </c>
    </row>
    <row r="207" customFormat="false" ht="15" hidden="false" customHeight="false" outlineLevel="0" collapsed="false">
      <c r="A207" s="18" t="s">
        <v>771</v>
      </c>
      <c r="B207" s="25" t="n">
        <v>46291</v>
      </c>
      <c r="C207" s="18" t="s">
        <v>772</v>
      </c>
      <c r="D207" s="20" t="s">
        <v>688</v>
      </c>
      <c r="E207" s="18" t="s">
        <v>105</v>
      </c>
      <c r="F207" s="20" t="s">
        <v>80</v>
      </c>
      <c r="G207" s="18" t="s">
        <v>203</v>
      </c>
      <c r="H207" s="20" t="str">
        <f aca="false">VLOOKUP(G207,'Product Master'!$A$5:$K$104,2,FALSE())</f>
        <v>Essential Electronics Item 009</v>
      </c>
      <c r="I207" s="20" t="str">
        <f aca="false">VLOOKUP(G207,'Product Master'!$A$5:$K$104,3,FALSE())</f>
        <v>Electronics</v>
      </c>
      <c r="J207" s="17" t="n">
        <v>10</v>
      </c>
      <c r="K207" s="16" t="n">
        <v>5778.46</v>
      </c>
      <c r="L207" s="16" t="n">
        <f aca="false">J207*K207</f>
        <v>57784.6</v>
      </c>
      <c r="M207" s="18" t="s">
        <v>39</v>
      </c>
      <c r="N207" s="25"/>
      <c r="O207" s="25" t="n">
        <v>46298</v>
      </c>
      <c r="P207" s="25"/>
      <c r="Q207" s="17" t="n">
        <f aca="false">IF(P207&lt;&gt;"",MAX(1,P207-B207),IF(M207="Dispatched",MAX(1,O207-B207),0))</f>
        <v>0</v>
      </c>
      <c r="R207" s="17" t="n">
        <f aca="false">IF(M207="Cancelled",0,IF(P207&lt;&gt;"",MAX(0,P207-O207),IF(T207&lt;&gt;"None",MAX(1,O207-B207-2),0)))</f>
        <v>0</v>
      </c>
      <c r="S207" s="18" t="s">
        <v>310</v>
      </c>
      <c r="T207" s="20" t="s">
        <v>317</v>
      </c>
    </row>
    <row r="208" customFormat="false" ht="15" hidden="false" customHeight="false" outlineLevel="0" collapsed="false">
      <c r="A208" s="26" t="s">
        <v>773</v>
      </c>
      <c r="B208" s="34" t="n">
        <v>46030</v>
      </c>
      <c r="C208" s="26" t="s">
        <v>357</v>
      </c>
      <c r="D208" s="27" t="s">
        <v>774</v>
      </c>
      <c r="E208" s="26" t="s">
        <v>111</v>
      </c>
      <c r="F208" s="27" t="s">
        <v>80</v>
      </c>
      <c r="G208" s="26" t="s">
        <v>253</v>
      </c>
      <c r="H208" s="27" t="str">
        <f aca="false">VLOOKUP(G208,'Product Master'!$A$5:$K$104,2,FALSE())</f>
        <v>Eco Office Item 059</v>
      </c>
      <c r="I208" s="27" t="str">
        <f aca="false">VLOOKUP(G208,'Product Master'!$A$5:$K$104,3,FALSE())</f>
        <v>Office Supplies</v>
      </c>
      <c r="J208" s="28" t="n">
        <v>1</v>
      </c>
      <c r="K208" s="29" t="n">
        <v>348.69</v>
      </c>
      <c r="L208" s="29" t="n">
        <f aca="false">J208*K208</f>
        <v>348.69</v>
      </c>
      <c r="M208" s="26" t="s">
        <v>35</v>
      </c>
      <c r="N208" s="34" t="n">
        <v>46030</v>
      </c>
      <c r="O208" s="34" t="n">
        <v>46038</v>
      </c>
      <c r="P208" s="34" t="n">
        <v>46046</v>
      </c>
      <c r="Q208" s="28" t="n">
        <f aca="false">IF(P208&lt;&gt;"",MAX(1,P208-B208),IF(M208="Dispatched",MAX(1,O208-B208),0))</f>
        <v>16</v>
      </c>
      <c r="R208" s="28" t="n">
        <f aca="false">IF(M208="Cancelled",0,IF(P208&lt;&gt;"",MAX(0,P208-O208),IF(T208&lt;&gt;"None",MAX(1,O208-B208-2),0)))</f>
        <v>8</v>
      </c>
      <c r="S208" s="26" t="s">
        <v>352</v>
      </c>
      <c r="T208" s="27" t="s">
        <v>115</v>
      </c>
    </row>
    <row r="209" customFormat="false" ht="15" hidden="false" customHeight="false" outlineLevel="0" collapsed="false">
      <c r="A209" s="18" t="s">
        <v>775</v>
      </c>
      <c r="B209" s="25" t="n">
        <v>46193</v>
      </c>
      <c r="C209" s="18" t="s">
        <v>375</v>
      </c>
      <c r="D209" s="20" t="s">
        <v>776</v>
      </c>
      <c r="E209" s="18" t="s">
        <v>113</v>
      </c>
      <c r="F209" s="20" t="s">
        <v>80</v>
      </c>
      <c r="G209" s="18" t="s">
        <v>227</v>
      </c>
      <c r="H209" s="20" t="str">
        <f aca="false">VLOOKUP(G209,'Product Master'!$A$5:$K$104,2,FALSE())</f>
        <v>Compact Electronics Item 033</v>
      </c>
      <c r="I209" s="20" t="str">
        <f aca="false">VLOOKUP(G209,'Product Master'!$A$5:$K$104,3,FALSE())</f>
        <v>Electronics</v>
      </c>
      <c r="J209" s="17" t="n">
        <v>9</v>
      </c>
      <c r="K209" s="16" t="n">
        <v>10726.77</v>
      </c>
      <c r="L209" s="16" t="n">
        <f aca="false">J209*K209</f>
        <v>96540.93</v>
      </c>
      <c r="M209" s="18" t="s">
        <v>37</v>
      </c>
      <c r="N209" s="25"/>
      <c r="O209" s="25" t="n">
        <v>46201</v>
      </c>
      <c r="P209" s="25"/>
      <c r="Q209" s="17" t="n">
        <f aca="false">IF(P209&lt;&gt;"",MAX(1,P209-B209),IF(M209="Dispatched",MAX(1,O209-B209),0))</f>
        <v>0</v>
      </c>
      <c r="R209" s="17" t="n">
        <f aca="false">IF(M209="Cancelled",0,IF(P209&lt;&gt;"",MAX(0,P209-O209),IF(T209&lt;&gt;"None",MAX(1,O209-B209-2),0)))</f>
        <v>0</v>
      </c>
      <c r="S209" s="18" t="s">
        <v>310</v>
      </c>
      <c r="T209" s="20" t="s">
        <v>317</v>
      </c>
    </row>
    <row r="210" customFormat="false" ht="15" hidden="false" customHeight="false" outlineLevel="0" collapsed="false">
      <c r="A210" s="26" t="s">
        <v>777</v>
      </c>
      <c r="B210" s="34" t="n">
        <v>46165</v>
      </c>
      <c r="C210" s="26" t="s">
        <v>778</v>
      </c>
      <c r="D210" s="27" t="s">
        <v>776</v>
      </c>
      <c r="E210" s="26" t="s">
        <v>111</v>
      </c>
      <c r="F210" s="27" t="s">
        <v>80</v>
      </c>
      <c r="G210" s="26" t="s">
        <v>282</v>
      </c>
      <c r="H210" s="27" t="str">
        <f aca="false">VLOOKUP(G210,'Product Master'!$A$5:$K$104,2,FALSE())</f>
        <v>Premium Automotive Item 088</v>
      </c>
      <c r="I210" s="27" t="str">
        <f aca="false">VLOOKUP(G210,'Product Master'!$A$5:$K$104,3,FALSE())</f>
        <v>Automotive</v>
      </c>
      <c r="J210" s="28" t="n">
        <v>1</v>
      </c>
      <c r="K210" s="29" t="n">
        <v>1483.52</v>
      </c>
      <c r="L210" s="29" t="n">
        <f aca="false">J210*K210</f>
        <v>1483.52</v>
      </c>
      <c r="M210" s="26" t="s">
        <v>35</v>
      </c>
      <c r="N210" s="34" t="n">
        <v>46165</v>
      </c>
      <c r="O210" s="34" t="n">
        <v>46171</v>
      </c>
      <c r="P210" s="34" t="n">
        <v>46173</v>
      </c>
      <c r="Q210" s="28" t="n">
        <f aca="false">IF(P210&lt;&gt;"",MAX(1,P210-B210),IF(M210="Dispatched",MAX(1,O210-B210),0))</f>
        <v>8</v>
      </c>
      <c r="R210" s="28" t="n">
        <f aca="false">IF(M210="Cancelled",0,IF(P210&lt;&gt;"",MAX(0,P210-O210),IF(T210&lt;&gt;"None",MAX(1,O210-B210-2),0)))</f>
        <v>2</v>
      </c>
      <c r="S210" s="26" t="s">
        <v>310</v>
      </c>
      <c r="T210" s="27" t="s">
        <v>106</v>
      </c>
    </row>
    <row r="211" customFormat="false" ht="15" hidden="false" customHeight="false" outlineLevel="0" collapsed="false">
      <c r="A211" s="18" t="s">
        <v>779</v>
      </c>
      <c r="B211" s="25" t="n">
        <v>46111</v>
      </c>
      <c r="C211" s="18" t="s">
        <v>510</v>
      </c>
      <c r="D211" s="20" t="s">
        <v>780</v>
      </c>
      <c r="E211" s="18" t="s">
        <v>113</v>
      </c>
      <c r="F211" s="20" t="s">
        <v>76</v>
      </c>
      <c r="G211" s="18" t="s">
        <v>261</v>
      </c>
      <c r="H211" s="20" t="str">
        <f aca="false">VLOOKUP(G211,'Product Master'!$A$5:$K$104,2,FALSE())</f>
        <v>Premium Office Item 067</v>
      </c>
      <c r="I211" s="20" t="str">
        <f aca="false">VLOOKUP(G211,'Product Master'!$A$5:$K$104,3,FALSE())</f>
        <v>Office Supplies</v>
      </c>
      <c r="J211" s="17" t="n">
        <v>23</v>
      </c>
      <c r="K211" s="16" t="n">
        <v>3543.72</v>
      </c>
      <c r="L211" s="16" t="n">
        <f aca="false">J211*K211</f>
        <v>81505.56</v>
      </c>
      <c r="M211" s="18" t="s">
        <v>41</v>
      </c>
      <c r="N211" s="25" t="n">
        <v>46113</v>
      </c>
      <c r="O211" s="25" t="n">
        <v>46116</v>
      </c>
      <c r="P211" s="25"/>
      <c r="Q211" s="17" t="n">
        <f aca="false">IF(P211&lt;&gt;"",MAX(1,P211-B211),IF(M211="Dispatched",MAX(1,O211-B211),0))</f>
        <v>5</v>
      </c>
      <c r="R211" s="17" t="n">
        <f aca="false">IF(M211="Cancelled",0,IF(P211&lt;&gt;"",MAX(0,P211-O211),IF(T211&lt;&gt;"None",MAX(1,O211-B211-2),0)))</f>
        <v>0</v>
      </c>
      <c r="S211" s="18" t="s">
        <v>37</v>
      </c>
      <c r="T211" s="20" t="s">
        <v>317</v>
      </c>
    </row>
    <row r="212" customFormat="false" ht="15" hidden="false" customHeight="false" outlineLevel="0" collapsed="false">
      <c r="A212" s="26" t="s">
        <v>781</v>
      </c>
      <c r="B212" s="34" t="n">
        <v>46106</v>
      </c>
      <c r="C212" s="26" t="s">
        <v>782</v>
      </c>
      <c r="D212" s="27" t="s">
        <v>381</v>
      </c>
      <c r="E212" s="26" t="s">
        <v>113</v>
      </c>
      <c r="F212" s="27" t="s">
        <v>77</v>
      </c>
      <c r="G212" s="26" t="s">
        <v>204</v>
      </c>
      <c r="H212" s="27" t="str">
        <f aca="false">VLOOKUP(G212,'Product Master'!$A$5:$K$104,2,FALSE())</f>
        <v>Essential Home Item 010</v>
      </c>
      <c r="I212" s="27" t="str">
        <f aca="false">VLOOKUP(G212,'Product Master'!$A$5:$K$104,3,FALSE())</f>
        <v>Home &amp; Kitchen</v>
      </c>
      <c r="J212" s="28" t="n">
        <v>16</v>
      </c>
      <c r="K212" s="29" t="n">
        <v>7388.75</v>
      </c>
      <c r="L212" s="29" t="n">
        <f aca="false">J212*K212</f>
        <v>118220</v>
      </c>
      <c r="M212" s="26" t="s">
        <v>35</v>
      </c>
      <c r="N212" s="34" t="n">
        <v>46108</v>
      </c>
      <c r="O212" s="34" t="n">
        <v>46111</v>
      </c>
      <c r="P212" s="34" t="n">
        <v>46110</v>
      </c>
      <c r="Q212" s="28" t="n">
        <f aca="false">IF(P212&lt;&gt;"",MAX(1,P212-B212),IF(M212="Dispatched",MAX(1,O212-B212),0))</f>
        <v>4</v>
      </c>
      <c r="R212" s="28" t="n">
        <f aca="false">IF(M212="Cancelled",0,IF(P212&lt;&gt;"",MAX(0,P212-O212),IF(T212&lt;&gt;"None",MAX(1,O212-B212-2),0)))</f>
        <v>0</v>
      </c>
      <c r="S212" s="26" t="s">
        <v>37</v>
      </c>
      <c r="T212" s="27" t="s">
        <v>317</v>
      </c>
    </row>
    <row r="213" customFormat="false" ht="15" hidden="false" customHeight="false" outlineLevel="0" collapsed="false">
      <c r="A213" s="18" t="s">
        <v>783</v>
      </c>
      <c r="B213" s="25" t="n">
        <v>46051</v>
      </c>
      <c r="C213" s="18" t="s">
        <v>784</v>
      </c>
      <c r="D213" s="20" t="s">
        <v>508</v>
      </c>
      <c r="E213" s="18" t="s">
        <v>107</v>
      </c>
      <c r="F213" s="20" t="s">
        <v>78</v>
      </c>
      <c r="G213" s="18" t="s">
        <v>289</v>
      </c>
      <c r="H213" s="20" t="str">
        <f aca="false">VLOOKUP(G213,'Product Master'!$A$5:$K$104,2,FALSE())</f>
        <v>Eco Apparel Item 095</v>
      </c>
      <c r="I213" s="20" t="str">
        <f aca="false">VLOOKUP(G213,'Product Master'!$A$5:$K$104,3,FALSE())</f>
        <v>Apparel</v>
      </c>
      <c r="J213" s="17" t="n">
        <v>7</v>
      </c>
      <c r="K213" s="16" t="n">
        <v>2884.81</v>
      </c>
      <c r="L213" s="16" t="n">
        <f aca="false">J213*K213</f>
        <v>20193.67</v>
      </c>
      <c r="M213" s="18" t="s">
        <v>35</v>
      </c>
      <c r="N213" s="25" t="n">
        <v>46053</v>
      </c>
      <c r="O213" s="25" t="n">
        <v>46056</v>
      </c>
      <c r="P213" s="25" t="n">
        <v>46055</v>
      </c>
      <c r="Q213" s="17" t="n">
        <f aca="false">IF(P213&lt;&gt;"",MAX(1,P213-B213),IF(M213="Dispatched",MAX(1,O213-B213),0))</f>
        <v>4</v>
      </c>
      <c r="R213" s="17" t="n">
        <f aca="false">IF(M213="Cancelled",0,IF(P213&lt;&gt;"",MAX(0,P213-O213),IF(T213&lt;&gt;"None",MAX(1,O213-B213-2),0)))</f>
        <v>0</v>
      </c>
      <c r="S213" s="18" t="s">
        <v>352</v>
      </c>
      <c r="T213" s="20" t="s">
        <v>317</v>
      </c>
    </row>
    <row r="214" customFormat="false" ht="15" hidden="false" customHeight="false" outlineLevel="0" collapsed="false">
      <c r="A214" s="26" t="s">
        <v>785</v>
      </c>
      <c r="B214" s="34" t="n">
        <v>46277</v>
      </c>
      <c r="C214" s="26" t="s">
        <v>786</v>
      </c>
      <c r="D214" s="27" t="s">
        <v>787</v>
      </c>
      <c r="E214" s="26" t="s">
        <v>111</v>
      </c>
      <c r="F214" s="27" t="s">
        <v>80</v>
      </c>
      <c r="G214" s="26" t="s">
        <v>279</v>
      </c>
      <c r="H214" s="27" t="str">
        <f aca="false">VLOOKUP(G214,'Product Master'!$A$5:$K$104,2,FALSE())</f>
        <v>Classic Industrial Item 085</v>
      </c>
      <c r="I214" s="27" t="str">
        <f aca="false">VLOOKUP(G214,'Product Master'!$A$5:$K$104,3,FALSE())</f>
        <v>Industrial</v>
      </c>
      <c r="J214" s="28" t="n">
        <v>1</v>
      </c>
      <c r="K214" s="29" t="n">
        <v>2284.18</v>
      </c>
      <c r="L214" s="29" t="n">
        <f aca="false">J214*K214</f>
        <v>2284.18</v>
      </c>
      <c r="M214" s="26" t="s">
        <v>39</v>
      </c>
      <c r="N214" s="34"/>
      <c r="O214" s="34" t="n">
        <v>46279</v>
      </c>
      <c r="P214" s="34"/>
      <c r="Q214" s="28" t="n">
        <f aca="false">IF(P214&lt;&gt;"",MAX(1,P214-B214),IF(M214="Dispatched",MAX(1,O214-B214),0))</f>
        <v>0</v>
      </c>
      <c r="R214" s="28" t="n">
        <f aca="false">IF(M214="Cancelled",0,IF(P214&lt;&gt;"",MAX(0,P214-O214),IF(T214&lt;&gt;"None",MAX(1,O214-B214-2),0)))</f>
        <v>1</v>
      </c>
      <c r="S214" s="26" t="s">
        <v>352</v>
      </c>
      <c r="T214" s="27" t="s">
        <v>108</v>
      </c>
    </row>
    <row r="215" customFormat="false" ht="15" hidden="false" customHeight="false" outlineLevel="0" collapsed="false">
      <c r="A215" s="18" t="s">
        <v>788</v>
      </c>
      <c r="B215" s="25" t="n">
        <v>46225</v>
      </c>
      <c r="C215" s="18" t="s">
        <v>529</v>
      </c>
      <c r="D215" s="20" t="s">
        <v>524</v>
      </c>
      <c r="E215" s="18" t="s">
        <v>111</v>
      </c>
      <c r="F215" s="20" t="s">
        <v>77</v>
      </c>
      <c r="G215" s="18" t="s">
        <v>230</v>
      </c>
      <c r="H215" s="20" t="str">
        <f aca="false">VLOOKUP(G215,'Product Master'!$A$5:$K$104,2,FALSE())</f>
        <v>Pro Personal Item 036</v>
      </c>
      <c r="I215" s="20" t="str">
        <f aca="false">VLOOKUP(G215,'Product Master'!$A$5:$K$104,3,FALSE())</f>
        <v>Personal Care</v>
      </c>
      <c r="J215" s="17" t="n">
        <v>25</v>
      </c>
      <c r="K215" s="16" t="n">
        <v>3099.62</v>
      </c>
      <c r="L215" s="16" t="n">
        <f aca="false">J215*K215</f>
        <v>77490.5</v>
      </c>
      <c r="M215" s="18" t="s">
        <v>41</v>
      </c>
      <c r="N215" s="25" t="n">
        <v>46228</v>
      </c>
      <c r="O215" s="25" t="n">
        <v>46231</v>
      </c>
      <c r="P215" s="25"/>
      <c r="Q215" s="17" t="n">
        <f aca="false">IF(P215&lt;&gt;"",MAX(1,P215-B215),IF(M215="Dispatched",MAX(1,O215-B215),0))</f>
        <v>6</v>
      </c>
      <c r="R215" s="17" t="n">
        <f aca="false">IF(M215="Cancelled",0,IF(P215&lt;&gt;"",MAX(0,P215-O215),IF(T215&lt;&gt;"None",MAX(1,O215-B215-2),0)))</f>
        <v>0</v>
      </c>
      <c r="S215" s="18" t="s">
        <v>310</v>
      </c>
      <c r="T215" s="20" t="s">
        <v>317</v>
      </c>
    </row>
    <row r="216" customFormat="false" ht="15" hidden="false" customHeight="false" outlineLevel="0" collapsed="false">
      <c r="A216" s="26" t="s">
        <v>789</v>
      </c>
      <c r="B216" s="34" t="n">
        <v>46147</v>
      </c>
      <c r="C216" s="26" t="s">
        <v>452</v>
      </c>
      <c r="D216" s="27" t="s">
        <v>335</v>
      </c>
      <c r="E216" s="26" t="s">
        <v>113</v>
      </c>
      <c r="F216" s="27" t="s">
        <v>76</v>
      </c>
      <c r="G216" s="26" t="s">
        <v>256</v>
      </c>
      <c r="H216" s="27" t="str">
        <f aca="false">VLOOKUP(G216,'Product Master'!$A$5:$K$104,2,FALSE())</f>
        <v>Compact Packaging Item 062</v>
      </c>
      <c r="I216" s="27" t="str">
        <f aca="false">VLOOKUP(G216,'Product Master'!$A$5:$K$104,3,FALSE())</f>
        <v>Packaging</v>
      </c>
      <c r="J216" s="28" t="n">
        <v>17</v>
      </c>
      <c r="K216" s="29" t="n">
        <v>10323.31</v>
      </c>
      <c r="L216" s="29" t="n">
        <f aca="false">J216*K216</f>
        <v>175496.27</v>
      </c>
      <c r="M216" s="26" t="s">
        <v>35</v>
      </c>
      <c r="N216" s="34" t="n">
        <v>46150</v>
      </c>
      <c r="O216" s="34" t="n">
        <v>46151</v>
      </c>
      <c r="P216" s="34" t="n">
        <v>46151</v>
      </c>
      <c r="Q216" s="28" t="n">
        <f aca="false">IF(P216&lt;&gt;"",MAX(1,P216-B216),IF(M216="Dispatched",MAX(1,O216-B216),0))</f>
        <v>4</v>
      </c>
      <c r="R216" s="28" t="n">
        <f aca="false">IF(M216="Cancelled",0,IF(P216&lt;&gt;"",MAX(0,P216-O216),IF(T216&lt;&gt;"None",MAX(1,O216-B216-2),0)))</f>
        <v>0</v>
      </c>
      <c r="S216" s="26" t="s">
        <v>310</v>
      </c>
      <c r="T216" s="27" t="s">
        <v>317</v>
      </c>
    </row>
    <row r="217" customFormat="false" ht="15" hidden="false" customHeight="false" outlineLevel="0" collapsed="false">
      <c r="A217" s="18" t="s">
        <v>790</v>
      </c>
      <c r="B217" s="25" t="n">
        <v>45937</v>
      </c>
      <c r="C217" s="18" t="s">
        <v>791</v>
      </c>
      <c r="D217" s="20" t="s">
        <v>688</v>
      </c>
      <c r="E217" s="18" t="s">
        <v>107</v>
      </c>
      <c r="F217" s="20" t="s">
        <v>79</v>
      </c>
      <c r="G217" s="18" t="s">
        <v>281</v>
      </c>
      <c r="H217" s="20" t="str">
        <f aca="false">VLOOKUP(G217,'Product Master'!$A$5:$K$104,2,FALSE())</f>
        <v>Compact Apparel Item 087</v>
      </c>
      <c r="I217" s="20" t="str">
        <f aca="false">VLOOKUP(G217,'Product Master'!$A$5:$K$104,3,FALSE())</f>
        <v>Apparel</v>
      </c>
      <c r="J217" s="17" t="n">
        <v>19</v>
      </c>
      <c r="K217" s="16" t="n">
        <v>8400.02</v>
      </c>
      <c r="L217" s="16" t="n">
        <f aca="false">J217*K217</f>
        <v>159600.38</v>
      </c>
      <c r="M217" s="18" t="s">
        <v>35</v>
      </c>
      <c r="N217" s="25" t="n">
        <v>45939</v>
      </c>
      <c r="O217" s="25" t="n">
        <v>45944</v>
      </c>
      <c r="P217" s="25" t="n">
        <v>45943</v>
      </c>
      <c r="Q217" s="17" t="n">
        <f aca="false">IF(P217&lt;&gt;"",MAX(1,P217-B217),IF(M217="Dispatched",MAX(1,O217-B217),0))</f>
        <v>6</v>
      </c>
      <c r="R217" s="17" t="n">
        <f aca="false">IF(M217="Cancelled",0,IF(P217&lt;&gt;"",MAX(0,P217-O217),IF(T217&lt;&gt;"None",MAX(1,O217-B217-2),0)))</f>
        <v>0</v>
      </c>
      <c r="S217" s="18" t="s">
        <v>310</v>
      </c>
      <c r="T217" s="20" t="s">
        <v>317</v>
      </c>
    </row>
    <row r="218" customFormat="false" ht="15" hidden="false" customHeight="false" outlineLevel="0" collapsed="false">
      <c r="A218" s="26" t="s">
        <v>792</v>
      </c>
      <c r="B218" s="34" t="n">
        <v>46244</v>
      </c>
      <c r="C218" s="26" t="s">
        <v>383</v>
      </c>
      <c r="D218" s="27" t="s">
        <v>575</v>
      </c>
      <c r="E218" s="26" t="s">
        <v>109</v>
      </c>
      <c r="F218" s="27" t="s">
        <v>77</v>
      </c>
      <c r="G218" s="26" t="s">
        <v>238</v>
      </c>
      <c r="H218" s="27" t="str">
        <f aca="false">VLOOKUP(G218,'Product Master'!$A$5:$K$104,2,FALSE())</f>
        <v>Essential Personal Item 044</v>
      </c>
      <c r="I218" s="27" t="str">
        <f aca="false">VLOOKUP(G218,'Product Master'!$A$5:$K$104,3,FALSE())</f>
        <v>Personal Care</v>
      </c>
      <c r="J218" s="28" t="n">
        <v>16</v>
      </c>
      <c r="K218" s="29" t="n">
        <v>958.86</v>
      </c>
      <c r="L218" s="29" t="n">
        <f aca="false">J218*K218</f>
        <v>15341.76</v>
      </c>
      <c r="M218" s="26" t="s">
        <v>35</v>
      </c>
      <c r="N218" s="34" t="n">
        <v>46246</v>
      </c>
      <c r="O218" s="34" t="n">
        <v>46252</v>
      </c>
      <c r="P218" s="34" t="n">
        <v>46253</v>
      </c>
      <c r="Q218" s="28" t="n">
        <f aca="false">IF(P218&lt;&gt;"",MAX(1,P218-B218),IF(M218="Dispatched",MAX(1,O218-B218),0))</f>
        <v>9</v>
      </c>
      <c r="R218" s="28" t="n">
        <f aca="false">IF(M218="Cancelled",0,IF(P218&lt;&gt;"",MAX(0,P218-O218),IF(T218&lt;&gt;"None",MAX(1,O218-B218-2),0)))</f>
        <v>1</v>
      </c>
      <c r="S218" s="26" t="s">
        <v>310</v>
      </c>
      <c r="T218" s="27" t="s">
        <v>114</v>
      </c>
    </row>
    <row r="219" customFormat="false" ht="15" hidden="false" customHeight="false" outlineLevel="0" collapsed="false">
      <c r="A219" s="18" t="s">
        <v>793</v>
      </c>
      <c r="B219" s="25" t="n">
        <v>46225</v>
      </c>
      <c r="C219" s="18" t="s">
        <v>541</v>
      </c>
      <c r="D219" s="20" t="s">
        <v>649</v>
      </c>
      <c r="E219" s="18" t="s">
        <v>107</v>
      </c>
      <c r="F219" s="20" t="s">
        <v>76</v>
      </c>
      <c r="G219" s="18" t="s">
        <v>282</v>
      </c>
      <c r="H219" s="20" t="str">
        <f aca="false">VLOOKUP(G219,'Product Master'!$A$5:$K$104,2,FALSE())</f>
        <v>Premium Automotive Item 088</v>
      </c>
      <c r="I219" s="20" t="str">
        <f aca="false">VLOOKUP(G219,'Product Master'!$A$5:$K$104,3,FALSE())</f>
        <v>Automotive</v>
      </c>
      <c r="J219" s="17" t="n">
        <v>24</v>
      </c>
      <c r="K219" s="16" t="n">
        <v>1483.52</v>
      </c>
      <c r="L219" s="16" t="n">
        <f aca="false">J219*K219</f>
        <v>35604.48</v>
      </c>
      <c r="M219" s="18" t="s">
        <v>35</v>
      </c>
      <c r="N219" s="25" t="n">
        <v>46228</v>
      </c>
      <c r="O219" s="25" t="n">
        <v>46230</v>
      </c>
      <c r="P219" s="25" t="n">
        <v>46232</v>
      </c>
      <c r="Q219" s="17" t="n">
        <f aca="false">IF(P219&lt;&gt;"",MAX(1,P219-B219),IF(M219="Dispatched",MAX(1,O219-B219),0))</f>
        <v>7</v>
      </c>
      <c r="R219" s="17" t="n">
        <f aca="false">IF(M219="Cancelled",0,IF(P219&lt;&gt;"",MAX(0,P219-O219),IF(T219&lt;&gt;"None",MAX(1,O219-B219-2),0)))</f>
        <v>2</v>
      </c>
      <c r="S219" s="18" t="s">
        <v>37</v>
      </c>
      <c r="T219" s="20" t="s">
        <v>106</v>
      </c>
    </row>
    <row r="220" customFormat="false" ht="15" hidden="false" customHeight="false" outlineLevel="0" collapsed="false">
      <c r="A220" s="26" t="s">
        <v>794</v>
      </c>
      <c r="B220" s="34" t="n">
        <v>46021</v>
      </c>
      <c r="C220" s="26" t="s">
        <v>733</v>
      </c>
      <c r="D220" s="27" t="s">
        <v>490</v>
      </c>
      <c r="E220" s="26" t="s">
        <v>111</v>
      </c>
      <c r="F220" s="27" t="s">
        <v>77</v>
      </c>
      <c r="G220" s="26" t="s">
        <v>248</v>
      </c>
      <c r="H220" s="27" t="str">
        <f aca="false">VLOOKUP(G220,'Product Master'!$A$5:$K$104,2,FALSE())</f>
        <v>Pro Packaging Item 054</v>
      </c>
      <c r="I220" s="27" t="str">
        <f aca="false">VLOOKUP(G220,'Product Master'!$A$5:$K$104,3,FALSE())</f>
        <v>Packaging</v>
      </c>
      <c r="J220" s="28" t="n">
        <v>21</v>
      </c>
      <c r="K220" s="29" t="n">
        <v>6770.51</v>
      </c>
      <c r="L220" s="29" t="n">
        <f aca="false">J220*K220</f>
        <v>142180.71</v>
      </c>
      <c r="M220" s="26" t="s">
        <v>35</v>
      </c>
      <c r="N220" s="34" t="n">
        <v>46024</v>
      </c>
      <c r="O220" s="34" t="n">
        <v>46028</v>
      </c>
      <c r="P220" s="34" t="n">
        <v>46028</v>
      </c>
      <c r="Q220" s="28" t="n">
        <f aca="false">IF(P220&lt;&gt;"",MAX(1,P220-B220),IF(M220="Dispatched",MAX(1,O220-B220),0))</f>
        <v>7</v>
      </c>
      <c r="R220" s="28" t="n">
        <f aca="false">IF(M220="Cancelled",0,IF(P220&lt;&gt;"",MAX(0,P220-O220),IF(T220&lt;&gt;"None",MAX(1,O220-B220-2),0)))</f>
        <v>0</v>
      </c>
      <c r="S220" s="26" t="s">
        <v>310</v>
      </c>
      <c r="T220" s="27" t="s">
        <v>317</v>
      </c>
    </row>
    <row r="221" customFormat="false" ht="15" hidden="false" customHeight="false" outlineLevel="0" collapsed="false">
      <c r="A221" s="18" t="s">
        <v>795</v>
      </c>
      <c r="B221" s="25" t="n">
        <v>46014</v>
      </c>
      <c r="C221" s="18" t="s">
        <v>685</v>
      </c>
      <c r="D221" s="20" t="s">
        <v>487</v>
      </c>
      <c r="E221" s="18" t="s">
        <v>107</v>
      </c>
      <c r="F221" s="20" t="s">
        <v>78</v>
      </c>
      <c r="G221" s="18" t="s">
        <v>202</v>
      </c>
      <c r="H221" s="20" t="str">
        <f aca="false">VLOOKUP(G221,'Product Master'!$A$5:$K$104,2,FALSE())</f>
        <v>Smart Automotive Item 008</v>
      </c>
      <c r="I221" s="20" t="str">
        <f aca="false">VLOOKUP(G221,'Product Master'!$A$5:$K$104,3,FALSE())</f>
        <v>Automotive</v>
      </c>
      <c r="J221" s="17" t="n">
        <v>16</v>
      </c>
      <c r="K221" s="16" t="n">
        <v>8489.02</v>
      </c>
      <c r="L221" s="16" t="n">
        <f aca="false">J221*K221</f>
        <v>135824.32</v>
      </c>
      <c r="M221" s="18" t="s">
        <v>41</v>
      </c>
      <c r="N221" s="25" t="n">
        <v>46017</v>
      </c>
      <c r="O221" s="25" t="n">
        <v>46021</v>
      </c>
      <c r="P221" s="25"/>
      <c r="Q221" s="17" t="n">
        <f aca="false">IF(P221&lt;&gt;"",MAX(1,P221-B221),IF(M221="Dispatched",MAX(1,O221-B221),0))</f>
        <v>7</v>
      </c>
      <c r="R221" s="17" t="n">
        <f aca="false">IF(M221="Cancelled",0,IF(P221&lt;&gt;"",MAX(0,P221-O221),IF(T221&lt;&gt;"None",MAX(1,O221-B221-2),0)))</f>
        <v>0</v>
      </c>
      <c r="S221" s="18" t="s">
        <v>310</v>
      </c>
      <c r="T221" s="20" t="s">
        <v>317</v>
      </c>
    </row>
    <row r="222" customFormat="false" ht="15" hidden="false" customHeight="false" outlineLevel="0" collapsed="false">
      <c r="A222" s="26" t="s">
        <v>796</v>
      </c>
      <c r="B222" s="34" t="n">
        <v>46217</v>
      </c>
      <c r="C222" s="26" t="s">
        <v>784</v>
      </c>
      <c r="D222" s="27" t="s">
        <v>774</v>
      </c>
      <c r="E222" s="26" t="s">
        <v>109</v>
      </c>
      <c r="F222" s="27" t="s">
        <v>78</v>
      </c>
      <c r="G222" s="26" t="s">
        <v>266</v>
      </c>
      <c r="H222" s="27" t="str">
        <f aca="false">VLOOKUP(G222,'Product Master'!$A$5:$K$104,2,FALSE())</f>
        <v>Premium Automotive Item 072</v>
      </c>
      <c r="I222" s="27" t="str">
        <f aca="false">VLOOKUP(G222,'Product Master'!$A$5:$K$104,3,FALSE())</f>
        <v>Automotive</v>
      </c>
      <c r="J222" s="28" t="n">
        <v>1</v>
      </c>
      <c r="K222" s="29" t="n">
        <v>1811.97</v>
      </c>
      <c r="L222" s="29" t="n">
        <f aca="false">J222*K222</f>
        <v>1811.97</v>
      </c>
      <c r="M222" s="26" t="s">
        <v>35</v>
      </c>
      <c r="N222" s="34" t="n">
        <v>46218</v>
      </c>
      <c r="O222" s="34" t="n">
        <v>46224</v>
      </c>
      <c r="P222" s="34" t="n">
        <v>46232</v>
      </c>
      <c r="Q222" s="28" t="n">
        <f aca="false">IF(P222&lt;&gt;"",MAX(1,P222-B222),IF(M222="Dispatched",MAX(1,O222-B222),0))</f>
        <v>15</v>
      </c>
      <c r="R222" s="28" t="n">
        <f aca="false">IF(M222="Cancelled",0,IF(P222&lt;&gt;"",MAX(0,P222-O222),IF(T222&lt;&gt;"None",MAX(1,O222-B222-2),0)))</f>
        <v>8</v>
      </c>
      <c r="S222" s="26" t="s">
        <v>310</v>
      </c>
      <c r="T222" s="27" t="s">
        <v>106</v>
      </c>
    </row>
    <row r="223" customFormat="false" ht="15" hidden="false" customHeight="false" outlineLevel="0" collapsed="false">
      <c r="A223" s="18" t="s">
        <v>797</v>
      </c>
      <c r="B223" s="25" t="n">
        <v>46192</v>
      </c>
      <c r="C223" s="18" t="s">
        <v>541</v>
      </c>
      <c r="D223" s="20" t="s">
        <v>798</v>
      </c>
      <c r="E223" s="18" t="s">
        <v>111</v>
      </c>
      <c r="F223" s="20" t="s">
        <v>76</v>
      </c>
      <c r="G223" s="18" t="s">
        <v>257</v>
      </c>
      <c r="H223" s="20" t="str">
        <f aca="false">VLOOKUP(G223,'Product Master'!$A$5:$K$104,2,FALSE())</f>
        <v>Everyday Apparel Item 063</v>
      </c>
      <c r="I223" s="20" t="str">
        <f aca="false">VLOOKUP(G223,'Product Master'!$A$5:$K$104,3,FALSE())</f>
        <v>Apparel</v>
      </c>
      <c r="J223" s="17" t="n">
        <v>13</v>
      </c>
      <c r="K223" s="16" t="n">
        <v>3551.07</v>
      </c>
      <c r="L223" s="16" t="n">
        <f aca="false">J223*K223</f>
        <v>46163.91</v>
      </c>
      <c r="M223" s="18" t="s">
        <v>37</v>
      </c>
      <c r="N223" s="25"/>
      <c r="O223" s="25" t="n">
        <v>46201</v>
      </c>
      <c r="P223" s="25"/>
      <c r="Q223" s="17" t="n">
        <f aca="false">IF(P223&lt;&gt;"",MAX(1,P223-B223),IF(M223="Dispatched",MAX(1,O223-B223),0))</f>
        <v>0</v>
      </c>
      <c r="R223" s="17" t="n">
        <f aca="false">IF(M223="Cancelled",0,IF(P223&lt;&gt;"",MAX(0,P223-O223),IF(T223&lt;&gt;"None",MAX(1,O223-B223-2),0)))</f>
        <v>0</v>
      </c>
      <c r="S223" s="18" t="s">
        <v>37</v>
      </c>
      <c r="T223" s="20" t="s">
        <v>317</v>
      </c>
    </row>
    <row r="224" customFormat="false" ht="15" hidden="false" customHeight="false" outlineLevel="0" collapsed="false">
      <c r="A224" s="26" t="s">
        <v>799</v>
      </c>
      <c r="B224" s="34" t="n">
        <v>46103</v>
      </c>
      <c r="C224" s="26" t="s">
        <v>800</v>
      </c>
      <c r="D224" s="27" t="s">
        <v>326</v>
      </c>
      <c r="E224" s="26" t="s">
        <v>113</v>
      </c>
      <c r="F224" s="27" t="s">
        <v>80</v>
      </c>
      <c r="G224" s="26" t="s">
        <v>248</v>
      </c>
      <c r="H224" s="27" t="str">
        <f aca="false">VLOOKUP(G224,'Product Master'!$A$5:$K$104,2,FALSE())</f>
        <v>Pro Packaging Item 054</v>
      </c>
      <c r="I224" s="27" t="str">
        <f aca="false">VLOOKUP(G224,'Product Master'!$A$5:$K$104,3,FALSE())</f>
        <v>Packaging</v>
      </c>
      <c r="J224" s="28" t="n">
        <v>13</v>
      </c>
      <c r="K224" s="29" t="n">
        <v>6770.51</v>
      </c>
      <c r="L224" s="29" t="n">
        <f aca="false">J224*K224</f>
        <v>88016.63</v>
      </c>
      <c r="M224" s="26" t="s">
        <v>41</v>
      </c>
      <c r="N224" s="34" t="n">
        <v>46103</v>
      </c>
      <c r="O224" s="34" t="n">
        <v>46106</v>
      </c>
      <c r="P224" s="34"/>
      <c r="Q224" s="28" t="n">
        <f aca="false">IF(P224&lt;&gt;"",MAX(1,P224-B224),IF(M224="Dispatched",MAX(1,O224-B224),0))</f>
        <v>3</v>
      </c>
      <c r="R224" s="28" t="n">
        <f aca="false">IF(M224="Cancelled",0,IF(P224&lt;&gt;"",MAX(0,P224-O224),IF(T224&lt;&gt;"None",MAX(1,O224-B224-2),0)))</f>
        <v>0</v>
      </c>
      <c r="S224" s="26" t="s">
        <v>310</v>
      </c>
      <c r="T224" s="27" t="s">
        <v>317</v>
      </c>
    </row>
    <row r="225" customFormat="false" ht="15" hidden="false" customHeight="false" outlineLevel="0" collapsed="false">
      <c r="A225" s="18" t="s">
        <v>801</v>
      </c>
      <c r="B225" s="25" t="n">
        <v>46265</v>
      </c>
      <c r="C225" s="18" t="s">
        <v>802</v>
      </c>
      <c r="D225" s="20" t="s">
        <v>534</v>
      </c>
      <c r="E225" s="18" t="s">
        <v>109</v>
      </c>
      <c r="F225" s="20" t="s">
        <v>80</v>
      </c>
      <c r="G225" s="18" t="s">
        <v>232</v>
      </c>
      <c r="H225" s="20" t="str">
        <f aca="false">VLOOKUP(G225,'Product Master'!$A$5:$K$104,2,FALSE())</f>
        <v>Eco Packaging Item 038</v>
      </c>
      <c r="I225" s="20" t="str">
        <f aca="false">VLOOKUP(G225,'Product Master'!$A$5:$K$104,3,FALSE())</f>
        <v>Packaging</v>
      </c>
      <c r="J225" s="17" t="n">
        <v>21</v>
      </c>
      <c r="K225" s="16" t="n">
        <v>7556.46</v>
      </c>
      <c r="L225" s="16" t="n">
        <f aca="false">J225*K225</f>
        <v>158685.66</v>
      </c>
      <c r="M225" s="18" t="s">
        <v>35</v>
      </c>
      <c r="N225" s="25" t="n">
        <v>46267</v>
      </c>
      <c r="O225" s="25" t="n">
        <v>46274</v>
      </c>
      <c r="P225" s="25" t="n">
        <v>46282</v>
      </c>
      <c r="Q225" s="17" t="n">
        <f aca="false">IF(P225&lt;&gt;"",MAX(1,P225-B225),IF(M225="Dispatched",MAX(1,O225-B225),0))</f>
        <v>17</v>
      </c>
      <c r="R225" s="17" t="n">
        <f aca="false">IF(M225="Cancelled",0,IF(P225&lt;&gt;"",MAX(0,P225-O225),IF(T225&lt;&gt;"None",MAX(1,O225-B225-2),0)))</f>
        <v>8</v>
      </c>
      <c r="S225" s="18" t="s">
        <v>352</v>
      </c>
      <c r="T225" s="20" t="s">
        <v>114</v>
      </c>
    </row>
    <row r="226" customFormat="false" ht="15" hidden="false" customHeight="false" outlineLevel="0" collapsed="false">
      <c r="A226" s="26" t="s">
        <v>803</v>
      </c>
      <c r="B226" s="34" t="n">
        <v>45995</v>
      </c>
      <c r="C226" s="26" t="s">
        <v>429</v>
      </c>
      <c r="D226" s="27" t="s">
        <v>804</v>
      </c>
      <c r="E226" s="26" t="s">
        <v>107</v>
      </c>
      <c r="F226" s="27" t="s">
        <v>78</v>
      </c>
      <c r="G226" s="26" t="s">
        <v>288</v>
      </c>
      <c r="H226" s="27" t="str">
        <f aca="false">VLOOKUP(G226,'Product Master'!$A$5:$K$104,2,FALSE())</f>
        <v>Classic Packaging Item 094</v>
      </c>
      <c r="I226" s="27" t="str">
        <f aca="false">VLOOKUP(G226,'Product Master'!$A$5:$K$104,3,FALSE())</f>
        <v>Packaging</v>
      </c>
      <c r="J226" s="28" t="n">
        <v>24</v>
      </c>
      <c r="K226" s="29" t="n">
        <v>6811.13</v>
      </c>
      <c r="L226" s="29" t="n">
        <f aca="false">J226*K226</f>
        <v>163467.12</v>
      </c>
      <c r="M226" s="26" t="s">
        <v>39</v>
      </c>
      <c r="N226" s="34"/>
      <c r="O226" s="34" t="n">
        <v>45998</v>
      </c>
      <c r="P226" s="34"/>
      <c r="Q226" s="28" t="n">
        <f aca="false">IF(P226&lt;&gt;"",MAX(1,P226-B226),IF(M226="Dispatched",MAX(1,O226-B226),0))</f>
        <v>0</v>
      </c>
      <c r="R226" s="28" t="n">
        <f aca="false">IF(M226="Cancelled",0,IF(P226&lt;&gt;"",MAX(0,P226-O226),IF(T226&lt;&gt;"None",MAX(1,O226-B226-2),0)))</f>
        <v>1</v>
      </c>
      <c r="S226" s="26" t="s">
        <v>310</v>
      </c>
      <c r="T226" s="27" t="s">
        <v>106</v>
      </c>
    </row>
    <row r="227" customFormat="false" ht="15" hidden="false" customHeight="false" outlineLevel="0" collapsed="false">
      <c r="A227" s="18" t="s">
        <v>805</v>
      </c>
      <c r="B227" s="25" t="n">
        <v>46173</v>
      </c>
      <c r="C227" s="18" t="s">
        <v>806</v>
      </c>
      <c r="D227" s="20" t="s">
        <v>672</v>
      </c>
      <c r="E227" s="18" t="s">
        <v>105</v>
      </c>
      <c r="F227" s="20" t="s">
        <v>76</v>
      </c>
      <c r="G227" s="18" t="s">
        <v>265</v>
      </c>
      <c r="H227" s="20" t="str">
        <f aca="false">VLOOKUP(G227,'Product Master'!$A$5:$K$104,2,FALSE())</f>
        <v>Pro Apparel Item 071</v>
      </c>
      <c r="I227" s="20" t="str">
        <f aca="false">VLOOKUP(G227,'Product Master'!$A$5:$K$104,3,FALSE())</f>
        <v>Apparel</v>
      </c>
      <c r="J227" s="17" t="n">
        <v>25</v>
      </c>
      <c r="K227" s="16" t="n">
        <v>10275.49</v>
      </c>
      <c r="L227" s="16" t="n">
        <f aca="false">J227*K227</f>
        <v>256887.25</v>
      </c>
      <c r="M227" s="18" t="s">
        <v>35</v>
      </c>
      <c r="N227" s="25" t="n">
        <v>46173</v>
      </c>
      <c r="O227" s="25" t="n">
        <v>46176</v>
      </c>
      <c r="P227" s="25" t="n">
        <v>46176</v>
      </c>
      <c r="Q227" s="17" t="n">
        <f aca="false">IF(P227&lt;&gt;"",MAX(1,P227-B227),IF(M227="Dispatched",MAX(1,O227-B227),0))</f>
        <v>3</v>
      </c>
      <c r="R227" s="17" t="n">
        <f aca="false">IF(M227="Cancelled",0,IF(P227&lt;&gt;"",MAX(0,P227-O227),IF(T227&lt;&gt;"None",MAX(1,O227-B227-2),0)))</f>
        <v>0</v>
      </c>
      <c r="S227" s="18" t="s">
        <v>310</v>
      </c>
      <c r="T227" s="20" t="s">
        <v>317</v>
      </c>
    </row>
    <row r="228" customFormat="false" ht="15" hidden="false" customHeight="false" outlineLevel="0" collapsed="false">
      <c r="A228" s="26" t="s">
        <v>807</v>
      </c>
      <c r="B228" s="34" t="n">
        <v>46130</v>
      </c>
      <c r="C228" s="26" t="s">
        <v>360</v>
      </c>
      <c r="D228" s="27" t="s">
        <v>808</v>
      </c>
      <c r="E228" s="26" t="s">
        <v>107</v>
      </c>
      <c r="F228" s="27" t="s">
        <v>77</v>
      </c>
      <c r="G228" s="26" t="s">
        <v>234</v>
      </c>
      <c r="H228" s="27" t="str">
        <f aca="false">VLOOKUP(G228,'Product Master'!$A$5:$K$104,2,FALSE())</f>
        <v>Smart Automotive Item 040</v>
      </c>
      <c r="I228" s="27" t="str">
        <f aca="false">VLOOKUP(G228,'Product Master'!$A$5:$K$104,3,FALSE())</f>
        <v>Automotive</v>
      </c>
      <c r="J228" s="28" t="n">
        <v>24</v>
      </c>
      <c r="K228" s="29" t="n">
        <v>4502.79</v>
      </c>
      <c r="L228" s="29" t="n">
        <f aca="false">J228*K228</f>
        <v>108066.96</v>
      </c>
      <c r="M228" s="26" t="s">
        <v>35</v>
      </c>
      <c r="N228" s="34" t="n">
        <v>46131</v>
      </c>
      <c r="O228" s="34" t="n">
        <v>46134</v>
      </c>
      <c r="P228" s="34" t="n">
        <v>46142</v>
      </c>
      <c r="Q228" s="28" t="n">
        <f aca="false">IF(P228&lt;&gt;"",MAX(1,P228-B228),IF(M228="Dispatched",MAX(1,O228-B228),0))</f>
        <v>12</v>
      </c>
      <c r="R228" s="28" t="n">
        <f aca="false">IF(M228="Cancelled",0,IF(P228&lt;&gt;"",MAX(0,P228-O228),IF(T228&lt;&gt;"None",MAX(1,O228-B228-2),0)))</f>
        <v>8</v>
      </c>
      <c r="S228" s="26" t="s">
        <v>310</v>
      </c>
      <c r="T228" s="27" t="s">
        <v>106</v>
      </c>
    </row>
    <row r="229" customFormat="false" ht="15" hidden="false" customHeight="false" outlineLevel="0" collapsed="false">
      <c r="A229" s="18" t="s">
        <v>809</v>
      </c>
      <c r="B229" s="25" t="n">
        <v>46097</v>
      </c>
      <c r="C229" s="18" t="s">
        <v>810</v>
      </c>
      <c r="D229" s="20" t="s">
        <v>774</v>
      </c>
      <c r="E229" s="18" t="s">
        <v>111</v>
      </c>
      <c r="F229" s="20" t="s">
        <v>80</v>
      </c>
      <c r="G229" s="18" t="s">
        <v>255</v>
      </c>
      <c r="H229" s="20" t="str">
        <f aca="false">VLOOKUP(G229,'Product Master'!$A$5:$K$104,2,FALSE())</f>
        <v>Pro Industrial Item 061</v>
      </c>
      <c r="I229" s="20" t="str">
        <f aca="false">VLOOKUP(G229,'Product Master'!$A$5:$K$104,3,FALSE())</f>
        <v>Industrial</v>
      </c>
      <c r="J229" s="17" t="n">
        <v>9</v>
      </c>
      <c r="K229" s="16" t="n">
        <v>5193.69</v>
      </c>
      <c r="L229" s="16" t="n">
        <f aca="false">J229*K229</f>
        <v>46743.21</v>
      </c>
      <c r="M229" s="18" t="s">
        <v>35</v>
      </c>
      <c r="N229" s="25" t="n">
        <v>46098</v>
      </c>
      <c r="O229" s="25" t="n">
        <v>46101</v>
      </c>
      <c r="P229" s="25" t="n">
        <v>46105</v>
      </c>
      <c r="Q229" s="17" t="n">
        <f aca="false">IF(P229&lt;&gt;"",MAX(1,P229-B229),IF(M229="Dispatched",MAX(1,O229-B229),0))</f>
        <v>8</v>
      </c>
      <c r="R229" s="17" t="n">
        <f aca="false">IF(M229="Cancelled",0,IF(P229&lt;&gt;"",MAX(0,P229-O229),IF(T229&lt;&gt;"None",MAX(1,O229-B229-2),0)))</f>
        <v>4</v>
      </c>
      <c r="S229" s="18" t="s">
        <v>310</v>
      </c>
      <c r="T229" s="20" t="s">
        <v>110</v>
      </c>
    </row>
    <row r="230" customFormat="false" ht="15" hidden="false" customHeight="false" outlineLevel="0" collapsed="false">
      <c r="A230" s="26" t="s">
        <v>811</v>
      </c>
      <c r="B230" s="34" t="n">
        <v>46047</v>
      </c>
      <c r="C230" s="26" t="s">
        <v>812</v>
      </c>
      <c r="D230" s="27" t="s">
        <v>396</v>
      </c>
      <c r="E230" s="26" t="s">
        <v>111</v>
      </c>
      <c r="F230" s="27" t="s">
        <v>78</v>
      </c>
      <c r="G230" s="26" t="s">
        <v>206</v>
      </c>
      <c r="H230" s="27" t="str">
        <f aca="false">VLOOKUP(G230,'Product Master'!$A$5:$K$104,2,FALSE())</f>
        <v>Eco Personal Item 012</v>
      </c>
      <c r="I230" s="27" t="str">
        <f aca="false">VLOOKUP(G230,'Product Master'!$A$5:$K$104,3,FALSE())</f>
        <v>Personal Care</v>
      </c>
      <c r="J230" s="28" t="n">
        <v>12</v>
      </c>
      <c r="K230" s="29" t="n">
        <v>7685.49</v>
      </c>
      <c r="L230" s="29" t="n">
        <f aca="false">J230*K230</f>
        <v>92225.88</v>
      </c>
      <c r="M230" s="26" t="s">
        <v>35</v>
      </c>
      <c r="N230" s="34" t="n">
        <v>46049</v>
      </c>
      <c r="O230" s="34" t="n">
        <v>46051</v>
      </c>
      <c r="P230" s="34" t="n">
        <v>46051</v>
      </c>
      <c r="Q230" s="28" t="n">
        <f aca="false">IF(P230&lt;&gt;"",MAX(1,P230-B230),IF(M230="Dispatched",MAX(1,O230-B230),0))</f>
        <v>4</v>
      </c>
      <c r="R230" s="28" t="n">
        <f aca="false">IF(M230="Cancelled",0,IF(P230&lt;&gt;"",MAX(0,P230-O230),IF(T230&lt;&gt;"None",MAX(1,O230-B230-2),0)))</f>
        <v>0</v>
      </c>
      <c r="S230" s="26" t="s">
        <v>310</v>
      </c>
      <c r="T230" s="27" t="s">
        <v>317</v>
      </c>
    </row>
    <row r="231" customFormat="false" ht="15" hidden="false" customHeight="false" outlineLevel="0" collapsed="false">
      <c r="A231" s="18" t="s">
        <v>813</v>
      </c>
      <c r="B231" s="25" t="n">
        <v>46204</v>
      </c>
      <c r="C231" s="18" t="s">
        <v>697</v>
      </c>
      <c r="D231" s="20" t="s">
        <v>670</v>
      </c>
      <c r="E231" s="18" t="s">
        <v>111</v>
      </c>
      <c r="F231" s="20" t="s">
        <v>79</v>
      </c>
      <c r="G231" s="18" t="s">
        <v>196</v>
      </c>
      <c r="H231" s="20" t="str">
        <f aca="false">VLOOKUP(G231,'Product Master'!$A$5:$K$104,2,FALSE())</f>
        <v>Premium Home Item 002</v>
      </c>
      <c r="I231" s="20" t="str">
        <f aca="false">VLOOKUP(G231,'Product Master'!$A$5:$K$104,3,FALSE())</f>
        <v>Home &amp; Kitchen</v>
      </c>
      <c r="J231" s="17" t="n">
        <v>10</v>
      </c>
      <c r="K231" s="16" t="n">
        <v>9429.37</v>
      </c>
      <c r="L231" s="16" t="n">
        <f aca="false">J231*K231</f>
        <v>94293.7</v>
      </c>
      <c r="M231" s="18" t="s">
        <v>35</v>
      </c>
      <c r="N231" s="25" t="n">
        <v>46206</v>
      </c>
      <c r="O231" s="25" t="n">
        <v>46212</v>
      </c>
      <c r="P231" s="25" t="n">
        <v>46212</v>
      </c>
      <c r="Q231" s="17" t="n">
        <f aca="false">IF(P231&lt;&gt;"",MAX(1,P231-B231),IF(M231="Dispatched",MAX(1,O231-B231),0))</f>
        <v>8</v>
      </c>
      <c r="R231" s="17" t="n">
        <f aca="false">IF(M231="Cancelled",0,IF(P231&lt;&gt;"",MAX(0,P231-O231),IF(T231&lt;&gt;"None",MAX(1,O231-B231-2),0)))</f>
        <v>0</v>
      </c>
      <c r="S231" s="18" t="s">
        <v>310</v>
      </c>
      <c r="T231" s="20" t="s">
        <v>317</v>
      </c>
    </row>
    <row r="232" customFormat="false" ht="15" hidden="false" customHeight="false" outlineLevel="0" collapsed="false">
      <c r="A232" s="26" t="s">
        <v>814</v>
      </c>
      <c r="B232" s="34" t="n">
        <v>46141</v>
      </c>
      <c r="C232" s="26" t="s">
        <v>723</v>
      </c>
      <c r="D232" s="27" t="s">
        <v>437</v>
      </c>
      <c r="E232" s="26" t="s">
        <v>111</v>
      </c>
      <c r="F232" s="27" t="s">
        <v>79</v>
      </c>
      <c r="G232" s="26" t="s">
        <v>266</v>
      </c>
      <c r="H232" s="27" t="str">
        <f aca="false">VLOOKUP(G232,'Product Master'!$A$5:$K$104,2,FALSE())</f>
        <v>Premium Automotive Item 072</v>
      </c>
      <c r="I232" s="27" t="str">
        <f aca="false">VLOOKUP(G232,'Product Master'!$A$5:$K$104,3,FALSE())</f>
        <v>Automotive</v>
      </c>
      <c r="J232" s="28" t="n">
        <v>8</v>
      </c>
      <c r="K232" s="29" t="n">
        <v>1811.97</v>
      </c>
      <c r="L232" s="29" t="n">
        <f aca="false">J232*K232</f>
        <v>14495.76</v>
      </c>
      <c r="M232" s="26" t="s">
        <v>35</v>
      </c>
      <c r="N232" s="34" t="n">
        <v>46144</v>
      </c>
      <c r="O232" s="34" t="n">
        <v>46149</v>
      </c>
      <c r="P232" s="34" t="n">
        <v>46149</v>
      </c>
      <c r="Q232" s="28" t="n">
        <f aca="false">IF(P232&lt;&gt;"",MAX(1,P232-B232),IF(M232="Dispatched",MAX(1,O232-B232),0))</f>
        <v>8</v>
      </c>
      <c r="R232" s="28" t="n">
        <f aca="false">IF(M232="Cancelled",0,IF(P232&lt;&gt;"",MAX(0,P232-O232),IF(T232&lt;&gt;"None",MAX(1,O232-B232-2),0)))</f>
        <v>0</v>
      </c>
      <c r="S232" s="26" t="s">
        <v>310</v>
      </c>
      <c r="T232" s="27" t="s">
        <v>317</v>
      </c>
    </row>
    <row r="233" customFormat="false" ht="15" hidden="false" customHeight="false" outlineLevel="0" collapsed="false">
      <c r="A233" s="18" t="s">
        <v>815</v>
      </c>
      <c r="B233" s="25" t="n">
        <v>46195</v>
      </c>
      <c r="C233" s="18" t="s">
        <v>816</v>
      </c>
      <c r="D233" s="20" t="s">
        <v>620</v>
      </c>
      <c r="E233" s="18" t="s">
        <v>113</v>
      </c>
      <c r="F233" s="20" t="s">
        <v>78</v>
      </c>
      <c r="G233" s="18" t="s">
        <v>292</v>
      </c>
      <c r="H233" s="20" t="str">
        <f aca="false">VLOOKUP(G233,'Product Master'!$A$5:$K$104,2,FALSE())</f>
        <v>Compact Home Item 098</v>
      </c>
      <c r="I233" s="20" t="str">
        <f aca="false">VLOOKUP(G233,'Product Master'!$A$5:$K$104,3,FALSE())</f>
        <v>Home &amp; Kitchen</v>
      </c>
      <c r="J233" s="17" t="n">
        <v>10</v>
      </c>
      <c r="K233" s="16" t="n">
        <v>9200.31</v>
      </c>
      <c r="L233" s="16" t="n">
        <f aca="false">J233*K233</f>
        <v>92003.1</v>
      </c>
      <c r="M233" s="18" t="s">
        <v>37</v>
      </c>
      <c r="N233" s="25"/>
      <c r="O233" s="25" t="n">
        <v>46201</v>
      </c>
      <c r="P233" s="25"/>
      <c r="Q233" s="17" t="n">
        <f aca="false">IF(P233&lt;&gt;"",MAX(1,P233-B233),IF(M233="Dispatched",MAX(1,O233-B233),0))</f>
        <v>0</v>
      </c>
      <c r="R233" s="17" t="n">
        <f aca="false">IF(M233="Cancelled",0,IF(P233&lt;&gt;"",MAX(0,P233-O233),IF(T233&lt;&gt;"None",MAX(1,O233-B233-2),0)))</f>
        <v>0</v>
      </c>
      <c r="S233" s="18" t="s">
        <v>310</v>
      </c>
      <c r="T233" s="20" t="s">
        <v>317</v>
      </c>
    </row>
    <row r="234" customFormat="false" ht="15" hidden="false" customHeight="false" outlineLevel="0" collapsed="false">
      <c r="A234" s="26" t="s">
        <v>817</v>
      </c>
      <c r="B234" s="34" t="n">
        <v>45987</v>
      </c>
      <c r="C234" s="26" t="s">
        <v>818</v>
      </c>
      <c r="D234" s="27" t="s">
        <v>819</v>
      </c>
      <c r="E234" s="26" t="s">
        <v>111</v>
      </c>
      <c r="F234" s="27" t="s">
        <v>80</v>
      </c>
      <c r="G234" s="26" t="s">
        <v>276</v>
      </c>
      <c r="H234" s="27" t="str">
        <f aca="false">VLOOKUP(G234,'Product Master'!$A$5:$K$104,2,FALSE())</f>
        <v>Compact Home Item 082</v>
      </c>
      <c r="I234" s="27" t="str">
        <f aca="false">VLOOKUP(G234,'Product Master'!$A$5:$K$104,3,FALSE())</f>
        <v>Home &amp; Kitchen</v>
      </c>
      <c r="J234" s="28" t="n">
        <v>15</v>
      </c>
      <c r="K234" s="29" t="n">
        <v>3454.52</v>
      </c>
      <c r="L234" s="29" t="n">
        <f aca="false">J234*K234</f>
        <v>51817.8</v>
      </c>
      <c r="M234" s="26" t="s">
        <v>35</v>
      </c>
      <c r="N234" s="34" t="n">
        <v>45988</v>
      </c>
      <c r="O234" s="34" t="n">
        <v>45996</v>
      </c>
      <c r="P234" s="34" t="n">
        <v>45997</v>
      </c>
      <c r="Q234" s="28" t="n">
        <f aca="false">IF(P234&lt;&gt;"",MAX(1,P234-B234),IF(M234="Dispatched",MAX(1,O234-B234),0))</f>
        <v>10</v>
      </c>
      <c r="R234" s="28" t="n">
        <f aca="false">IF(M234="Cancelled",0,IF(P234&lt;&gt;"",MAX(0,P234-O234),IF(T234&lt;&gt;"None",MAX(1,O234-B234-2),0)))</f>
        <v>1</v>
      </c>
      <c r="S234" s="26" t="s">
        <v>310</v>
      </c>
      <c r="T234" s="27" t="s">
        <v>115</v>
      </c>
    </row>
    <row r="235" customFormat="false" ht="15" hidden="false" customHeight="false" outlineLevel="0" collapsed="false">
      <c r="A235" s="18" t="s">
        <v>820</v>
      </c>
      <c r="B235" s="25" t="n">
        <v>45983</v>
      </c>
      <c r="C235" s="18" t="s">
        <v>818</v>
      </c>
      <c r="D235" s="20" t="s">
        <v>711</v>
      </c>
      <c r="E235" s="18" t="s">
        <v>109</v>
      </c>
      <c r="F235" s="20" t="s">
        <v>77</v>
      </c>
      <c r="G235" s="18" t="s">
        <v>231</v>
      </c>
      <c r="H235" s="20" t="str">
        <f aca="false">VLOOKUP(G235,'Product Master'!$A$5:$K$104,2,FALSE())</f>
        <v>Pro Industrial Item 037</v>
      </c>
      <c r="I235" s="20" t="str">
        <f aca="false">VLOOKUP(G235,'Product Master'!$A$5:$K$104,3,FALSE())</f>
        <v>Industrial</v>
      </c>
      <c r="J235" s="17" t="n">
        <v>23</v>
      </c>
      <c r="K235" s="16" t="n">
        <v>6419.17</v>
      </c>
      <c r="L235" s="16" t="n">
        <f aca="false">J235*K235</f>
        <v>147640.91</v>
      </c>
      <c r="M235" s="18" t="s">
        <v>35</v>
      </c>
      <c r="N235" s="25" t="n">
        <v>45984</v>
      </c>
      <c r="O235" s="25" t="n">
        <v>45985</v>
      </c>
      <c r="P235" s="25" t="n">
        <v>45985</v>
      </c>
      <c r="Q235" s="17" t="n">
        <f aca="false">IF(P235&lt;&gt;"",MAX(1,P235-B235),IF(M235="Dispatched",MAX(1,O235-B235),0))</f>
        <v>2</v>
      </c>
      <c r="R235" s="17" t="n">
        <f aca="false">IF(M235="Cancelled",0,IF(P235&lt;&gt;"",MAX(0,P235-O235),IF(T235&lt;&gt;"None",MAX(1,O235-B235-2),0)))</f>
        <v>0</v>
      </c>
      <c r="S235" s="18" t="s">
        <v>310</v>
      </c>
      <c r="T235" s="20" t="s">
        <v>317</v>
      </c>
    </row>
    <row r="236" customFormat="false" ht="15" hidden="false" customHeight="false" outlineLevel="0" collapsed="false">
      <c r="A236" s="26" t="s">
        <v>821</v>
      </c>
      <c r="B236" s="34" t="n">
        <v>46146</v>
      </c>
      <c r="C236" s="26" t="s">
        <v>565</v>
      </c>
      <c r="D236" s="27" t="s">
        <v>524</v>
      </c>
      <c r="E236" s="26" t="s">
        <v>111</v>
      </c>
      <c r="F236" s="27" t="s">
        <v>78</v>
      </c>
      <c r="G236" s="26" t="s">
        <v>234</v>
      </c>
      <c r="H236" s="27" t="str">
        <f aca="false">VLOOKUP(G236,'Product Master'!$A$5:$K$104,2,FALSE())</f>
        <v>Smart Automotive Item 040</v>
      </c>
      <c r="I236" s="27" t="str">
        <f aca="false">VLOOKUP(G236,'Product Master'!$A$5:$K$104,3,FALSE())</f>
        <v>Automotive</v>
      </c>
      <c r="J236" s="28" t="n">
        <v>15</v>
      </c>
      <c r="K236" s="29" t="n">
        <v>4502.79</v>
      </c>
      <c r="L236" s="29" t="n">
        <f aca="false">J236*K236</f>
        <v>67541.85</v>
      </c>
      <c r="M236" s="26" t="s">
        <v>37</v>
      </c>
      <c r="N236" s="34"/>
      <c r="O236" s="34" t="n">
        <v>46148</v>
      </c>
      <c r="P236" s="34"/>
      <c r="Q236" s="28" t="n">
        <f aca="false">IF(P236&lt;&gt;"",MAX(1,P236-B236),IF(M236="Dispatched",MAX(1,O236-B236),0))</f>
        <v>0</v>
      </c>
      <c r="R236" s="28" t="n">
        <f aca="false">IF(M236="Cancelled",0,IF(P236&lt;&gt;"",MAX(0,P236-O236),IF(T236&lt;&gt;"None",MAX(1,O236-B236-2),0)))</f>
        <v>1</v>
      </c>
      <c r="S236" s="26" t="s">
        <v>310</v>
      </c>
      <c r="T236" s="27" t="s">
        <v>116</v>
      </c>
    </row>
    <row r="237" customFormat="false" ht="15" hidden="false" customHeight="false" outlineLevel="0" collapsed="false">
      <c r="A237" s="18" t="s">
        <v>822</v>
      </c>
      <c r="B237" s="25" t="n">
        <v>46131</v>
      </c>
      <c r="C237" s="18" t="s">
        <v>445</v>
      </c>
      <c r="D237" s="20" t="s">
        <v>823</v>
      </c>
      <c r="E237" s="18" t="s">
        <v>113</v>
      </c>
      <c r="F237" s="20" t="s">
        <v>79</v>
      </c>
      <c r="G237" s="18" t="s">
        <v>204</v>
      </c>
      <c r="H237" s="20" t="str">
        <f aca="false">VLOOKUP(G237,'Product Master'!$A$5:$K$104,2,FALSE())</f>
        <v>Essential Home Item 010</v>
      </c>
      <c r="I237" s="20" t="str">
        <f aca="false">VLOOKUP(G237,'Product Master'!$A$5:$K$104,3,FALSE())</f>
        <v>Home &amp; Kitchen</v>
      </c>
      <c r="J237" s="17" t="n">
        <v>6</v>
      </c>
      <c r="K237" s="16" t="n">
        <v>7388.75</v>
      </c>
      <c r="L237" s="16" t="n">
        <f aca="false">J237*K237</f>
        <v>44332.5</v>
      </c>
      <c r="M237" s="18" t="s">
        <v>35</v>
      </c>
      <c r="N237" s="25" t="n">
        <v>46134</v>
      </c>
      <c r="O237" s="25" t="n">
        <v>46137</v>
      </c>
      <c r="P237" s="25" t="n">
        <v>46136</v>
      </c>
      <c r="Q237" s="17" t="n">
        <f aca="false">IF(P237&lt;&gt;"",MAX(1,P237-B237),IF(M237="Dispatched",MAX(1,O237-B237),0))</f>
        <v>5</v>
      </c>
      <c r="R237" s="17" t="n">
        <f aca="false">IF(M237="Cancelled",0,IF(P237&lt;&gt;"",MAX(0,P237-O237),IF(T237&lt;&gt;"None",MAX(1,O237-B237-2),0)))</f>
        <v>0</v>
      </c>
      <c r="S237" s="18" t="s">
        <v>37</v>
      </c>
      <c r="T237" s="20" t="s">
        <v>317</v>
      </c>
    </row>
    <row r="238" customFormat="false" ht="15" hidden="false" customHeight="false" outlineLevel="0" collapsed="false">
      <c r="A238" s="26" t="s">
        <v>824</v>
      </c>
      <c r="B238" s="34" t="n">
        <v>46157</v>
      </c>
      <c r="C238" s="26" t="s">
        <v>600</v>
      </c>
      <c r="D238" s="27" t="s">
        <v>780</v>
      </c>
      <c r="E238" s="26" t="s">
        <v>105</v>
      </c>
      <c r="F238" s="27" t="s">
        <v>77</v>
      </c>
      <c r="G238" s="26" t="s">
        <v>226</v>
      </c>
      <c r="H238" s="27" t="str">
        <f aca="false">VLOOKUP(G238,'Product Master'!$A$5:$K$104,2,FALSE())</f>
        <v>Smart Automotive Item 032</v>
      </c>
      <c r="I238" s="27" t="str">
        <f aca="false">VLOOKUP(G238,'Product Master'!$A$5:$K$104,3,FALSE())</f>
        <v>Automotive</v>
      </c>
      <c r="J238" s="28" t="n">
        <v>15</v>
      </c>
      <c r="K238" s="29" t="n">
        <v>10211.16</v>
      </c>
      <c r="L238" s="29" t="n">
        <f aca="false">J238*K238</f>
        <v>153167.4</v>
      </c>
      <c r="M238" s="26" t="s">
        <v>39</v>
      </c>
      <c r="N238" s="34"/>
      <c r="O238" s="34" t="n">
        <v>46160</v>
      </c>
      <c r="P238" s="34"/>
      <c r="Q238" s="28" t="n">
        <f aca="false">IF(P238&lt;&gt;"",MAX(1,P238-B238),IF(M238="Dispatched",MAX(1,O238-B238),0))</f>
        <v>0</v>
      </c>
      <c r="R238" s="28" t="n">
        <f aca="false">IF(M238="Cancelled",0,IF(P238&lt;&gt;"",MAX(0,P238-O238),IF(T238&lt;&gt;"None",MAX(1,O238-B238-2),0)))</f>
        <v>1</v>
      </c>
      <c r="S238" s="26" t="s">
        <v>339</v>
      </c>
      <c r="T238" s="27" t="s">
        <v>106</v>
      </c>
    </row>
    <row r="239" customFormat="false" ht="15" hidden="false" customHeight="false" outlineLevel="0" collapsed="false">
      <c r="A239" s="18" t="s">
        <v>825</v>
      </c>
      <c r="B239" s="25" t="n">
        <v>46096</v>
      </c>
      <c r="C239" s="18" t="s">
        <v>482</v>
      </c>
      <c r="D239" s="20" t="s">
        <v>313</v>
      </c>
      <c r="E239" s="18" t="s">
        <v>105</v>
      </c>
      <c r="F239" s="20" t="s">
        <v>80</v>
      </c>
      <c r="G239" s="18" t="s">
        <v>215</v>
      </c>
      <c r="H239" s="20" t="str">
        <f aca="false">VLOOKUP(G239,'Product Master'!$A$5:$K$104,2,FALSE())</f>
        <v>Eco Industrial Item 021</v>
      </c>
      <c r="I239" s="20" t="str">
        <f aca="false">VLOOKUP(G239,'Product Master'!$A$5:$K$104,3,FALSE())</f>
        <v>Industrial</v>
      </c>
      <c r="J239" s="17" t="n">
        <v>17</v>
      </c>
      <c r="K239" s="16" t="n">
        <v>2056.91</v>
      </c>
      <c r="L239" s="16" t="n">
        <f aca="false">J239*K239</f>
        <v>34967.47</v>
      </c>
      <c r="M239" s="18" t="s">
        <v>35</v>
      </c>
      <c r="N239" s="25" t="n">
        <v>46098</v>
      </c>
      <c r="O239" s="25" t="n">
        <v>46105</v>
      </c>
      <c r="P239" s="25" t="n">
        <v>46105</v>
      </c>
      <c r="Q239" s="17" t="n">
        <f aca="false">IF(P239&lt;&gt;"",MAX(1,P239-B239),IF(M239="Dispatched",MAX(1,O239-B239),0))</f>
        <v>9</v>
      </c>
      <c r="R239" s="17" t="n">
        <f aca="false">IF(M239="Cancelled",0,IF(P239&lt;&gt;"",MAX(0,P239-O239),IF(T239&lt;&gt;"None",MAX(1,O239-B239-2),0)))</f>
        <v>0</v>
      </c>
      <c r="S239" s="18" t="s">
        <v>310</v>
      </c>
      <c r="T239" s="20" t="s">
        <v>317</v>
      </c>
    </row>
    <row r="240" customFormat="false" ht="15" hidden="false" customHeight="false" outlineLevel="0" collapsed="false">
      <c r="A240" s="26" t="s">
        <v>826</v>
      </c>
      <c r="B240" s="34" t="n">
        <v>45988</v>
      </c>
      <c r="C240" s="26" t="s">
        <v>827</v>
      </c>
      <c r="D240" s="27" t="s">
        <v>828</v>
      </c>
      <c r="E240" s="26" t="s">
        <v>111</v>
      </c>
      <c r="F240" s="27" t="s">
        <v>78</v>
      </c>
      <c r="G240" s="26" t="s">
        <v>225</v>
      </c>
      <c r="H240" s="27" t="str">
        <f aca="false">VLOOKUP(G240,'Product Master'!$A$5:$K$104,2,FALSE())</f>
        <v>Essential Apparel Item 031</v>
      </c>
      <c r="I240" s="27" t="str">
        <f aca="false">VLOOKUP(G240,'Product Master'!$A$5:$K$104,3,FALSE())</f>
        <v>Apparel</v>
      </c>
      <c r="J240" s="28" t="n">
        <v>1</v>
      </c>
      <c r="K240" s="29" t="n">
        <v>11597.85</v>
      </c>
      <c r="L240" s="29" t="n">
        <f aca="false">J240*K240</f>
        <v>11597.85</v>
      </c>
      <c r="M240" s="26" t="s">
        <v>35</v>
      </c>
      <c r="N240" s="34" t="n">
        <v>45988</v>
      </c>
      <c r="O240" s="34" t="n">
        <v>45994</v>
      </c>
      <c r="P240" s="34" t="n">
        <v>45996</v>
      </c>
      <c r="Q240" s="28" t="n">
        <f aca="false">IF(P240&lt;&gt;"",MAX(1,P240-B240),IF(M240="Dispatched",MAX(1,O240-B240),0))</f>
        <v>8</v>
      </c>
      <c r="R240" s="28" t="n">
        <f aca="false">IF(M240="Cancelled",0,IF(P240&lt;&gt;"",MAX(0,P240-O240),IF(T240&lt;&gt;"None",MAX(1,O240-B240-2),0)))</f>
        <v>2</v>
      </c>
      <c r="S240" s="26" t="s">
        <v>37</v>
      </c>
      <c r="T240" s="27" t="s">
        <v>106</v>
      </c>
    </row>
    <row r="241" customFormat="false" ht="15" hidden="false" customHeight="false" outlineLevel="0" collapsed="false">
      <c r="A241" s="18" t="s">
        <v>829</v>
      </c>
      <c r="B241" s="25" t="n">
        <v>46174</v>
      </c>
      <c r="C241" s="18" t="s">
        <v>669</v>
      </c>
      <c r="D241" s="20" t="s">
        <v>351</v>
      </c>
      <c r="E241" s="18" t="s">
        <v>113</v>
      </c>
      <c r="F241" s="20" t="s">
        <v>77</v>
      </c>
      <c r="G241" s="18" t="s">
        <v>283</v>
      </c>
      <c r="H241" s="20" t="str">
        <f aca="false">VLOOKUP(G241,'Product Master'!$A$5:$K$104,2,FALSE())</f>
        <v>Everyday Electronics Item 089</v>
      </c>
      <c r="I241" s="20" t="str">
        <f aca="false">VLOOKUP(G241,'Product Master'!$A$5:$K$104,3,FALSE())</f>
        <v>Electronics</v>
      </c>
      <c r="J241" s="17" t="n">
        <v>12</v>
      </c>
      <c r="K241" s="16" t="n">
        <v>2282.32</v>
      </c>
      <c r="L241" s="16" t="n">
        <f aca="false">J241*K241</f>
        <v>27387.84</v>
      </c>
      <c r="M241" s="18" t="s">
        <v>39</v>
      </c>
      <c r="N241" s="25"/>
      <c r="O241" s="25" t="n">
        <v>46179</v>
      </c>
      <c r="P241" s="25"/>
      <c r="Q241" s="17" t="n">
        <f aca="false">IF(P241&lt;&gt;"",MAX(1,P241-B241),IF(M241="Dispatched",MAX(1,O241-B241),0))</f>
        <v>0</v>
      </c>
      <c r="R241" s="17" t="n">
        <f aca="false">IF(M241="Cancelled",0,IF(P241&lt;&gt;"",MAX(0,P241-O241),IF(T241&lt;&gt;"None",MAX(1,O241-B241-2),0)))</f>
        <v>0</v>
      </c>
      <c r="S241" s="18" t="s">
        <v>310</v>
      </c>
      <c r="T241" s="20" t="s">
        <v>317</v>
      </c>
    </row>
    <row r="242" customFormat="false" ht="15" hidden="false" customHeight="false" outlineLevel="0" collapsed="false">
      <c r="A242" s="26" t="s">
        <v>830</v>
      </c>
      <c r="B242" s="34" t="n">
        <v>46251</v>
      </c>
      <c r="C242" s="26" t="s">
        <v>554</v>
      </c>
      <c r="D242" s="27" t="s">
        <v>762</v>
      </c>
      <c r="E242" s="26" t="s">
        <v>105</v>
      </c>
      <c r="F242" s="27" t="s">
        <v>78</v>
      </c>
      <c r="G242" s="26" t="s">
        <v>202</v>
      </c>
      <c r="H242" s="27" t="str">
        <f aca="false">VLOOKUP(G242,'Product Master'!$A$5:$K$104,2,FALSE())</f>
        <v>Smart Automotive Item 008</v>
      </c>
      <c r="I242" s="27" t="str">
        <f aca="false">VLOOKUP(G242,'Product Master'!$A$5:$K$104,3,FALSE())</f>
        <v>Automotive</v>
      </c>
      <c r="J242" s="28" t="n">
        <v>21</v>
      </c>
      <c r="K242" s="29" t="n">
        <v>8489.02</v>
      </c>
      <c r="L242" s="29" t="n">
        <f aca="false">J242*K242</f>
        <v>178269.42</v>
      </c>
      <c r="M242" s="26" t="s">
        <v>35</v>
      </c>
      <c r="N242" s="34" t="n">
        <v>46252</v>
      </c>
      <c r="O242" s="34" t="n">
        <v>46254</v>
      </c>
      <c r="P242" s="34" t="n">
        <v>46258</v>
      </c>
      <c r="Q242" s="28" t="n">
        <f aca="false">IF(P242&lt;&gt;"",MAX(1,P242-B242),IF(M242="Dispatched",MAX(1,O242-B242),0))</f>
        <v>7</v>
      </c>
      <c r="R242" s="28" t="n">
        <f aca="false">IF(M242="Cancelled",0,IF(P242&lt;&gt;"",MAX(0,P242-O242),IF(T242&lt;&gt;"None",MAX(1,O242-B242-2),0)))</f>
        <v>4</v>
      </c>
      <c r="S242" s="26" t="s">
        <v>352</v>
      </c>
      <c r="T242" s="27" t="s">
        <v>106</v>
      </c>
    </row>
    <row r="243" customFormat="false" ht="15" hidden="false" customHeight="false" outlineLevel="0" collapsed="false">
      <c r="A243" s="18" t="s">
        <v>831</v>
      </c>
      <c r="B243" s="25" t="n">
        <v>46311</v>
      </c>
      <c r="C243" s="18" t="s">
        <v>416</v>
      </c>
      <c r="D243" s="20" t="s">
        <v>320</v>
      </c>
      <c r="E243" s="18" t="s">
        <v>105</v>
      </c>
      <c r="F243" s="20" t="s">
        <v>79</v>
      </c>
      <c r="G243" s="18" t="s">
        <v>219</v>
      </c>
      <c r="H243" s="20" t="str">
        <f aca="false">VLOOKUP(G243,'Product Master'!$A$5:$K$104,2,FALSE())</f>
        <v>Pro Electronics Item 025</v>
      </c>
      <c r="I243" s="20" t="str">
        <f aca="false">VLOOKUP(G243,'Product Master'!$A$5:$K$104,3,FALSE())</f>
        <v>Electronics</v>
      </c>
      <c r="J243" s="17" t="n">
        <v>12</v>
      </c>
      <c r="K243" s="16" t="n">
        <v>9400.79</v>
      </c>
      <c r="L243" s="16" t="n">
        <f aca="false">J243*K243</f>
        <v>112809.48</v>
      </c>
      <c r="M243" s="18" t="s">
        <v>35</v>
      </c>
      <c r="N243" s="25" t="n">
        <v>46312</v>
      </c>
      <c r="O243" s="25" t="n">
        <v>46315</v>
      </c>
      <c r="P243" s="25" t="n">
        <v>46314</v>
      </c>
      <c r="Q243" s="17" t="n">
        <f aca="false">IF(P243&lt;&gt;"",MAX(1,P243-B243),IF(M243="Dispatched",MAX(1,O243-B243),0))</f>
        <v>3</v>
      </c>
      <c r="R243" s="17" t="n">
        <f aca="false">IF(M243="Cancelled",0,IF(P243&lt;&gt;"",MAX(0,P243-O243),IF(T243&lt;&gt;"None",MAX(1,O243-B243-2),0)))</f>
        <v>0</v>
      </c>
      <c r="S243" s="18" t="s">
        <v>310</v>
      </c>
      <c r="T243" s="20" t="s">
        <v>317</v>
      </c>
    </row>
    <row r="244" customFormat="false" ht="15" hidden="false" customHeight="false" outlineLevel="0" collapsed="false">
      <c r="A244" s="26" t="s">
        <v>832</v>
      </c>
      <c r="B244" s="34" t="n">
        <v>46287</v>
      </c>
      <c r="C244" s="26" t="s">
        <v>833</v>
      </c>
      <c r="D244" s="27" t="s">
        <v>834</v>
      </c>
      <c r="E244" s="26" t="s">
        <v>107</v>
      </c>
      <c r="F244" s="27" t="s">
        <v>80</v>
      </c>
      <c r="G244" s="26" t="s">
        <v>257</v>
      </c>
      <c r="H244" s="27" t="str">
        <f aca="false">VLOOKUP(G244,'Product Master'!$A$5:$K$104,2,FALSE())</f>
        <v>Everyday Apparel Item 063</v>
      </c>
      <c r="I244" s="27" t="str">
        <f aca="false">VLOOKUP(G244,'Product Master'!$A$5:$K$104,3,FALSE())</f>
        <v>Apparel</v>
      </c>
      <c r="J244" s="28" t="n">
        <v>6</v>
      </c>
      <c r="K244" s="29" t="n">
        <v>3551.07</v>
      </c>
      <c r="L244" s="29" t="n">
        <f aca="false">J244*K244</f>
        <v>21306.42</v>
      </c>
      <c r="M244" s="26" t="s">
        <v>35</v>
      </c>
      <c r="N244" s="34" t="n">
        <v>46290</v>
      </c>
      <c r="O244" s="34" t="n">
        <v>46294</v>
      </c>
      <c r="P244" s="34" t="n">
        <v>46294</v>
      </c>
      <c r="Q244" s="28" t="n">
        <f aca="false">IF(P244&lt;&gt;"",MAX(1,P244-B244),IF(M244="Dispatched",MAX(1,O244-B244),0))</f>
        <v>7</v>
      </c>
      <c r="R244" s="28" t="n">
        <f aca="false">IF(M244="Cancelled",0,IF(P244&lt;&gt;"",MAX(0,P244-O244),IF(T244&lt;&gt;"None",MAX(1,O244-B244-2),0)))</f>
        <v>0</v>
      </c>
      <c r="S244" s="26" t="s">
        <v>310</v>
      </c>
      <c r="T244" s="27" t="s">
        <v>317</v>
      </c>
    </row>
    <row r="245" customFormat="false" ht="15" hidden="false" customHeight="false" outlineLevel="0" collapsed="false">
      <c r="A245" s="18" t="s">
        <v>835</v>
      </c>
      <c r="B245" s="25" t="n">
        <v>46161</v>
      </c>
      <c r="C245" s="18" t="s">
        <v>806</v>
      </c>
      <c r="D245" s="20" t="s">
        <v>762</v>
      </c>
      <c r="E245" s="18" t="s">
        <v>109</v>
      </c>
      <c r="F245" s="20" t="s">
        <v>80</v>
      </c>
      <c r="G245" s="18" t="s">
        <v>232</v>
      </c>
      <c r="H245" s="20" t="str">
        <f aca="false">VLOOKUP(G245,'Product Master'!$A$5:$K$104,2,FALSE())</f>
        <v>Eco Packaging Item 038</v>
      </c>
      <c r="I245" s="20" t="str">
        <f aca="false">VLOOKUP(G245,'Product Master'!$A$5:$K$104,3,FALSE())</f>
        <v>Packaging</v>
      </c>
      <c r="J245" s="17" t="n">
        <v>12</v>
      </c>
      <c r="K245" s="16" t="n">
        <v>7556.46</v>
      </c>
      <c r="L245" s="16" t="n">
        <f aca="false">J245*K245</f>
        <v>90677.52</v>
      </c>
      <c r="M245" s="18" t="s">
        <v>35</v>
      </c>
      <c r="N245" s="25" t="n">
        <v>46162</v>
      </c>
      <c r="O245" s="25" t="n">
        <v>46169</v>
      </c>
      <c r="P245" s="25" t="n">
        <v>46165</v>
      </c>
      <c r="Q245" s="17" t="n">
        <f aca="false">IF(P245&lt;&gt;"",MAX(1,P245-B245),IF(M245="Dispatched",MAX(1,O245-B245),0))</f>
        <v>4</v>
      </c>
      <c r="R245" s="17" t="n">
        <f aca="false">IF(M245="Cancelled",0,IF(P245&lt;&gt;"",MAX(0,P245-O245),IF(T245&lt;&gt;"None",MAX(1,O245-B245-2),0)))</f>
        <v>0</v>
      </c>
      <c r="S245" s="18" t="s">
        <v>310</v>
      </c>
      <c r="T245" s="20" t="s">
        <v>317</v>
      </c>
    </row>
    <row r="246" customFormat="false" ht="15" hidden="false" customHeight="false" outlineLevel="0" collapsed="false">
      <c r="A246" s="26" t="s">
        <v>836</v>
      </c>
      <c r="B246" s="34" t="n">
        <v>46095</v>
      </c>
      <c r="C246" s="26" t="s">
        <v>380</v>
      </c>
      <c r="D246" s="27" t="s">
        <v>633</v>
      </c>
      <c r="E246" s="26" t="s">
        <v>105</v>
      </c>
      <c r="F246" s="27" t="s">
        <v>80</v>
      </c>
      <c r="G246" s="26" t="s">
        <v>287</v>
      </c>
      <c r="H246" s="27" t="str">
        <f aca="false">VLOOKUP(G246,'Product Master'!$A$5:$K$104,2,FALSE())</f>
        <v>Compact Industrial Item 093</v>
      </c>
      <c r="I246" s="27" t="str">
        <f aca="false">VLOOKUP(G246,'Product Master'!$A$5:$K$104,3,FALSE())</f>
        <v>Industrial</v>
      </c>
      <c r="J246" s="28" t="n">
        <v>13</v>
      </c>
      <c r="K246" s="29" t="n">
        <v>7420.7</v>
      </c>
      <c r="L246" s="29" t="n">
        <f aca="false">J246*K246</f>
        <v>96469.1</v>
      </c>
      <c r="M246" s="26" t="s">
        <v>35</v>
      </c>
      <c r="N246" s="34" t="n">
        <v>46096</v>
      </c>
      <c r="O246" s="34" t="n">
        <v>46104</v>
      </c>
      <c r="P246" s="34" t="n">
        <v>46104</v>
      </c>
      <c r="Q246" s="28" t="n">
        <f aca="false">IF(P246&lt;&gt;"",MAX(1,P246-B246),IF(M246="Dispatched",MAX(1,O246-B246),0))</f>
        <v>9</v>
      </c>
      <c r="R246" s="28" t="n">
        <f aca="false">IF(M246="Cancelled",0,IF(P246&lt;&gt;"",MAX(0,P246-O246),IF(T246&lt;&gt;"None",MAX(1,O246-B246-2),0)))</f>
        <v>0</v>
      </c>
      <c r="S246" s="26" t="s">
        <v>310</v>
      </c>
      <c r="T246" s="27" t="s">
        <v>317</v>
      </c>
    </row>
    <row r="247" customFormat="false" ht="15" hidden="false" customHeight="false" outlineLevel="0" collapsed="false">
      <c r="A247" s="18" t="s">
        <v>837</v>
      </c>
      <c r="B247" s="25" t="n">
        <v>45980</v>
      </c>
      <c r="C247" s="18" t="s">
        <v>416</v>
      </c>
      <c r="D247" s="20" t="s">
        <v>838</v>
      </c>
      <c r="E247" s="18" t="s">
        <v>105</v>
      </c>
      <c r="F247" s="20" t="s">
        <v>76</v>
      </c>
      <c r="G247" s="18" t="s">
        <v>261</v>
      </c>
      <c r="H247" s="20" t="str">
        <f aca="false">VLOOKUP(G247,'Product Master'!$A$5:$K$104,2,FALSE())</f>
        <v>Premium Office Item 067</v>
      </c>
      <c r="I247" s="20" t="str">
        <f aca="false">VLOOKUP(G247,'Product Master'!$A$5:$K$104,3,FALSE())</f>
        <v>Office Supplies</v>
      </c>
      <c r="J247" s="17" t="n">
        <v>5</v>
      </c>
      <c r="K247" s="16" t="n">
        <v>3543.72</v>
      </c>
      <c r="L247" s="16" t="n">
        <f aca="false">J247*K247</f>
        <v>17718.6</v>
      </c>
      <c r="M247" s="18" t="s">
        <v>35</v>
      </c>
      <c r="N247" s="25" t="n">
        <v>45981</v>
      </c>
      <c r="O247" s="25" t="n">
        <v>45982</v>
      </c>
      <c r="P247" s="25" t="n">
        <v>45982</v>
      </c>
      <c r="Q247" s="17" t="n">
        <f aca="false">IF(P247&lt;&gt;"",MAX(1,P247-B247),IF(M247="Dispatched",MAX(1,O247-B247),0))</f>
        <v>2</v>
      </c>
      <c r="R247" s="17" t="n">
        <f aca="false">IF(M247="Cancelled",0,IF(P247&lt;&gt;"",MAX(0,P247-O247),IF(T247&lt;&gt;"None",MAX(1,O247-B247-2),0)))</f>
        <v>0</v>
      </c>
      <c r="S247" s="18" t="s">
        <v>310</v>
      </c>
      <c r="T247" s="20" t="s">
        <v>317</v>
      </c>
    </row>
    <row r="248" customFormat="false" ht="15" hidden="false" customHeight="false" outlineLevel="0" collapsed="false">
      <c r="A248" s="26" t="s">
        <v>839</v>
      </c>
      <c r="B248" s="34" t="n">
        <v>46259</v>
      </c>
      <c r="C248" s="26" t="s">
        <v>840</v>
      </c>
      <c r="D248" s="27" t="s">
        <v>769</v>
      </c>
      <c r="E248" s="26" t="s">
        <v>111</v>
      </c>
      <c r="F248" s="27" t="s">
        <v>80</v>
      </c>
      <c r="G248" s="26" t="s">
        <v>244</v>
      </c>
      <c r="H248" s="27" t="str">
        <f aca="false">VLOOKUP(G248,'Product Master'!$A$5:$K$104,2,FALSE())</f>
        <v>Eco Home Item 050</v>
      </c>
      <c r="I248" s="27" t="str">
        <f aca="false">VLOOKUP(G248,'Product Master'!$A$5:$K$104,3,FALSE())</f>
        <v>Home &amp; Kitchen</v>
      </c>
      <c r="J248" s="28" t="n">
        <v>20</v>
      </c>
      <c r="K248" s="29" t="n">
        <v>5831.62</v>
      </c>
      <c r="L248" s="29" t="n">
        <f aca="false">J248*K248</f>
        <v>116632.4</v>
      </c>
      <c r="M248" s="26" t="s">
        <v>39</v>
      </c>
      <c r="N248" s="34"/>
      <c r="O248" s="34" t="n">
        <v>46265</v>
      </c>
      <c r="P248" s="34"/>
      <c r="Q248" s="28" t="n">
        <f aca="false">IF(P248&lt;&gt;"",MAX(1,P248-B248),IF(M248="Dispatched",MAX(1,O248-B248),0))</f>
        <v>0</v>
      </c>
      <c r="R248" s="28" t="n">
        <f aca="false">IF(M248="Cancelled",0,IF(P248&lt;&gt;"",MAX(0,P248-O248),IF(T248&lt;&gt;"None",MAX(1,O248-B248-2),0)))</f>
        <v>4</v>
      </c>
      <c r="S248" s="26" t="s">
        <v>37</v>
      </c>
      <c r="T248" s="27" t="s">
        <v>106</v>
      </c>
    </row>
    <row r="249" customFormat="false" ht="15" hidden="false" customHeight="false" outlineLevel="0" collapsed="false">
      <c r="A249" s="18" t="s">
        <v>841</v>
      </c>
      <c r="B249" s="25" t="n">
        <v>45937</v>
      </c>
      <c r="C249" s="18" t="s">
        <v>842</v>
      </c>
      <c r="D249" s="20" t="s">
        <v>521</v>
      </c>
      <c r="E249" s="18" t="s">
        <v>111</v>
      </c>
      <c r="F249" s="20" t="s">
        <v>76</v>
      </c>
      <c r="G249" s="18" t="s">
        <v>221</v>
      </c>
      <c r="H249" s="20" t="str">
        <f aca="false">VLOOKUP(G249,'Product Master'!$A$5:$K$104,2,FALSE())</f>
        <v>Premium Office Item 027</v>
      </c>
      <c r="I249" s="20" t="str">
        <f aca="false">VLOOKUP(G249,'Product Master'!$A$5:$K$104,3,FALSE())</f>
        <v>Office Supplies</v>
      </c>
      <c r="J249" s="17" t="n">
        <v>15</v>
      </c>
      <c r="K249" s="16" t="n">
        <v>8360.14</v>
      </c>
      <c r="L249" s="16" t="n">
        <f aca="false">J249*K249</f>
        <v>125402.1</v>
      </c>
      <c r="M249" s="18" t="s">
        <v>39</v>
      </c>
      <c r="N249" s="25"/>
      <c r="O249" s="25" t="n">
        <v>45939</v>
      </c>
      <c r="P249" s="25"/>
      <c r="Q249" s="17" t="n">
        <f aca="false">IF(P249&lt;&gt;"",MAX(1,P249-B249),IF(M249="Dispatched",MAX(1,O249-B249),0))</f>
        <v>0</v>
      </c>
      <c r="R249" s="17" t="n">
        <f aca="false">IF(M249="Cancelled",0,IF(P249&lt;&gt;"",MAX(0,P249-O249),IF(T249&lt;&gt;"None",MAX(1,O249-B249-2),0)))</f>
        <v>0</v>
      </c>
      <c r="S249" s="18" t="s">
        <v>310</v>
      </c>
      <c r="T249" s="20" t="s">
        <v>317</v>
      </c>
    </row>
    <row r="250" customFormat="false" ht="15" hidden="false" customHeight="false" outlineLevel="0" collapsed="false">
      <c r="A250" s="26" t="s">
        <v>843</v>
      </c>
      <c r="B250" s="34" t="n">
        <v>46293</v>
      </c>
      <c r="C250" s="26" t="s">
        <v>844</v>
      </c>
      <c r="D250" s="27" t="s">
        <v>508</v>
      </c>
      <c r="E250" s="26" t="s">
        <v>113</v>
      </c>
      <c r="F250" s="27" t="s">
        <v>78</v>
      </c>
      <c r="G250" s="26" t="s">
        <v>202</v>
      </c>
      <c r="H250" s="27" t="str">
        <f aca="false">VLOOKUP(G250,'Product Master'!$A$5:$K$104,2,FALSE())</f>
        <v>Smart Automotive Item 008</v>
      </c>
      <c r="I250" s="27" t="str">
        <f aca="false">VLOOKUP(G250,'Product Master'!$A$5:$K$104,3,FALSE())</f>
        <v>Automotive</v>
      </c>
      <c r="J250" s="28" t="n">
        <v>17</v>
      </c>
      <c r="K250" s="29" t="n">
        <v>8489.02</v>
      </c>
      <c r="L250" s="29" t="n">
        <f aca="false">J250*K250</f>
        <v>144313.34</v>
      </c>
      <c r="M250" s="26" t="s">
        <v>35</v>
      </c>
      <c r="N250" s="34" t="n">
        <v>46295</v>
      </c>
      <c r="O250" s="34" t="n">
        <v>46296</v>
      </c>
      <c r="P250" s="34" t="n">
        <v>46296</v>
      </c>
      <c r="Q250" s="28" t="n">
        <f aca="false">IF(P250&lt;&gt;"",MAX(1,P250-B250),IF(M250="Dispatched",MAX(1,O250-B250),0))</f>
        <v>3</v>
      </c>
      <c r="R250" s="28" t="n">
        <f aca="false">IF(M250="Cancelled",0,IF(P250&lt;&gt;"",MAX(0,P250-O250),IF(T250&lt;&gt;"None",MAX(1,O250-B250-2),0)))</f>
        <v>0</v>
      </c>
      <c r="S250" s="26" t="s">
        <v>37</v>
      </c>
      <c r="T250" s="27" t="s">
        <v>317</v>
      </c>
    </row>
    <row r="251" customFormat="false" ht="15" hidden="false" customHeight="false" outlineLevel="0" collapsed="false">
      <c r="A251" s="18" t="s">
        <v>845</v>
      </c>
      <c r="B251" s="25" t="n">
        <v>46203</v>
      </c>
      <c r="C251" s="18" t="s">
        <v>782</v>
      </c>
      <c r="D251" s="20" t="s">
        <v>846</v>
      </c>
      <c r="E251" s="18" t="s">
        <v>107</v>
      </c>
      <c r="F251" s="20" t="s">
        <v>77</v>
      </c>
      <c r="G251" s="18" t="s">
        <v>244</v>
      </c>
      <c r="H251" s="20" t="str">
        <f aca="false">VLOOKUP(G251,'Product Master'!$A$5:$K$104,2,FALSE())</f>
        <v>Eco Home Item 050</v>
      </c>
      <c r="I251" s="20" t="str">
        <f aca="false">VLOOKUP(G251,'Product Master'!$A$5:$K$104,3,FALSE())</f>
        <v>Home &amp; Kitchen</v>
      </c>
      <c r="J251" s="17" t="n">
        <v>17</v>
      </c>
      <c r="K251" s="16" t="n">
        <v>5831.62</v>
      </c>
      <c r="L251" s="16" t="n">
        <f aca="false">J251*K251</f>
        <v>99137.54</v>
      </c>
      <c r="M251" s="18" t="s">
        <v>37</v>
      </c>
      <c r="N251" s="25"/>
      <c r="O251" s="25" t="n">
        <v>46207</v>
      </c>
      <c r="P251" s="25"/>
      <c r="Q251" s="17" t="n">
        <f aca="false">IF(P251&lt;&gt;"",MAX(1,P251-B251),IF(M251="Dispatched",MAX(1,O251-B251),0))</f>
        <v>0</v>
      </c>
      <c r="R251" s="17" t="n">
        <f aca="false">IF(M251="Cancelled",0,IF(P251&lt;&gt;"",MAX(0,P251-O251),IF(T251&lt;&gt;"None",MAX(1,O251-B251-2),0)))</f>
        <v>0</v>
      </c>
      <c r="S251" s="18" t="s">
        <v>310</v>
      </c>
      <c r="T251" s="20" t="s">
        <v>317</v>
      </c>
    </row>
    <row r="252" customFormat="false" ht="15" hidden="false" customHeight="false" outlineLevel="0" collapsed="false">
      <c r="A252" s="26" t="s">
        <v>847</v>
      </c>
      <c r="B252" s="34" t="n">
        <v>46257</v>
      </c>
      <c r="C252" s="26" t="s">
        <v>848</v>
      </c>
      <c r="D252" s="27" t="s">
        <v>417</v>
      </c>
      <c r="E252" s="26" t="s">
        <v>109</v>
      </c>
      <c r="F252" s="27" t="s">
        <v>79</v>
      </c>
      <c r="G252" s="26" t="s">
        <v>268</v>
      </c>
      <c r="H252" s="27" t="str">
        <f aca="false">VLOOKUP(G252,'Product Master'!$A$5:$K$104,2,FALSE())</f>
        <v>Pro Home Item 074</v>
      </c>
      <c r="I252" s="27" t="str">
        <f aca="false">VLOOKUP(G252,'Product Master'!$A$5:$K$104,3,FALSE())</f>
        <v>Home &amp; Kitchen</v>
      </c>
      <c r="J252" s="28" t="n">
        <v>23</v>
      </c>
      <c r="K252" s="29" t="n">
        <v>8375.75</v>
      </c>
      <c r="L252" s="29" t="n">
        <f aca="false">J252*K252</f>
        <v>192642.25</v>
      </c>
      <c r="M252" s="26" t="s">
        <v>37</v>
      </c>
      <c r="N252" s="34"/>
      <c r="O252" s="34" t="n">
        <v>46260</v>
      </c>
      <c r="P252" s="34"/>
      <c r="Q252" s="28" t="n">
        <f aca="false">IF(P252&lt;&gt;"",MAX(1,P252-B252),IF(M252="Dispatched",MAX(1,O252-B252),0))</f>
        <v>0</v>
      </c>
      <c r="R252" s="28" t="n">
        <f aca="false">IF(M252="Cancelled",0,IF(P252&lt;&gt;"",MAX(0,P252-O252),IF(T252&lt;&gt;"None",MAX(1,O252-B252-2),0)))</f>
        <v>1</v>
      </c>
      <c r="S252" s="26" t="s">
        <v>310</v>
      </c>
      <c r="T252" s="27" t="s">
        <v>108</v>
      </c>
    </row>
    <row r="253" customFormat="false" ht="15" hidden="false" customHeight="false" outlineLevel="0" collapsed="false">
      <c r="A253" s="18" t="s">
        <v>849</v>
      </c>
      <c r="B253" s="25" t="n">
        <v>46103</v>
      </c>
      <c r="C253" s="18" t="s">
        <v>850</v>
      </c>
      <c r="D253" s="20" t="s">
        <v>851</v>
      </c>
      <c r="E253" s="18" t="s">
        <v>107</v>
      </c>
      <c r="F253" s="20" t="s">
        <v>80</v>
      </c>
      <c r="G253" s="18" t="s">
        <v>279</v>
      </c>
      <c r="H253" s="20" t="str">
        <f aca="false">VLOOKUP(G253,'Product Master'!$A$5:$K$104,2,FALSE())</f>
        <v>Classic Industrial Item 085</v>
      </c>
      <c r="I253" s="20" t="str">
        <f aca="false">VLOOKUP(G253,'Product Master'!$A$5:$K$104,3,FALSE())</f>
        <v>Industrial</v>
      </c>
      <c r="J253" s="17" t="n">
        <v>20</v>
      </c>
      <c r="K253" s="16" t="n">
        <v>2284.18</v>
      </c>
      <c r="L253" s="16" t="n">
        <f aca="false">J253*K253</f>
        <v>45683.6</v>
      </c>
      <c r="M253" s="18" t="s">
        <v>35</v>
      </c>
      <c r="N253" s="25" t="n">
        <v>46105</v>
      </c>
      <c r="O253" s="25" t="n">
        <v>46110</v>
      </c>
      <c r="P253" s="25" t="n">
        <v>46118</v>
      </c>
      <c r="Q253" s="17" t="n">
        <f aca="false">IF(P253&lt;&gt;"",MAX(1,P253-B253),IF(M253="Dispatched",MAX(1,O253-B253),0))</f>
        <v>15</v>
      </c>
      <c r="R253" s="17" t="n">
        <f aca="false">IF(M253="Cancelled",0,IF(P253&lt;&gt;"",MAX(0,P253-O253),IF(T253&lt;&gt;"None",MAX(1,O253-B253-2),0)))</f>
        <v>8</v>
      </c>
      <c r="S253" s="18" t="s">
        <v>37</v>
      </c>
      <c r="T253" s="20" t="s">
        <v>112</v>
      </c>
    </row>
    <row r="254" customFormat="false" ht="15" hidden="false" customHeight="false" outlineLevel="0" collapsed="false">
      <c r="A254" s="26" t="s">
        <v>852</v>
      </c>
      <c r="B254" s="34" t="n">
        <v>46151</v>
      </c>
      <c r="C254" s="26" t="s">
        <v>482</v>
      </c>
      <c r="D254" s="27" t="s">
        <v>656</v>
      </c>
      <c r="E254" s="26" t="s">
        <v>109</v>
      </c>
      <c r="F254" s="27" t="s">
        <v>80</v>
      </c>
      <c r="G254" s="26" t="s">
        <v>287</v>
      </c>
      <c r="H254" s="27" t="str">
        <f aca="false">VLOOKUP(G254,'Product Master'!$A$5:$K$104,2,FALSE())</f>
        <v>Compact Industrial Item 093</v>
      </c>
      <c r="I254" s="27" t="str">
        <f aca="false">VLOOKUP(G254,'Product Master'!$A$5:$K$104,3,FALSE())</f>
        <v>Industrial</v>
      </c>
      <c r="J254" s="28" t="n">
        <v>8</v>
      </c>
      <c r="K254" s="29" t="n">
        <v>7420.7</v>
      </c>
      <c r="L254" s="29" t="n">
        <f aca="false">J254*K254</f>
        <v>59365.6</v>
      </c>
      <c r="M254" s="26" t="s">
        <v>35</v>
      </c>
      <c r="N254" s="34" t="n">
        <v>46154</v>
      </c>
      <c r="O254" s="34" t="n">
        <v>46156</v>
      </c>
      <c r="P254" s="34" t="n">
        <v>46164</v>
      </c>
      <c r="Q254" s="28" t="n">
        <f aca="false">IF(P254&lt;&gt;"",MAX(1,P254-B254),IF(M254="Dispatched",MAX(1,O254-B254),0))</f>
        <v>13</v>
      </c>
      <c r="R254" s="28" t="n">
        <f aca="false">IF(M254="Cancelled",0,IF(P254&lt;&gt;"",MAX(0,P254-O254),IF(T254&lt;&gt;"None",MAX(1,O254-B254-2),0)))</f>
        <v>8</v>
      </c>
      <c r="S254" s="26" t="s">
        <v>339</v>
      </c>
      <c r="T254" s="27" t="s">
        <v>112</v>
      </c>
    </row>
    <row r="255" customFormat="false" ht="15" hidden="false" customHeight="false" outlineLevel="0" collapsed="false">
      <c r="A255" s="18" t="s">
        <v>853</v>
      </c>
      <c r="B255" s="25" t="n">
        <v>45931</v>
      </c>
      <c r="C255" s="18" t="s">
        <v>354</v>
      </c>
      <c r="D255" s="20" t="s">
        <v>854</v>
      </c>
      <c r="E255" s="18" t="s">
        <v>105</v>
      </c>
      <c r="F255" s="20" t="s">
        <v>78</v>
      </c>
      <c r="G255" s="18" t="s">
        <v>287</v>
      </c>
      <c r="H255" s="20" t="str">
        <f aca="false">VLOOKUP(G255,'Product Master'!$A$5:$K$104,2,FALSE())</f>
        <v>Compact Industrial Item 093</v>
      </c>
      <c r="I255" s="20" t="str">
        <f aca="false">VLOOKUP(G255,'Product Master'!$A$5:$K$104,3,FALSE())</f>
        <v>Industrial</v>
      </c>
      <c r="J255" s="17" t="n">
        <v>20</v>
      </c>
      <c r="K255" s="16" t="n">
        <v>7420.7</v>
      </c>
      <c r="L255" s="16" t="n">
        <f aca="false">J255*K255</f>
        <v>148414</v>
      </c>
      <c r="M255" s="18" t="s">
        <v>35</v>
      </c>
      <c r="N255" s="25" t="n">
        <v>45933</v>
      </c>
      <c r="O255" s="25" t="n">
        <v>45935</v>
      </c>
      <c r="P255" s="25" t="n">
        <v>45935</v>
      </c>
      <c r="Q255" s="17" t="n">
        <f aca="false">IF(P255&lt;&gt;"",MAX(1,P255-B255),IF(M255="Dispatched",MAX(1,O255-B255),0))</f>
        <v>4</v>
      </c>
      <c r="R255" s="17" t="n">
        <f aca="false">IF(M255="Cancelled",0,IF(P255&lt;&gt;"",MAX(0,P255-O255),IF(T255&lt;&gt;"None",MAX(1,O255-B255-2),0)))</f>
        <v>0</v>
      </c>
      <c r="S255" s="18" t="s">
        <v>352</v>
      </c>
      <c r="T255" s="20" t="s">
        <v>317</v>
      </c>
    </row>
    <row r="256" customFormat="false" ht="15" hidden="false" customHeight="false" outlineLevel="0" collapsed="false">
      <c r="A256" s="26" t="s">
        <v>855</v>
      </c>
      <c r="B256" s="34" t="n">
        <v>45942</v>
      </c>
      <c r="C256" s="26" t="s">
        <v>328</v>
      </c>
      <c r="D256" s="27" t="s">
        <v>856</v>
      </c>
      <c r="E256" s="26" t="s">
        <v>109</v>
      </c>
      <c r="F256" s="27" t="s">
        <v>80</v>
      </c>
      <c r="G256" s="26" t="s">
        <v>293</v>
      </c>
      <c r="H256" s="27" t="str">
        <f aca="false">VLOOKUP(G256,'Product Master'!$A$5:$K$104,2,FALSE())</f>
        <v>Eco Office Item 099</v>
      </c>
      <c r="I256" s="27" t="str">
        <f aca="false">VLOOKUP(G256,'Product Master'!$A$5:$K$104,3,FALSE())</f>
        <v>Office Supplies</v>
      </c>
      <c r="J256" s="28" t="n">
        <v>17</v>
      </c>
      <c r="K256" s="29" t="n">
        <v>8700.35</v>
      </c>
      <c r="L256" s="29" t="n">
        <f aca="false">J256*K256</f>
        <v>147905.95</v>
      </c>
      <c r="M256" s="26" t="s">
        <v>35</v>
      </c>
      <c r="N256" s="34" t="n">
        <v>45942</v>
      </c>
      <c r="O256" s="34" t="n">
        <v>45946</v>
      </c>
      <c r="P256" s="34" t="n">
        <v>45942</v>
      </c>
      <c r="Q256" s="28" t="n">
        <f aca="false">IF(P256&lt;&gt;"",MAX(1,P256-B256),IF(M256="Dispatched",MAX(1,O256-B256),0))</f>
        <v>1</v>
      </c>
      <c r="R256" s="28" t="n">
        <f aca="false">IF(M256="Cancelled",0,IF(P256&lt;&gt;"",MAX(0,P256-O256),IF(T256&lt;&gt;"None",MAX(1,O256-B256-2),0)))</f>
        <v>0</v>
      </c>
      <c r="S256" s="26" t="s">
        <v>310</v>
      </c>
      <c r="T256" s="27" t="s">
        <v>317</v>
      </c>
    </row>
    <row r="257" customFormat="false" ht="15" hidden="false" customHeight="false" outlineLevel="0" collapsed="false">
      <c r="A257" s="18" t="s">
        <v>857</v>
      </c>
      <c r="B257" s="25" t="n">
        <v>46118</v>
      </c>
      <c r="C257" s="18" t="s">
        <v>858</v>
      </c>
      <c r="D257" s="20" t="s">
        <v>316</v>
      </c>
      <c r="E257" s="18" t="s">
        <v>107</v>
      </c>
      <c r="F257" s="20" t="s">
        <v>77</v>
      </c>
      <c r="G257" s="18" t="s">
        <v>269</v>
      </c>
      <c r="H257" s="20" t="str">
        <f aca="false">VLOOKUP(G257,'Product Master'!$A$5:$K$104,2,FALSE())</f>
        <v>Everyday Office Item 075</v>
      </c>
      <c r="I257" s="20" t="str">
        <f aca="false">VLOOKUP(G257,'Product Master'!$A$5:$K$104,3,FALSE())</f>
        <v>Office Supplies</v>
      </c>
      <c r="J257" s="17" t="n">
        <v>9</v>
      </c>
      <c r="K257" s="16" t="n">
        <v>6952.03</v>
      </c>
      <c r="L257" s="16" t="n">
        <f aca="false">J257*K257</f>
        <v>62568.27</v>
      </c>
      <c r="M257" s="18" t="s">
        <v>39</v>
      </c>
      <c r="N257" s="25"/>
      <c r="O257" s="25" t="n">
        <v>46121</v>
      </c>
      <c r="P257" s="25"/>
      <c r="Q257" s="17" t="n">
        <f aca="false">IF(P257&lt;&gt;"",MAX(1,P257-B257),IF(M257="Dispatched",MAX(1,O257-B257),0))</f>
        <v>0</v>
      </c>
      <c r="R257" s="17" t="n">
        <f aca="false">IF(M257="Cancelled",0,IF(P257&lt;&gt;"",MAX(0,P257-O257),IF(T257&lt;&gt;"None",MAX(1,O257-B257-2),0)))</f>
        <v>0</v>
      </c>
      <c r="S257" s="18" t="s">
        <v>310</v>
      </c>
      <c r="T257" s="20" t="s">
        <v>317</v>
      </c>
    </row>
    <row r="258" customFormat="false" ht="15" hidden="false" customHeight="false" outlineLevel="0" collapsed="false">
      <c r="A258" s="26" t="s">
        <v>859</v>
      </c>
      <c r="B258" s="34" t="n">
        <v>46097</v>
      </c>
      <c r="C258" s="26" t="s">
        <v>390</v>
      </c>
      <c r="D258" s="27" t="s">
        <v>804</v>
      </c>
      <c r="E258" s="26" t="s">
        <v>107</v>
      </c>
      <c r="F258" s="27" t="s">
        <v>79</v>
      </c>
      <c r="G258" s="26" t="s">
        <v>256</v>
      </c>
      <c r="H258" s="27" t="str">
        <f aca="false">VLOOKUP(G258,'Product Master'!$A$5:$K$104,2,FALSE())</f>
        <v>Compact Packaging Item 062</v>
      </c>
      <c r="I258" s="27" t="str">
        <f aca="false">VLOOKUP(G258,'Product Master'!$A$5:$K$104,3,FALSE())</f>
        <v>Packaging</v>
      </c>
      <c r="J258" s="28" t="n">
        <v>23</v>
      </c>
      <c r="K258" s="29" t="n">
        <v>10323.31</v>
      </c>
      <c r="L258" s="29" t="n">
        <f aca="false">J258*K258</f>
        <v>237436.13</v>
      </c>
      <c r="M258" s="26" t="s">
        <v>39</v>
      </c>
      <c r="N258" s="34"/>
      <c r="O258" s="34" t="n">
        <v>46100</v>
      </c>
      <c r="P258" s="34"/>
      <c r="Q258" s="28" t="n">
        <f aca="false">IF(P258&lt;&gt;"",MAX(1,P258-B258),IF(M258="Dispatched",MAX(1,O258-B258),0))</f>
        <v>0</v>
      </c>
      <c r="R258" s="28" t="n">
        <f aca="false">IF(M258="Cancelled",0,IF(P258&lt;&gt;"",MAX(0,P258-O258),IF(T258&lt;&gt;"None",MAX(1,O258-B258-2),0)))</f>
        <v>1</v>
      </c>
      <c r="S258" s="26" t="s">
        <v>37</v>
      </c>
      <c r="T258" s="27" t="s">
        <v>108</v>
      </c>
    </row>
    <row r="259" customFormat="false" ht="15" hidden="false" customHeight="false" outlineLevel="0" collapsed="false">
      <c r="A259" s="18" t="s">
        <v>860</v>
      </c>
      <c r="B259" s="25" t="n">
        <v>46102</v>
      </c>
      <c r="C259" s="18" t="s">
        <v>594</v>
      </c>
      <c r="D259" s="20" t="s">
        <v>861</v>
      </c>
      <c r="E259" s="18" t="s">
        <v>111</v>
      </c>
      <c r="F259" s="20" t="s">
        <v>79</v>
      </c>
      <c r="G259" s="18" t="s">
        <v>239</v>
      </c>
      <c r="H259" s="20" t="str">
        <f aca="false">VLOOKUP(G259,'Product Master'!$A$5:$K$104,2,FALSE())</f>
        <v>Essential Industrial Item 045</v>
      </c>
      <c r="I259" s="20" t="str">
        <f aca="false">VLOOKUP(G259,'Product Master'!$A$5:$K$104,3,FALSE())</f>
        <v>Industrial</v>
      </c>
      <c r="J259" s="17" t="n">
        <v>4</v>
      </c>
      <c r="K259" s="16" t="n">
        <v>9908.93</v>
      </c>
      <c r="L259" s="16" t="n">
        <f aca="false">J259*K259</f>
        <v>39635.72</v>
      </c>
      <c r="M259" s="18" t="s">
        <v>41</v>
      </c>
      <c r="N259" s="25" t="n">
        <v>46102</v>
      </c>
      <c r="O259" s="25" t="n">
        <v>46107</v>
      </c>
      <c r="P259" s="25"/>
      <c r="Q259" s="17" t="n">
        <f aca="false">IF(P259&lt;&gt;"",MAX(1,P259-B259),IF(M259="Dispatched",MAX(1,O259-B259),0))</f>
        <v>5</v>
      </c>
      <c r="R259" s="17" t="n">
        <f aca="false">IF(M259="Cancelled",0,IF(P259&lt;&gt;"",MAX(0,P259-O259),IF(T259&lt;&gt;"None",MAX(1,O259-B259-2),0)))</f>
        <v>0</v>
      </c>
      <c r="S259" s="18" t="s">
        <v>310</v>
      </c>
      <c r="T259" s="20" t="s">
        <v>317</v>
      </c>
    </row>
    <row r="260" customFormat="false" ht="15" hidden="false" customHeight="false" outlineLevel="0" collapsed="false">
      <c r="A260" s="26" t="s">
        <v>862</v>
      </c>
      <c r="B260" s="34" t="n">
        <v>45952</v>
      </c>
      <c r="C260" s="26" t="s">
        <v>863</v>
      </c>
      <c r="D260" s="27" t="s">
        <v>646</v>
      </c>
      <c r="E260" s="26" t="s">
        <v>113</v>
      </c>
      <c r="F260" s="27" t="s">
        <v>80</v>
      </c>
      <c r="G260" s="26" t="s">
        <v>235</v>
      </c>
      <c r="H260" s="27" t="str">
        <f aca="false">VLOOKUP(G260,'Product Master'!$A$5:$K$104,2,FALSE())</f>
        <v>Essential Electronics Item 041</v>
      </c>
      <c r="I260" s="27" t="str">
        <f aca="false">VLOOKUP(G260,'Product Master'!$A$5:$K$104,3,FALSE())</f>
        <v>Electronics</v>
      </c>
      <c r="J260" s="28" t="n">
        <v>5</v>
      </c>
      <c r="K260" s="29" t="n">
        <v>12841.6</v>
      </c>
      <c r="L260" s="29" t="n">
        <f aca="false">J260*K260</f>
        <v>64208</v>
      </c>
      <c r="M260" s="26" t="s">
        <v>35</v>
      </c>
      <c r="N260" s="34" t="n">
        <v>45953</v>
      </c>
      <c r="O260" s="34" t="n">
        <v>45957</v>
      </c>
      <c r="P260" s="34" t="n">
        <v>45953</v>
      </c>
      <c r="Q260" s="28" t="n">
        <f aca="false">IF(P260&lt;&gt;"",MAX(1,P260-B260),IF(M260="Dispatched",MAX(1,O260-B260),0))</f>
        <v>1</v>
      </c>
      <c r="R260" s="28" t="n">
        <f aca="false">IF(M260="Cancelled",0,IF(P260&lt;&gt;"",MAX(0,P260-O260),IF(T260&lt;&gt;"None",MAX(1,O260-B260-2),0)))</f>
        <v>0</v>
      </c>
      <c r="S260" s="26" t="s">
        <v>37</v>
      </c>
      <c r="T260" s="27" t="s">
        <v>317</v>
      </c>
    </row>
    <row r="261" customFormat="false" ht="15" hidden="false" customHeight="false" outlineLevel="0" collapsed="false">
      <c r="A261" s="18" t="s">
        <v>864</v>
      </c>
      <c r="B261" s="25" t="n">
        <v>46225</v>
      </c>
      <c r="C261" s="18" t="s">
        <v>557</v>
      </c>
      <c r="D261" s="20" t="s">
        <v>865</v>
      </c>
      <c r="E261" s="18" t="s">
        <v>105</v>
      </c>
      <c r="F261" s="20" t="s">
        <v>77</v>
      </c>
      <c r="G261" s="18" t="s">
        <v>259</v>
      </c>
      <c r="H261" s="20" t="str">
        <f aca="false">VLOOKUP(G261,'Product Master'!$A$5:$K$104,2,FALSE())</f>
        <v>Compact Electronics Item 065</v>
      </c>
      <c r="I261" s="20" t="str">
        <f aca="false">VLOOKUP(G261,'Product Master'!$A$5:$K$104,3,FALSE())</f>
        <v>Electronics</v>
      </c>
      <c r="J261" s="17" t="n">
        <v>14</v>
      </c>
      <c r="K261" s="16" t="n">
        <v>7172.77</v>
      </c>
      <c r="L261" s="16" t="n">
        <f aca="false">J261*K261</f>
        <v>100418.78</v>
      </c>
      <c r="M261" s="18" t="s">
        <v>35</v>
      </c>
      <c r="N261" s="25" t="n">
        <v>46226</v>
      </c>
      <c r="O261" s="25" t="n">
        <v>46233</v>
      </c>
      <c r="P261" s="25" t="n">
        <v>46232</v>
      </c>
      <c r="Q261" s="17" t="n">
        <f aca="false">IF(P261&lt;&gt;"",MAX(1,P261-B261),IF(M261="Dispatched",MAX(1,O261-B261),0))</f>
        <v>7</v>
      </c>
      <c r="R261" s="17" t="n">
        <f aca="false">IF(M261="Cancelled",0,IF(P261&lt;&gt;"",MAX(0,P261-O261),IF(T261&lt;&gt;"None",MAX(1,O261-B261-2),0)))</f>
        <v>0</v>
      </c>
      <c r="S261" s="18" t="s">
        <v>310</v>
      </c>
      <c r="T261" s="20" t="s">
        <v>317</v>
      </c>
    </row>
    <row r="262" customFormat="false" ht="15" hidden="false" customHeight="false" outlineLevel="0" collapsed="false">
      <c r="A262" s="26" t="s">
        <v>866</v>
      </c>
      <c r="B262" s="34" t="n">
        <v>45956</v>
      </c>
      <c r="C262" s="26" t="s">
        <v>375</v>
      </c>
      <c r="D262" s="27" t="s">
        <v>381</v>
      </c>
      <c r="E262" s="26" t="s">
        <v>111</v>
      </c>
      <c r="F262" s="27" t="s">
        <v>78</v>
      </c>
      <c r="G262" s="26" t="s">
        <v>265</v>
      </c>
      <c r="H262" s="27" t="str">
        <f aca="false">VLOOKUP(G262,'Product Master'!$A$5:$K$104,2,FALSE())</f>
        <v>Pro Apparel Item 071</v>
      </c>
      <c r="I262" s="27" t="str">
        <f aca="false">VLOOKUP(G262,'Product Master'!$A$5:$K$104,3,FALSE())</f>
        <v>Apparel</v>
      </c>
      <c r="J262" s="28" t="n">
        <v>3</v>
      </c>
      <c r="K262" s="29" t="n">
        <v>10275.49</v>
      </c>
      <c r="L262" s="29" t="n">
        <f aca="false">J262*K262</f>
        <v>30826.47</v>
      </c>
      <c r="M262" s="26" t="s">
        <v>35</v>
      </c>
      <c r="N262" s="34" t="n">
        <v>45957</v>
      </c>
      <c r="O262" s="34" t="n">
        <v>45964</v>
      </c>
      <c r="P262" s="34" t="n">
        <v>45963</v>
      </c>
      <c r="Q262" s="28" t="n">
        <f aca="false">IF(P262&lt;&gt;"",MAX(1,P262-B262),IF(M262="Dispatched",MAX(1,O262-B262),0))</f>
        <v>7</v>
      </c>
      <c r="R262" s="28" t="n">
        <f aca="false">IF(M262="Cancelled",0,IF(P262&lt;&gt;"",MAX(0,P262-O262),IF(T262&lt;&gt;"None",MAX(1,O262-B262-2),0)))</f>
        <v>0</v>
      </c>
      <c r="S262" s="26" t="s">
        <v>310</v>
      </c>
      <c r="T262" s="27" t="s">
        <v>317</v>
      </c>
    </row>
    <row r="263" customFormat="false" ht="15" hidden="false" customHeight="false" outlineLevel="0" collapsed="false">
      <c r="A263" s="18" t="s">
        <v>867</v>
      </c>
      <c r="B263" s="25" t="n">
        <v>46223</v>
      </c>
      <c r="C263" s="18" t="s">
        <v>868</v>
      </c>
      <c r="D263" s="20" t="s">
        <v>869</v>
      </c>
      <c r="E263" s="18" t="s">
        <v>113</v>
      </c>
      <c r="F263" s="20" t="s">
        <v>80</v>
      </c>
      <c r="G263" s="18" t="s">
        <v>220</v>
      </c>
      <c r="H263" s="20" t="str">
        <f aca="false">VLOOKUP(G263,'Product Master'!$A$5:$K$104,2,FALSE())</f>
        <v>Classic Home Item 026</v>
      </c>
      <c r="I263" s="20" t="str">
        <f aca="false">VLOOKUP(G263,'Product Master'!$A$5:$K$104,3,FALSE())</f>
        <v>Home &amp; Kitchen</v>
      </c>
      <c r="J263" s="17" t="n">
        <v>24</v>
      </c>
      <c r="K263" s="16" t="n">
        <v>4898.07</v>
      </c>
      <c r="L263" s="16" t="n">
        <f aca="false">J263*K263</f>
        <v>117553.68</v>
      </c>
      <c r="M263" s="18" t="s">
        <v>35</v>
      </c>
      <c r="N263" s="25" t="n">
        <v>46223</v>
      </c>
      <c r="O263" s="25" t="n">
        <v>46228</v>
      </c>
      <c r="P263" s="25" t="n">
        <v>46228</v>
      </c>
      <c r="Q263" s="17" t="n">
        <f aca="false">IF(P263&lt;&gt;"",MAX(1,P263-B263),IF(M263="Dispatched",MAX(1,O263-B263),0))</f>
        <v>5</v>
      </c>
      <c r="R263" s="17" t="n">
        <f aca="false">IF(M263="Cancelled",0,IF(P263&lt;&gt;"",MAX(0,P263-O263),IF(T263&lt;&gt;"None",MAX(1,O263-B263-2),0)))</f>
        <v>0</v>
      </c>
      <c r="S263" s="18" t="s">
        <v>310</v>
      </c>
      <c r="T263" s="20" t="s">
        <v>317</v>
      </c>
    </row>
    <row r="264" customFormat="false" ht="15" hidden="false" customHeight="false" outlineLevel="0" collapsed="false">
      <c r="A264" s="26" t="s">
        <v>870</v>
      </c>
      <c r="B264" s="34" t="n">
        <v>46225</v>
      </c>
      <c r="C264" s="26" t="s">
        <v>344</v>
      </c>
      <c r="D264" s="27" t="s">
        <v>422</v>
      </c>
      <c r="E264" s="26" t="s">
        <v>105</v>
      </c>
      <c r="F264" s="27" t="s">
        <v>79</v>
      </c>
      <c r="G264" s="26" t="s">
        <v>206</v>
      </c>
      <c r="H264" s="27" t="str">
        <f aca="false">VLOOKUP(G264,'Product Master'!$A$5:$K$104,2,FALSE())</f>
        <v>Eco Personal Item 012</v>
      </c>
      <c r="I264" s="27" t="str">
        <f aca="false">VLOOKUP(G264,'Product Master'!$A$5:$K$104,3,FALSE())</f>
        <v>Personal Care</v>
      </c>
      <c r="J264" s="28" t="n">
        <v>14</v>
      </c>
      <c r="K264" s="29" t="n">
        <v>7685.49</v>
      </c>
      <c r="L264" s="29" t="n">
        <f aca="false">J264*K264</f>
        <v>107596.86</v>
      </c>
      <c r="M264" s="26" t="s">
        <v>35</v>
      </c>
      <c r="N264" s="34" t="n">
        <v>46227</v>
      </c>
      <c r="O264" s="34" t="n">
        <v>46230</v>
      </c>
      <c r="P264" s="34" t="n">
        <v>46231</v>
      </c>
      <c r="Q264" s="28" t="n">
        <f aca="false">IF(P264&lt;&gt;"",MAX(1,P264-B264),IF(M264="Dispatched",MAX(1,O264-B264),0))</f>
        <v>6</v>
      </c>
      <c r="R264" s="28" t="n">
        <f aca="false">IF(M264="Cancelled",0,IF(P264&lt;&gt;"",MAX(0,P264-O264),IF(T264&lt;&gt;"None",MAX(1,O264-B264-2),0)))</f>
        <v>1</v>
      </c>
      <c r="S264" s="26" t="s">
        <v>310</v>
      </c>
      <c r="T264" s="27" t="s">
        <v>110</v>
      </c>
    </row>
    <row r="265" customFormat="false" ht="15" hidden="false" customHeight="false" outlineLevel="0" collapsed="false">
      <c r="A265" s="18" t="s">
        <v>871</v>
      </c>
      <c r="B265" s="25" t="n">
        <v>46110</v>
      </c>
      <c r="C265" s="18" t="s">
        <v>574</v>
      </c>
      <c r="D265" s="20" t="s">
        <v>872</v>
      </c>
      <c r="E265" s="18" t="s">
        <v>111</v>
      </c>
      <c r="F265" s="20" t="s">
        <v>80</v>
      </c>
      <c r="G265" s="18" t="s">
        <v>273</v>
      </c>
      <c r="H265" s="20" t="str">
        <f aca="false">VLOOKUP(G265,'Product Master'!$A$5:$K$104,2,FALSE())</f>
        <v>Essential Apparel Item 079</v>
      </c>
      <c r="I265" s="20" t="str">
        <f aca="false">VLOOKUP(G265,'Product Master'!$A$5:$K$104,3,FALSE())</f>
        <v>Apparel</v>
      </c>
      <c r="J265" s="17" t="n">
        <v>5</v>
      </c>
      <c r="K265" s="16" t="n">
        <v>12867.62</v>
      </c>
      <c r="L265" s="16" t="n">
        <f aca="false">J265*K265</f>
        <v>64338.1</v>
      </c>
      <c r="M265" s="18" t="s">
        <v>35</v>
      </c>
      <c r="N265" s="25" t="n">
        <v>46111</v>
      </c>
      <c r="O265" s="25" t="n">
        <v>46115</v>
      </c>
      <c r="P265" s="25" t="n">
        <v>46116</v>
      </c>
      <c r="Q265" s="17" t="n">
        <f aca="false">IF(P265&lt;&gt;"",MAX(1,P265-B265),IF(M265="Dispatched",MAX(1,O265-B265),0))</f>
        <v>6</v>
      </c>
      <c r="R265" s="17" t="n">
        <f aca="false">IF(M265="Cancelled",0,IF(P265&lt;&gt;"",MAX(0,P265-O265),IF(T265&lt;&gt;"None",MAX(1,O265-B265-2),0)))</f>
        <v>1</v>
      </c>
      <c r="S265" s="18" t="s">
        <v>37</v>
      </c>
      <c r="T265" s="20" t="s">
        <v>106</v>
      </c>
    </row>
    <row r="266" customFormat="false" ht="15" hidden="false" customHeight="false" outlineLevel="0" collapsed="false">
      <c r="A266" s="26" t="s">
        <v>873</v>
      </c>
      <c r="B266" s="34" t="n">
        <v>46055</v>
      </c>
      <c r="C266" s="26" t="s">
        <v>538</v>
      </c>
      <c r="D266" s="27" t="s">
        <v>326</v>
      </c>
      <c r="E266" s="26" t="s">
        <v>107</v>
      </c>
      <c r="F266" s="27" t="s">
        <v>78</v>
      </c>
      <c r="G266" s="26" t="s">
        <v>274</v>
      </c>
      <c r="H266" s="27" t="str">
        <f aca="false">VLOOKUP(G266,'Product Master'!$A$5:$K$104,2,FALSE())</f>
        <v>Classic Automotive Item 080</v>
      </c>
      <c r="I266" s="27" t="str">
        <f aca="false">VLOOKUP(G266,'Product Master'!$A$5:$K$104,3,FALSE())</f>
        <v>Automotive</v>
      </c>
      <c r="J266" s="28" t="n">
        <v>1</v>
      </c>
      <c r="K266" s="29" t="n">
        <v>2261.32</v>
      </c>
      <c r="L266" s="29" t="n">
        <f aca="false">J266*K266</f>
        <v>2261.32</v>
      </c>
      <c r="M266" s="26" t="s">
        <v>35</v>
      </c>
      <c r="N266" s="34" t="n">
        <v>46057</v>
      </c>
      <c r="O266" s="34" t="n">
        <v>46058</v>
      </c>
      <c r="P266" s="34" t="n">
        <v>46062</v>
      </c>
      <c r="Q266" s="28" t="n">
        <f aca="false">IF(P266&lt;&gt;"",MAX(1,P266-B266),IF(M266="Dispatched",MAX(1,O266-B266),0))</f>
        <v>7</v>
      </c>
      <c r="R266" s="28" t="n">
        <f aca="false">IF(M266="Cancelled",0,IF(P266&lt;&gt;"",MAX(0,P266-O266),IF(T266&lt;&gt;"None",MAX(1,O266-B266-2),0)))</f>
        <v>4</v>
      </c>
      <c r="S266" s="26" t="s">
        <v>37</v>
      </c>
      <c r="T266" s="27" t="s">
        <v>114</v>
      </c>
    </row>
    <row r="267" customFormat="false" ht="15" hidden="false" customHeight="false" outlineLevel="0" collapsed="false">
      <c r="A267" s="18" t="s">
        <v>874</v>
      </c>
      <c r="B267" s="25" t="n">
        <v>46039</v>
      </c>
      <c r="C267" s="18" t="s">
        <v>312</v>
      </c>
      <c r="D267" s="20" t="s">
        <v>875</v>
      </c>
      <c r="E267" s="18" t="s">
        <v>113</v>
      </c>
      <c r="F267" s="20" t="s">
        <v>80</v>
      </c>
      <c r="G267" s="18" t="s">
        <v>221</v>
      </c>
      <c r="H267" s="20" t="str">
        <f aca="false">VLOOKUP(G267,'Product Master'!$A$5:$K$104,2,FALSE())</f>
        <v>Premium Office Item 027</v>
      </c>
      <c r="I267" s="20" t="str">
        <f aca="false">VLOOKUP(G267,'Product Master'!$A$5:$K$104,3,FALSE())</f>
        <v>Office Supplies</v>
      </c>
      <c r="J267" s="17" t="n">
        <v>25</v>
      </c>
      <c r="K267" s="16" t="n">
        <v>8360.14</v>
      </c>
      <c r="L267" s="16" t="n">
        <f aca="false">J267*K267</f>
        <v>209003.5</v>
      </c>
      <c r="M267" s="18" t="s">
        <v>35</v>
      </c>
      <c r="N267" s="25" t="n">
        <v>46040</v>
      </c>
      <c r="O267" s="25" t="n">
        <v>46048</v>
      </c>
      <c r="P267" s="25" t="n">
        <v>46044</v>
      </c>
      <c r="Q267" s="17" t="n">
        <f aca="false">IF(P267&lt;&gt;"",MAX(1,P267-B267),IF(M267="Dispatched",MAX(1,O267-B267),0))</f>
        <v>5</v>
      </c>
      <c r="R267" s="17" t="n">
        <f aca="false">IF(M267="Cancelled",0,IF(P267&lt;&gt;"",MAX(0,P267-O267),IF(T267&lt;&gt;"None",MAX(1,O267-B267-2),0)))</f>
        <v>0</v>
      </c>
      <c r="S267" s="18" t="s">
        <v>310</v>
      </c>
      <c r="T267" s="20" t="s">
        <v>317</v>
      </c>
    </row>
    <row r="268" customFormat="false" ht="15" hidden="false" customHeight="false" outlineLevel="0" collapsed="false">
      <c r="A268" s="26" t="s">
        <v>876</v>
      </c>
      <c r="B268" s="34" t="n">
        <v>46076</v>
      </c>
      <c r="C268" s="26" t="s">
        <v>604</v>
      </c>
      <c r="D268" s="27" t="s">
        <v>591</v>
      </c>
      <c r="E268" s="26" t="s">
        <v>113</v>
      </c>
      <c r="F268" s="27" t="s">
        <v>78</v>
      </c>
      <c r="G268" s="26" t="s">
        <v>220</v>
      </c>
      <c r="H268" s="27" t="str">
        <f aca="false">VLOOKUP(G268,'Product Master'!$A$5:$K$104,2,FALSE())</f>
        <v>Classic Home Item 026</v>
      </c>
      <c r="I268" s="27" t="str">
        <f aca="false">VLOOKUP(G268,'Product Master'!$A$5:$K$104,3,FALSE())</f>
        <v>Home &amp; Kitchen</v>
      </c>
      <c r="J268" s="28" t="n">
        <v>2</v>
      </c>
      <c r="K268" s="29" t="n">
        <v>4898.07</v>
      </c>
      <c r="L268" s="29" t="n">
        <f aca="false">J268*K268</f>
        <v>9796.14</v>
      </c>
      <c r="M268" s="26" t="s">
        <v>35</v>
      </c>
      <c r="N268" s="34" t="n">
        <v>46076</v>
      </c>
      <c r="O268" s="34" t="n">
        <v>46078</v>
      </c>
      <c r="P268" s="34" t="n">
        <v>46080</v>
      </c>
      <c r="Q268" s="28" t="n">
        <f aca="false">IF(P268&lt;&gt;"",MAX(1,P268-B268),IF(M268="Dispatched",MAX(1,O268-B268),0))</f>
        <v>4</v>
      </c>
      <c r="R268" s="28" t="n">
        <f aca="false">IF(M268="Cancelled",0,IF(P268&lt;&gt;"",MAX(0,P268-O268),IF(T268&lt;&gt;"None",MAX(1,O268-B268-2),0)))</f>
        <v>2</v>
      </c>
      <c r="S268" s="26" t="s">
        <v>310</v>
      </c>
      <c r="T268" s="27" t="s">
        <v>112</v>
      </c>
    </row>
    <row r="269" customFormat="false" ht="15" hidden="false" customHeight="false" outlineLevel="0" collapsed="false">
      <c r="A269" s="18" t="s">
        <v>877</v>
      </c>
      <c r="B269" s="25" t="n">
        <v>46080</v>
      </c>
      <c r="C269" s="18" t="s">
        <v>878</v>
      </c>
      <c r="D269" s="20" t="s">
        <v>620</v>
      </c>
      <c r="E269" s="18" t="s">
        <v>111</v>
      </c>
      <c r="F269" s="20" t="s">
        <v>77</v>
      </c>
      <c r="G269" s="18" t="s">
        <v>278</v>
      </c>
      <c r="H269" s="20" t="str">
        <f aca="false">VLOOKUP(G269,'Product Master'!$A$5:$K$104,2,FALSE())</f>
        <v>Eco Personal Item 084</v>
      </c>
      <c r="I269" s="20" t="str">
        <f aca="false">VLOOKUP(G269,'Product Master'!$A$5:$K$104,3,FALSE())</f>
        <v>Personal Care</v>
      </c>
      <c r="J269" s="17" t="n">
        <v>13</v>
      </c>
      <c r="K269" s="16" t="n">
        <v>4628.26</v>
      </c>
      <c r="L269" s="16" t="n">
        <f aca="false">J269*K269</f>
        <v>60167.38</v>
      </c>
      <c r="M269" s="18" t="s">
        <v>35</v>
      </c>
      <c r="N269" s="25" t="n">
        <v>46082</v>
      </c>
      <c r="O269" s="25" t="n">
        <v>46083</v>
      </c>
      <c r="P269" s="25" t="n">
        <v>46087</v>
      </c>
      <c r="Q269" s="17" t="n">
        <f aca="false">IF(P269&lt;&gt;"",MAX(1,P269-B269),IF(M269="Dispatched",MAX(1,O269-B269),0))</f>
        <v>7</v>
      </c>
      <c r="R269" s="17" t="n">
        <f aca="false">IF(M269="Cancelled",0,IF(P269&lt;&gt;"",MAX(0,P269-O269),IF(T269&lt;&gt;"None",MAX(1,O269-B269-2),0)))</f>
        <v>4</v>
      </c>
      <c r="S269" s="18" t="s">
        <v>310</v>
      </c>
      <c r="T269" s="20" t="s">
        <v>110</v>
      </c>
    </row>
    <row r="270" customFormat="false" ht="15" hidden="false" customHeight="false" outlineLevel="0" collapsed="false">
      <c r="A270" s="26" t="s">
        <v>879</v>
      </c>
      <c r="B270" s="34" t="n">
        <v>46165</v>
      </c>
      <c r="C270" s="26" t="s">
        <v>880</v>
      </c>
      <c r="D270" s="27" t="s">
        <v>881</v>
      </c>
      <c r="E270" s="26" t="s">
        <v>105</v>
      </c>
      <c r="F270" s="27" t="s">
        <v>76</v>
      </c>
      <c r="G270" s="26" t="s">
        <v>266</v>
      </c>
      <c r="H270" s="27" t="str">
        <f aca="false">VLOOKUP(G270,'Product Master'!$A$5:$K$104,2,FALSE())</f>
        <v>Premium Automotive Item 072</v>
      </c>
      <c r="I270" s="27" t="str">
        <f aca="false">VLOOKUP(G270,'Product Master'!$A$5:$K$104,3,FALSE())</f>
        <v>Automotive</v>
      </c>
      <c r="J270" s="28" t="n">
        <v>8</v>
      </c>
      <c r="K270" s="29" t="n">
        <v>1811.97</v>
      </c>
      <c r="L270" s="29" t="n">
        <f aca="false">J270*K270</f>
        <v>14495.76</v>
      </c>
      <c r="M270" s="26" t="s">
        <v>43</v>
      </c>
      <c r="N270" s="34"/>
      <c r="O270" s="34" t="n">
        <v>46171</v>
      </c>
      <c r="P270" s="34"/>
      <c r="Q270" s="28" t="n">
        <f aca="false">IF(P270&lt;&gt;"",MAX(1,P270-B270),IF(M270="Dispatched",MAX(1,O270-B270),0))</f>
        <v>0</v>
      </c>
      <c r="R270" s="28" t="n">
        <f aca="false">IF(M270="Cancelled",0,IF(P270&lt;&gt;"",MAX(0,P270-O270),IF(T270&lt;&gt;"None",MAX(1,O270-B270-2),0)))</f>
        <v>0</v>
      </c>
      <c r="S270" s="26" t="s">
        <v>37</v>
      </c>
      <c r="T270" s="27" t="s">
        <v>411</v>
      </c>
    </row>
    <row r="271" customFormat="false" ht="15" hidden="false" customHeight="false" outlineLevel="0" collapsed="false">
      <c r="A271" s="18" t="s">
        <v>882</v>
      </c>
      <c r="B271" s="25" t="n">
        <v>45940</v>
      </c>
      <c r="C271" s="18" t="s">
        <v>883</v>
      </c>
      <c r="D271" s="20" t="s">
        <v>670</v>
      </c>
      <c r="E271" s="18" t="s">
        <v>109</v>
      </c>
      <c r="F271" s="20" t="s">
        <v>78</v>
      </c>
      <c r="G271" s="18" t="s">
        <v>239</v>
      </c>
      <c r="H271" s="20" t="str">
        <f aca="false">VLOOKUP(G271,'Product Master'!$A$5:$K$104,2,FALSE())</f>
        <v>Essential Industrial Item 045</v>
      </c>
      <c r="I271" s="20" t="str">
        <f aca="false">VLOOKUP(G271,'Product Master'!$A$5:$K$104,3,FALSE())</f>
        <v>Industrial</v>
      </c>
      <c r="J271" s="17" t="n">
        <v>21</v>
      </c>
      <c r="K271" s="16" t="n">
        <v>9908.93</v>
      </c>
      <c r="L271" s="16" t="n">
        <f aca="false">J271*K271</f>
        <v>208087.53</v>
      </c>
      <c r="M271" s="18" t="s">
        <v>35</v>
      </c>
      <c r="N271" s="25" t="n">
        <v>45940</v>
      </c>
      <c r="O271" s="25" t="n">
        <v>45946</v>
      </c>
      <c r="P271" s="25" t="n">
        <v>45946</v>
      </c>
      <c r="Q271" s="17" t="n">
        <f aca="false">IF(P271&lt;&gt;"",MAX(1,P271-B271),IF(M271="Dispatched",MAX(1,O271-B271),0))</f>
        <v>6</v>
      </c>
      <c r="R271" s="17" t="n">
        <f aca="false">IF(M271="Cancelled",0,IF(P271&lt;&gt;"",MAX(0,P271-O271),IF(T271&lt;&gt;"None",MAX(1,O271-B271-2),0)))</f>
        <v>0</v>
      </c>
      <c r="S271" s="18" t="s">
        <v>352</v>
      </c>
      <c r="T271" s="20" t="s">
        <v>317</v>
      </c>
    </row>
    <row r="272" customFormat="false" ht="15" hidden="false" customHeight="false" outlineLevel="0" collapsed="false">
      <c r="A272" s="26" t="s">
        <v>884</v>
      </c>
      <c r="B272" s="34" t="n">
        <v>46046</v>
      </c>
      <c r="C272" s="26" t="s">
        <v>571</v>
      </c>
      <c r="D272" s="27" t="s">
        <v>457</v>
      </c>
      <c r="E272" s="26" t="s">
        <v>109</v>
      </c>
      <c r="F272" s="27" t="s">
        <v>79</v>
      </c>
      <c r="G272" s="26" t="s">
        <v>214</v>
      </c>
      <c r="H272" s="27" t="str">
        <f aca="false">VLOOKUP(G272,'Product Master'!$A$5:$K$104,2,FALSE())</f>
        <v>Eco Personal Item 020</v>
      </c>
      <c r="I272" s="27" t="str">
        <f aca="false">VLOOKUP(G272,'Product Master'!$A$5:$K$104,3,FALSE())</f>
        <v>Personal Care</v>
      </c>
      <c r="J272" s="28" t="n">
        <v>22</v>
      </c>
      <c r="K272" s="29" t="n">
        <v>4674.99</v>
      </c>
      <c r="L272" s="29" t="n">
        <f aca="false">J272*K272</f>
        <v>102849.78</v>
      </c>
      <c r="M272" s="26" t="s">
        <v>35</v>
      </c>
      <c r="N272" s="34" t="n">
        <v>46047</v>
      </c>
      <c r="O272" s="34" t="n">
        <v>46054</v>
      </c>
      <c r="P272" s="34" t="n">
        <v>46056</v>
      </c>
      <c r="Q272" s="28" t="n">
        <f aca="false">IF(P272&lt;&gt;"",MAX(1,P272-B272),IF(M272="Dispatched",MAX(1,O272-B272),0))</f>
        <v>10</v>
      </c>
      <c r="R272" s="28" t="n">
        <f aca="false">IF(M272="Cancelled",0,IF(P272&lt;&gt;"",MAX(0,P272-O272),IF(T272&lt;&gt;"None",MAX(1,O272-B272-2),0)))</f>
        <v>2</v>
      </c>
      <c r="S272" s="26" t="s">
        <v>339</v>
      </c>
      <c r="T272" s="27" t="s">
        <v>106</v>
      </c>
    </row>
    <row r="273" customFormat="false" ht="15" hidden="false" customHeight="false" outlineLevel="0" collapsed="false">
      <c r="A273" s="18" t="s">
        <v>885</v>
      </c>
      <c r="B273" s="25" t="n">
        <v>46240</v>
      </c>
      <c r="C273" s="18" t="s">
        <v>886</v>
      </c>
      <c r="D273" s="20" t="s">
        <v>457</v>
      </c>
      <c r="E273" s="18" t="s">
        <v>111</v>
      </c>
      <c r="F273" s="20" t="s">
        <v>80</v>
      </c>
      <c r="G273" s="18" t="s">
        <v>237</v>
      </c>
      <c r="H273" s="20" t="str">
        <f aca="false">VLOOKUP(G273,'Product Master'!$A$5:$K$104,2,FALSE())</f>
        <v>Eco Office Item 043</v>
      </c>
      <c r="I273" s="20" t="str">
        <f aca="false">VLOOKUP(G273,'Product Master'!$A$5:$K$104,3,FALSE())</f>
        <v>Office Supplies</v>
      </c>
      <c r="J273" s="17" t="n">
        <v>5</v>
      </c>
      <c r="K273" s="16" t="n">
        <v>2525.48</v>
      </c>
      <c r="L273" s="16" t="n">
        <f aca="false">J273*K273</f>
        <v>12627.4</v>
      </c>
      <c r="M273" s="18" t="s">
        <v>35</v>
      </c>
      <c r="N273" s="25" t="n">
        <v>46241</v>
      </c>
      <c r="O273" s="25" t="n">
        <v>46244</v>
      </c>
      <c r="P273" s="25" t="n">
        <v>46243</v>
      </c>
      <c r="Q273" s="17" t="n">
        <f aca="false">IF(P273&lt;&gt;"",MAX(1,P273-B273),IF(M273="Dispatched",MAX(1,O273-B273),0))</f>
        <v>3</v>
      </c>
      <c r="R273" s="17" t="n">
        <f aca="false">IF(M273="Cancelled",0,IF(P273&lt;&gt;"",MAX(0,P273-O273),IF(T273&lt;&gt;"None",MAX(1,O273-B273-2),0)))</f>
        <v>0</v>
      </c>
      <c r="S273" s="18" t="s">
        <v>339</v>
      </c>
      <c r="T273" s="20" t="s">
        <v>317</v>
      </c>
    </row>
    <row r="274" customFormat="false" ht="15" hidden="false" customHeight="false" outlineLevel="0" collapsed="false">
      <c r="A274" s="26" t="s">
        <v>887</v>
      </c>
      <c r="B274" s="34" t="n">
        <v>46005</v>
      </c>
      <c r="C274" s="26" t="s">
        <v>888</v>
      </c>
      <c r="D274" s="27" t="s">
        <v>422</v>
      </c>
      <c r="E274" s="26" t="s">
        <v>113</v>
      </c>
      <c r="F274" s="27" t="s">
        <v>77</v>
      </c>
      <c r="G274" s="26" t="s">
        <v>278</v>
      </c>
      <c r="H274" s="27" t="str">
        <f aca="false">VLOOKUP(G274,'Product Master'!$A$5:$K$104,2,FALSE())</f>
        <v>Eco Personal Item 084</v>
      </c>
      <c r="I274" s="27" t="str">
        <f aca="false">VLOOKUP(G274,'Product Master'!$A$5:$K$104,3,FALSE())</f>
        <v>Personal Care</v>
      </c>
      <c r="J274" s="28" t="n">
        <v>11</v>
      </c>
      <c r="K274" s="29" t="n">
        <v>4628.26</v>
      </c>
      <c r="L274" s="29" t="n">
        <f aca="false">J274*K274</f>
        <v>50910.86</v>
      </c>
      <c r="M274" s="26" t="s">
        <v>35</v>
      </c>
      <c r="N274" s="34" t="n">
        <v>46006</v>
      </c>
      <c r="O274" s="34" t="n">
        <v>46008</v>
      </c>
      <c r="P274" s="34" t="n">
        <v>46009</v>
      </c>
      <c r="Q274" s="28" t="n">
        <f aca="false">IF(P274&lt;&gt;"",MAX(1,P274-B274),IF(M274="Dispatched",MAX(1,O274-B274),0))</f>
        <v>4</v>
      </c>
      <c r="R274" s="28" t="n">
        <f aca="false">IF(M274="Cancelled",0,IF(P274&lt;&gt;"",MAX(0,P274-O274),IF(T274&lt;&gt;"None",MAX(1,O274-B274-2),0)))</f>
        <v>1</v>
      </c>
      <c r="S274" s="26" t="s">
        <v>310</v>
      </c>
      <c r="T274" s="27" t="s">
        <v>106</v>
      </c>
    </row>
    <row r="275" customFormat="false" ht="15" hidden="false" customHeight="false" outlineLevel="0" collapsed="false">
      <c r="A275" s="18" t="s">
        <v>889</v>
      </c>
      <c r="B275" s="25" t="n">
        <v>46142</v>
      </c>
      <c r="C275" s="18" t="s">
        <v>818</v>
      </c>
      <c r="D275" s="20" t="s">
        <v>838</v>
      </c>
      <c r="E275" s="18" t="s">
        <v>109</v>
      </c>
      <c r="F275" s="20" t="s">
        <v>79</v>
      </c>
      <c r="G275" s="18" t="s">
        <v>247</v>
      </c>
      <c r="H275" s="20" t="str">
        <f aca="false">VLOOKUP(G275,'Product Master'!$A$5:$K$104,2,FALSE())</f>
        <v>Classic Industrial Item 053</v>
      </c>
      <c r="I275" s="20" t="str">
        <f aca="false">VLOOKUP(G275,'Product Master'!$A$5:$K$104,3,FALSE())</f>
        <v>Industrial</v>
      </c>
      <c r="J275" s="17" t="n">
        <v>24</v>
      </c>
      <c r="K275" s="16" t="n">
        <v>10730.84</v>
      </c>
      <c r="L275" s="16" t="n">
        <f aca="false">J275*K275</f>
        <v>257540.16</v>
      </c>
      <c r="M275" s="18" t="s">
        <v>43</v>
      </c>
      <c r="N275" s="25"/>
      <c r="O275" s="25" t="n">
        <v>46148</v>
      </c>
      <c r="P275" s="25"/>
      <c r="Q275" s="17" t="n">
        <f aca="false">IF(P275&lt;&gt;"",MAX(1,P275-B275),IF(M275="Dispatched",MAX(1,O275-B275),0))</f>
        <v>0</v>
      </c>
      <c r="R275" s="17" t="n">
        <f aca="false">IF(M275="Cancelled",0,IF(P275&lt;&gt;"",MAX(0,P275-O275),IF(T275&lt;&gt;"None",MAX(1,O275-B275-2),0)))</f>
        <v>0</v>
      </c>
      <c r="S275" s="18" t="s">
        <v>310</v>
      </c>
      <c r="T275" s="20" t="s">
        <v>411</v>
      </c>
    </row>
    <row r="276" customFormat="false" ht="15" hidden="false" customHeight="false" outlineLevel="0" collapsed="false">
      <c r="A276" s="26" t="s">
        <v>890</v>
      </c>
      <c r="B276" s="34" t="n">
        <v>45944</v>
      </c>
      <c r="C276" s="26" t="s">
        <v>891</v>
      </c>
      <c r="D276" s="27" t="s">
        <v>532</v>
      </c>
      <c r="E276" s="26" t="s">
        <v>113</v>
      </c>
      <c r="F276" s="27" t="s">
        <v>80</v>
      </c>
      <c r="G276" s="26" t="s">
        <v>292</v>
      </c>
      <c r="H276" s="27" t="str">
        <f aca="false">VLOOKUP(G276,'Product Master'!$A$5:$K$104,2,FALSE())</f>
        <v>Compact Home Item 098</v>
      </c>
      <c r="I276" s="27" t="str">
        <f aca="false">VLOOKUP(G276,'Product Master'!$A$5:$K$104,3,FALSE())</f>
        <v>Home &amp; Kitchen</v>
      </c>
      <c r="J276" s="28" t="n">
        <v>9</v>
      </c>
      <c r="K276" s="29" t="n">
        <v>9200.31</v>
      </c>
      <c r="L276" s="29" t="n">
        <f aca="false">J276*K276</f>
        <v>82802.79</v>
      </c>
      <c r="M276" s="26" t="s">
        <v>37</v>
      </c>
      <c r="N276" s="34"/>
      <c r="O276" s="34" t="n">
        <v>45949</v>
      </c>
      <c r="P276" s="34"/>
      <c r="Q276" s="28" t="n">
        <f aca="false">IF(P276&lt;&gt;"",MAX(1,P276-B276),IF(M276="Dispatched",MAX(1,O276-B276),0))</f>
        <v>0</v>
      </c>
      <c r="R276" s="28" t="n">
        <f aca="false">IF(M276="Cancelled",0,IF(P276&lt;&gt;"",MAX(0,P276-O276),IF(T276&lt;&gt;"None",MAX(1,O276-B276-2),0)))</f>
        <v>3</v>
      </c>
      <c r="S276" s="26" t="s">
        <v>310</v>
      </c>
      <c r="T276" s="27" t="s">
        <v>106</v>
      </c>
    </row>
    <row r="277" customFormat="false" ht="15" hidden="false" customHeight="false" outlineLevel="0" collapsed="false">
      <c r="A277" s="18" t="s">
        <v>892</v>
      </c>
      <c r="B277" s="25" t="n">
        <v>45971</v>
      </c>
      <c r="C277" s="18" t="s">
        <v>893</v>
      </c>
      <c r="D277" s="20" t="s">
        <v>646</v>
      </c>
      <c r="E277" s="18" t="s">
        <v>111</v>
      </c>
      <c r="F277" s="20" t="s">
        <v>77</v>
      </c>
      <c r="G277" s="18" t="s">
        <v>283</v>
      </c>
      <c r="H277" s="20" t="str">
        <f aca="false">VLOOKUP(G277,'Product Master'!$A$5:$K$104,2,FALSE())</f>
        <v>Everyday Electronics Item 089</v>
      </c>
      <c r="I277" s="20" t="str">
        <f aca="false">VLOOKUP(G277,'Product Master'!$A$5:$K$104,3,FALSE())</f>
        <v>Electronics</v>
      </c>
      <c r="J277" s="17" t="n">
        <v>17</v>
      </c>
      <c r="K277" s="16" t="n">
        <v>2282.32</v>
      </c>
      <c r="L277" s="16" t="n">
        <f aca="false">J277*K277</f>
        <v>38799.44</v>
      </c>
      <c r="M277" s="18" t="s">
        <v>41</v>
      </c>
      <c r="N277" s="25" t="n">
        <v>45973</v>
      </c>
      <c r="O277" s="25" t="n">
        <v>45980</v>
      </c>
      <c r="P277" s="25"/>
      <c r="Q277" s="17" t="n">
        <f aca="false">IF(P277&lt;&gt;"",MAX(1,P277-B277),IF(M277="Dispatched",MAX(1,O277-B277),0))</f>
        <v>9</v>
      </c>
      <c r="R277" s="17" t="n">
        <f aca="false">IF(M277="Cancelled",0,IF(P277&lt;&gt;"",MAX(0,P277-O277),IF(T277&lt;&gt;"None",MAX(1,O277-B277-2),0)))</f>
        <v>0</v>
      </c>
      <c r="S277" s="18" t="s">
        <v>310</v>
      </c>
      <c r="T277" s="20" t="s">
        <v>317</v>
      </c>
    </row>
    <row r="278" customFormat="false" ht="15" hidden="false" customHeight="false" outlineLevel="0" collapsed="false">
      <c r="A278" s="26" t="s">
        <v>894</v>
      </c>
      <c r="B278" s="34" t="n">
        <v>46014</v>
      </c>
      <c r="C278" s="26" t="s">
        <v>802</v>
      </c>
      <c r="D278" s="27" t="s">
        <v>364</v>
      </c>
      <c r="E278" s="26" t="s">
        <v>107</v>
      </c>
      <c r="F278" s="27" t="s">
        <v>76</v>
      </c>
      <c r="G278" s="26" t="s">
        <v>219</v>
      </c>
      <c r="H278" s="27" t="str">
        <f aca="false">VLOOKUP(G278,'Product Master'!$A$5:$K$104,2,FALSE())</f>
        <v>Pro Electronics Item 025</v>
      </c>
      <c r="I278" s="27" t="str">
        <f aca="false">VLOOKUP(G278,'Product Master'!$A$5:$K$104,3,FALSE())</f>
        <v>Electronics</v>
      </c>
      <c r="J278" s="28" t="n">
        <v>14</v>
      </c>
      <c r="K278" s="29" t="n">
        <v>9400.79</v>
      </c>
      <c r="L278" s="29" t="n">
        <f aca="false">J278*K278</f>
        <v>131611.06</v>
      </c>
      <c r="M278" s="26" t="s">
        <v>39</v>
      </c>
      <c r="N278" s="34"/>
      <c r="O278" s="34" t="n">
        <v>46016</v>
      </c>
      <c r="P278" s="34"/>
      <c r="Q278" s="28" t="n">
        <f aca="false">IF(P278&lt;&gt;"",MAX(1,P278-B278),IF(M278="Dispatched",MAX(1,O278-B278),0))</f>
        <v>0</v>
      </c>
      <c r="R278" s="28" t="n">
        <f aca="false">IF(M278="Cancelled",0,IF(P278&lt;&gt;"",MAX(0,P278-O278),IF(T278&lt;&gt;"None",MAX(1,O278-B278-2),0)))</f>
        <v>1</v>
      </c>
      <c r="S278" s="26" t="s">
        <v>310</v>
      </c>
      <c r="T278" s="27" t="s">
        <v>108</v>
      </c>
    </row>
    <row r="279" customFormat="false" ht="15" hidden="false" customHeight="false" outlineLevel="0" collapsed="false">
      <c r="A279" s="18" t="s">
        <v>895</v>
      </c>
      <c r="B279" s="25" t="n">
        <v>46034</v>
      </c>
      <c r="C279" s="18" t="s">
        <v>766</v>
      </c>
      <c r="D279" s="20" t="s">
        <v>558</v>
      </c>
      <c r="E279" s="18" t="s">
        <v>107</v>
      </c>
      <c r="F279" s="20" t="s">
        <v>76</v>
      </c>
      <c r="G279" s="18" t="s">
        <v>291</v>
      </c>
      <c r="H279" s="20" t="str">
        <f aca="false">VLOOKUP(G279,'Product Master'!$A$5:$K$104,2,FALSE())</f>
        <v>Smart Electronics Item 097</v>
      </c>
      <c r="I279" s="20" t="str">
        <f aca="false">VLOOKUP(G279,'Product Master'!$A$5:$K$104,3,FALSE())</f>
        <v>Electronics</v>
      </c>
      <c r="J279" s="17" t="n">
        <v>6</v>
      </c>
      <c r="K279" s="16" t="n">
        <v>1924.42</v>
      </c>
      <c r="L279" s="16" t="n">
        <f aca="false">J279*K279</f>
        <v>11546.52</v>
      </c>
      <c r="M279" s="18" t="s">
        <v>43</v>
      </c>
      <c r="N279" s="25"/>
      <c r="O279" s="25" t="n">
        <v>46043</v>
      </c>
      <c r="P279" s="25"/>
      <c r="Q279" s="17" t="n">
        <f aca="false">IF(P279&lt;&gt;"",MAX(1,P279-B279),IF(M279="Dispatched",MAX(1,O279-B279),0))</f>
        <v>0</v>
      </c>
      <c r="R279" s="17" t="n">
        <f aca="false">IF(M279="Cancelled",0,IF(P279&lt;&gt;"",MAX(0,P279-O279),IF(T279&lt;&gt;"None",MAX(1,O279-B279-2),0)))</f>
        <v>0</v>
      </c>
      <c r="S279" s="18" t="s">
        <v>310</v>
      </c>
      <c r="T279" s="20" t="s">
        <v>411</v>
      </c>
    </row>
    <row r="280" customFormat="false" ht="15" hidden="false" customHeight="false" outlineLevel="0" collapsed="false">
      <c r="A280" s="26" t="s">
        <v>896</v>
      </c>
      <c r="B280" s="34" t="n">
        <v>46165</v>
      </c>
      <c r="C280" s="26" t="s">
        <v>685</v>
      </c>
      <c r="D280" s="27" t="s">
        <v>819</v>
      </c>
      <c r="E280" s="26" t="s">
        <v>111</v>
      </c>
      <c r="F280" s="27" t="s">
        <v>79</v>
      </c>
      <c r="G280" s="26" t="s">
        <v>226</v>
      </c>
      <c r="H280" s="27" t="str">
        <f aca="false">VLOOKUP(G280,'Product Master'!$A$5:$K$104,2,FALSE())</f>
        <v>Smart Automotive Item 032</v>
      </c>
      <c r="I280" s="27" t="str">
        <f aca="false">VLOOKUP(G280,'Product Master'!$A$5:$K$104,3,FALSE())</f>
        <v>Automotive</v>
      </c>
      <c r="J280" s="28" t="n">
        <v>25</v>
      </c>
      <c r="K280" s="29" t="n">
        <v>10211.16</v>
      </c>
      <c r="L280" s="29" t="n">
        <f aca="false">J280*K280</f>
        <v>255279</v>
      </c>
      <c r="M280" s="26" t="s">
        <v>35</v>
      </c>
      <c r="N280" s="34" t="n">
        <v>46167</v>
      </c>
      <c r="O280" s="34" t="n">
        <v>46173</v>
      </c>
      <c r="P280" s="34" t="n">
        <v>46175</v>
      </c>
      <c r="Q280" s="28" t="n">
        <f aca="false">IF(P280&lt;&gt;"",MAX(1,P280-B280),IF(M280="Dispatched",MAX(1,O280-B280),0))</f>
        <v>10</v>
      </c>
      <c r="R280" s="28" t="n">
        <f aca="false">IF(M280="Cancelled",0,IF(P280&lt;&gt;"",MAX(0,P280-O280),IF(T280&lt;&gt;"None",MAX(1,O280-B280-2),0)))</f>
        <v>2</v>
      </c>
      <c r="S280" s="26" t="s">
        <v>310</v>
      </c>
      <c r="T280" s="27" t="s">
        <v>110</v>
      </c>
    </row>
    <row r="281" customFormat="false" ht="15" hidden="false" customHeight="false" outlineLevel="0" collapsed="false">
      <c r="A281" s="18" t="s">
        <v>897</v>
      </c>
      <c r="B281" s="25" t="n">
        <v>46164</v>
      </c>
      <c r="C281" s="18" t="s">
        <v>816</v>
      </c>
      <c r="D281" s="20" t="s">
        <v>367</v>
      </c>
      <c r="E281" s="18" t="s">
        <v>107</v>
      </c>
      <c r="F281" s="20" t="s">
        <v>80</v>
      </c>
      <c r="G281" s="18" t="s">
        <v>200</v>
      </c>
      <c r="H281" s="20" t="str">
        <f aca="false">VLOOKUP(G281,'Product Master'!$A$5:$K$104,2,FALSE())</f>
        <v>Pro Packaging Item 006</v>
      </c>
      <c r="I281" s="20" t="str">
        <f aca="false">VLOOKUP(G281,'Product Master'!$A$5:$K$104,3,FALSE())</f>
        <v>Packaging</v>
      </c>
      <c r="J281" s="17" t="n">
        <v>18</v>
      </c>
      <c r="K281" s="16" t="n">
        <v>1867.12</v>
      </c>
      <c r="L281" s="16" t="n">
        <f aca="false">J281*K281</f>
        <v>33608.16</v>
      </c>
      <c r="M281" s="18" t="s">
        <v>35</v>
      </c>
      <c r="N281" s="25" t="n">
        <v>46167</v>
      </c>
      <c r="O281" s="25" t="n">
        <v>46171</v>
      </c>
      <c r="P281" s="25" t="n">
        <v>46174</v>
      </c>
      <c r="Q281" s="17" t="n">
        <f aca="false">IF(P281&lt;&gt;"",MAX(1,P281-B281),IF(M281="Dispatched",MAX(1,O281-B281),0))</f>
        <v>10</v>
      </c>
      <c r="R281" s="17" t="n">
        <f aca="false">IF(M281="Cancelled",0,IF(P281&lt;&gt;"",MAX(0,P281-O281),IF(T281&lt;&gt;"None",MAX(1,O281-B281-2),0)))</f>
        <v>3</v>
      </c>
      <c r="S281" s="18" t="s">
        <v>310</v>
      </c>
      <c r="T281" s="20" t="s">
        <v>115</v>
      </c>
    </row>
    <row r="282" customFormat="false" ht="15" hidden="false" customHeight="false" outlineLevel="0" collapsed="false">
      <c r="A282" s="26" t="s">
        <v>898</v>
      </c>
      <c r="B282" s="34" t="n">
        <v>46086</v>
      </c>
      <c r="C282" s="26" t="s">
        <v>510</v>
      </c>
      <c r="D282" s="27" t="s">
        <v>749</v>
      </c>
      <c r="E282" s="26" t="s">
        <v>109</v>
      </c>
      <c r="F282" s="27" t="s">
        <v>79</v>
      </c>
      <c r="G282" s="26" t="s">
        <v>294</v>
      </c>
      <c r="H282" s="27" t="str">
        <f aca="false">VLOOKUP(G282,'Product Master'!$A$5:$K$104,2,FALSE())</f>
        <v>Smart Personal Item 100</v>
      </c>
      <c r="I282" s="27" t="str">
        <f aca="false">VLOOKUP(G282,'Product Master'!$A$5:$K$104,3,FALSE())</f>
        <v>Personal Care</v>
      </c>
      <c r="J282" s="28" t="n">
        <v>6</v>
      </c>
      <c r="K282" s="29" t="n">
        <v>9946.74</v>
      </c>
      <c r="L282" s="29" t="n">
        <f aca="false">J282*K282</f>
        <v>59680.44</v>
      </c>
      <c r="M282" s="26" t="s">
        <v>35</v>
      </c>
      <c r="N282" s="34" t="n">
        <v>46087</v>
      </c>
      <c r="O282" s="34" t="n">
        <v>46088</v>
      </c>
      <c r="P282" s="34" t="n">
        <v>46092</v>
      </c>
      <c r="Q282" s="28" t="n">
        <f aca="false">IF(P282&lt;&gt;"",MAX(1,P282-B282),IF(M282="Dispatched",MAX(1,O282-B282),0))</f>
        <v>6</v>
      </c>
      <c r="R282" s="28" t="n">
        <f aca="false">IF(M282="Cancelled",0,IF(P282&lt;&gt;"",MAX(0,P282-O282),IF(T282&lt;&gt;"None",MAX(1,O282-B282-2),0)))</f>
        <v>4</v>
      </c>
      <c r="S282" s="26" t="s">
        <v>37</v>
      </c>
      <c r="T282" s="27" t="s">
        <v>114</v>
      </c>
    </row>
    <row r="283" customFormat="false" ht="15" hidden="false" customHeight="false" outlineLevel="0" collapsed="false">
      <c r="A283" s="18" t="s">
        <v>899</v>
      </c>
      <c r="B283" s="25" t="n">
        <v>46287</v>
      </c>
      <c r="C283" s="18" t="s">
        <v>900</v>
      </c>
      <c r="D283" s="20" t="s">
        <v>381</v>
      </c>
      <c r="E283" s="18" t="s">
        <v>107</v>
      </c>
      <c r="F283" s="20" t="s">
        <v>79</v>
      </c>
      <c r="G283" s="18" t="s">
        <v>264</v>
      </c>
      <c r="H283" s="20" t="str">
        <f aca="false">VLOOKUP(G283,'Product Master'!$A$5:$K$104,2,FALSE())</f>
        <v>Eco Packaging Item 070</v>
      </c>
      <c r="I283" s="20" t="str">
        <f aca="false">VLOOKUP(G283,'Product Master'!$A$5:$K$104,3,FALSE())</f>
        <v>Packaging</v>
      </c>
      <c r="J283" s="17" t="n">
        <v>14</v>
      </c>
      <c r="K283" s="16" t="n">
        <v>6067.79</v>
      </c>
      <c r="L283" s="16" t="n">
        <f aca="false">J283*K283</f>
        <v>84949.06</v>
      </c>
      <c r="M283" s="18" t="s">
        <v>35</v>
      </c>
      <c r="N283" s="25" t="n">
        <v>46288</v>
      </c>
      <c r="O283" s="25" t="n">
        <v>46289</v>
      </c>
      <c r="P283" s="25" t="n">
        <v>46293</v>
      </c>
      <c r="Q283" s="17" t="n">
        <f aca="false">IF(P283&lt;&gt;"",MAX(1,P283-B283),IF(M283="Dispatched",MAX(1,O283-B283),0))</f>
        <v>6</v>
      </c>
      <c r="R283" s="17" t="n">
        <f aca="false">IF(M283="Cancelled",0,IF(P283&lt;&gt;"",MAX(0,P283-O283),IF(T283&lt;&gt;"None",MAX(1,O283-B283-2),0)))</f>
        <v>4</v>
      </c>
      <c r="S283" s="18" t="s">
        <v>310</v>
      </c>
      <c r="T283" s="20" t="s">
        <v>110</v>
      </c>
    </row>
    <row r="284" customFormat="false" ht="15" hidden="false" customHeight="false" outlineLevel="0" collapsed="false">
      <c r="A284" s="26" t="s">
        <v>901</v>
      </c>
      <c r="B284" s="34" t="n">
        <v>46096</v>
      </c>
      <c r="C284" s="26" t="s">
        <v>902</v>
      </c>
      <c r="D284" s="27" t="s">
        <v>903</v>
      </c>
      <c r="E284" s="26" t="s">
        <v>107</v>
      </c>
      <c r="F284" s="27" t="s">
        <v>76</v>
      </c>
      <c r="G284" s="26" t="s">
        <v>283</v>
      </c>
      <c r="H284" s="27" t="str">
        <f aca="false">VLOOKUP(G284,'Product Master'!$A$5:$K$104,2,FALSE())</f>
        <v>Everyday Electronics Item 089</v>
      </c>
      <c r="I284" s="27" t="str">
        <f aca="false">VLOOKUP(G284,'Product Master'!$A$5:$K$104,3,FALSE())</f>
        <v>Electronics</v>
      </c>
      <c r="J284" s="28" t="n">
        <v>3</v>
      </c>
      <c r="K284" s="29" t="n">
        <v>2282.32</v>
      </c>
      <c r="L284" s="29" t="n">
        <f aca="false">J284*K284</f>
        <v>6846.96</v>
      </c>
      <c r="M284" s="26" t="s">
        <v>35</v>
      </c>
      <c r="N284" s="34" t="n">
        <v>46098</v>
      </c>
      <c r="O284" s="34" t="n">
        <v>46105</v>
      </c>
      <c r="P284" s="34" t="n">
        <v>46103</v>
      </c>
      <c r="Q284" s="28" t="n">
        <f aca="false">IF(P284&lt;&gt;"",MAX(1,P284-B284),IF(M284="Dispatched",MAX(1,O284-B284),0))</f>
        <v>7</v>
      </c>
      <c r="R284" s="28" t="n">
        <f aca="false">IF(M284="Cancelled",0,IF(P284&lt;&gt;"",MAX(0,P284-O284),IF(T284&lt;&gt;"None",MAX(1,O284-B284-2),0)))</f>
        <v>0</v>
      </c>
      <c r="S284" s="26" t="s">
        <v>37</v>
      </c>
      <c r="T284" s="27" t="s">
        <v>317</v>
      </c>
    </row>
    <row r="285" customFormat="false" ht="15" hidden="false" customHeight="false" outlineLevel="0" collapsed="false">
      <c r="A285" s="18" t="s">
        <v>904</v>
      </c>
      <c r="B285" s="25" t="n">
        <v>46192</v>
      </c>
      <c r="C285" s="18" t="s">
        <v>800</v>
      </c>
      <c r="D285" s="20" t="s">
        <v>616</v>
      </c>
      <c r="E285" s="18" t="s">
        <v>107</v>
      </c>
      <c r="F285" s="20" t="s">
        <v>79</v>
      </c>
      <c r="G285" s="18" t="s">
        <v>273</v>
      </c>
      <c r="H285" s="20" t="str">
        <f aca="false">VLOOKUP(G285,'Product Master'!$A$5:$K$104,2,FALSE())</f>
        <v>Essential Apparel Item 079</v>
      </c>
      <c r="I285" s="20" t="str">
        <f aca="false">VLOOKUP(G285,'Product Master'!$A$5:$K$104,3,FALSE())</f>
        <v>Apparel</v>
      </c>
      <c r="J285" s="17" t="n">
        <v>18</v>
      </c>
      <c r="K285" s="16" t="n">
        <v>12867.62</v>
      </c>
      <c r="L285" s="16" t="n">
        <f aca="false">J285*K285</f>
        <v>231617.16</v>
      </c>
      <c r="M285" s="18" t="s">
        <v>35</v>
      </c>
      <c r="N285" s="25" t="n">
        <v>46194</v>
      </c>
      <c r="O285" s="25" t="n">
        <v>46196</v>
      </c>
      <c r="P285" s="25" t="n">
        <v>46195</v>
      </c>
      <c r="Q285" s="17" t="n">
        <f aca="false">IF(P285&lt;&gt;"",MAX(1,P285-B285),IF(M285="Dispatched",MAX(1,O285-B285),0))</f>
        <v>3</v>
      </c>
      <c r="R285" s="17" t="n">
        <f aca="false">IF(M285="Cancelled",0,IF(P285&lt;&gt;"",MAX(0,P285-O285),IF(T285&lt;&gt;"None",MAX(1,O285-B285-2),0)))</f>
        <v>0</v>
      </c>
      <c r="S285" s="18" t="s">
        <v>37</v>
      </c>
      <c r="T285" s="20" t="s">
        <v>317</v>
      </c>
    </row>
    <row r="286" customFormat="false" ht="15" hidden="false" customHeight="false" outlineLevel="0" collapsed="false">
      <c r="A286" s="26" t="s">
        <v>905</v>
      </c>
      <c r="B286" s="34" t="n">
        <v>45957</v>
      </c>
      <c r="C286" s="26" t="s">
        <v>456</v>
      </c>
      <c r="D286" s="27" t="s">
        <v>834</v>
      </c>
      <c r="E286" s="26" t="s">
        <v>109</v>
      </c>
      <c r="F286" s="27" t="s">
        <v>78</v>
      </c>
      <c r="G286" s="26" t="s">
        <v>248</v>
      </c>
      <c r="H286" s="27" t="str">
        <f aca="false">VLOOKUP(G286,'Product Master'!$A$5:$K$104,2,FALSE())</f>
        <v>Pro Packaging Item 054</v>
      </c>
      <c r="I286" s="27" t="str">
        <f aca="false">VLOOKUP(G286,'Product Master'!$A$5:$K$104,3,FALSE())</f>
        <v>Packaging</v>
      </c>
      <c r="J286" s="28" t="n">
        <v>24</v>
      </c>
      <c r="K286" s="29" t="n">
        <v>6770.51</v>
      </c>
      <c r="L286" s="29" t="n">
        <f aca="false">J286*K286</f>
        <v>162492.24</v>
      </c>
      <c r="M286" s="26" t="s">
        <v>39</v>
      </c>
      <c r="N286" s="34"/>
      <c r="O286" s="34" t="n">
        <v>45966</v>
      </c>
      <c r="P286" s="34"/>
      <c r="Q286" s="28" t="n">
        <f aca="false">IF(P286&lt;&gt;"",MAX(1,P286-B286),IF(M286="Dispatched",MAX(1,O286-B286),0))</f>
        <v>0</v>
      </c>
      <c r="R286" s="28" t="n">
        <f aca="false">IF(M286="Cancelled",0,IF(P286&lt;&gt;"",MAX(0,P286-O286),IF(T286&lt;&gt;"None",MAX(1,O286-B286-2),0)))</f>
        <v>7</v>
      </c>
      <c r="S286" s="26" t="s">
        <v>352</v>
      </c>
      <c r="T286" s="27" t="s">
        <v>108</v>
      </c>
    </row>
    <row r="287" customFormat="false" ht="15" hidden="false" customHeight="false" outlineLevel="0" collapsed="false">
      <c r="A287" s="18" t="s">
        <v>906</v>
      </c>
      <c r="B287" s="25" t="n">
        <v>46034</v>
      </c>
      <c r="C287" s="18" t="s">
        <v>844</v>
      </c>
      <c r="D287" s="20" t="s">
        <v>907</v>
      </c>
      <c r="E287" s="18" t="s">
        <v>113</v>
      </c>
      <c r="F287" s="20" t="s">
        <v>78</v>
      </c>
      <c r="G287" s="18" t="s">
        <v>195</v>
      </c>
      <c r="H287" s="20" t="str">
        <f aca="false">VLOOKUP(G287,'Product Master'!$A$5:$K$104,2,FALSE())</f>
        <v>Everyday Electronics Item 001</v>
      </c>
      <c r="I287" s="20" t="str">
        <f aca="false">VLOOKUP(G287,'Product Master'!$A$5:$K$104,3,FALSE())</f>
        <v>Electronics</v>
      </c>
      <c r="J287" s="17" t="n">
        <v>1</v>
      </c>
      <c r="K287" s="16" t="n">
        <v>2912.4</v>
      </c>
      <c r="L287" s="16" t="n">
        <f aca="false">J287*K287</f>
        <v>2912.4</v>
      </c>
      <c r="M287" s="18" t="s">
        <v>35</v>
      </c>
      <c r="N287" s="25" t="n">
        <v>46034</v>
      </c>
      <c r="O287" s="25" t="n">
        <v>46043</v>
      </c>
      <c r="P287" s="25" t="n">
        <v>46047</v>
      </c>
      <c r="Q287" s="17" t="n">
        <f aca="false">IF(P287&lt;&gt;"",MAX(1,P287-B287),IF(M287="Dispatched",MAX(1,O287-B287),0))</f>
        <v>13</v>
      </c>
      <c r="R287" s="17" t="n">
        <f aca="false">IF(M287="Cancelled",0,IF(P287&lt;&gt;"",MAX(0,P287-O287),IF(T287&lt;&gt;"None",MAX(1,O287-B287-2),0)))</f>
        <v>4</v>
      </c>
      <c r="S287" s="18" t="s">
        <v>310</v>
      </c>
      <c r="T287" s="20" t="s">
        <v>106</v>
      </c>
    </row>
    <row r="288" customFormat="false" ht="15" hidden="false" customHeight="false" outlineLevel="0" collapsed="false">
      <c r="A288" s="26" t="s">
        <v>908</v>
      </c>
      <c r="B288" s="34" t="n">
        <v>45971</v>
      </c>
      <c r="C288" s="26" t="s">
        <v>585</v>
      </c>
      <c r="D288" s="27" t="s">
        <v>534</v>
      </c>
      <c r="E288" s="26" t="s">
        <v>113</v>
      </c>
      <c r="F288" s="27" t="s">
        <v>76</v>
      </c>
      <c r="G288" s="26" t="s">
        <v>271</v>
      </c>
      <c r="H288" s="27" t="str">
        <f aca="false">VLOOKUP(G288,'Product Master'!$A$5:$K$104,2,FALSE())</f>
        <v>Everyday Industrial Item 077</v>
      </c>
      <c r="I288" s="27" t="str">
        <f aca="false">VLOOKUP(G288,'Product Master'!$A$5:$K$104,3,FALSE())</f>
        <v>Industrial</v>
      </c>
      <c r="J288" s="28" t="n">
        <v>8</v>
      </c>
      <c r="K288" s="29" t="n">
        <v>3653.35</v>
      </c>
      <c r="L288" s="29" t="n">
        <f aca="false">J288*K288</f>
        <v>29226.8</v>
      </c>
      <c r="M288" s="26" t="s">
        <v>41</v>
      </c>
      <c r="N288" s="34" t="n">
        <v>45972</v>
      </c>
      <c r="O288" s="34" t="n">
        <v>45977</v>
      </c>
      <c r="P288" s="34"/>
      <c r="Q288" s="28" t="n">
        <f aca="false">IF(P288&lt;&gt;"",MAX(1,P288-B288),IF(M288="Dispatched",MAX(1,O288-B288),0))</f>
        <v>6</v>
      </c>
      <c r="R288" s="28" t="n">
        <f aca="false">IF(M288="Cancelled",0,IF(P288&lt;&gt;"",MAX(0,P288-O288),IF(T288&lt;&gt;"None",MAX(1,O288-B288-2),0)))</f>
        <v>4</v>
      </c>
      <c r="S288" s="26" t="s">
        <v>310</v>
      </c>
      <c r="T288" s="27" t="s">
        <v>115</v>
      </c>
    </row>
    <row r="289" customFormat="false" ht="15" hidden="false" customHeight="false" outlineLevel="0" collapsed="false">
      <c r="A289" s="18" t="s">
        <v>909</v>
      </c>
      <c r="B289" s="25" t="n">
        <v>46109</v>
      </c>
      <c r="C289" s="18" t="s">
        <v>585</v>
      </c>
      <c r="D289" s="20" t="s">
        <v>698</v>
      </c>
      <c r="E289" s="18" t="s">
        <v>107</v>
      </c>
      <c r="F289" s="20" t="s">
        <v>76</v>
      </c>
      <c r="G289" s="18" t="s">
        <v>199</v>
      </c>
      <c r="H289" s="20" t="str">
        <f aca="false">VLOOKUP(G289,'Product Master'!$A$5:$K$104,2,FALSE())</f>
        <v>Everyday Industrial Item 005</v>
      </c>
      <c r="I289" s="20" t="str">
        <f aca="false">VLOOKUP(G289,'Product Master'!$A$5:$K$104,3,FALSE())</f>
        <v>Industrial</v>
      </c>
      <c r="J289" s="17" t="n">
        <v>22</v>
      </c>
      <c r="K289" s="16" t="n">
        <v>1573.69</v>
      </c>
      <c r="L289" s="16" t="n">
        <f aca="false">J289*K289</f>
        <v>34621.18</v>
      </c>
      <c r="M289" s="18" t="s">
        <v>35</v>
      </c>
      <c r="N289" s="25" t="n">
        <v>46111</v>
      </c>
      <c r="O289" s="25" t="n">
        <v>46115</v>
      </c>
      <c r="P289" s="25" t="n">
        <v>46113</v>
      </c>
      <c r="Q289" s="17" t="n">
        <f aca="false">IF(P289&lt;&gt;"",MAX(1,P289-B289),IF(M289="Dispatched",MAX(1,O289-B289),0))</f>
        <v>4</v>
      </c>
      <c r="R289" s="17" t="n">
        <f aca="false">IF(M289="Cancelled",0,IF(P289&lt;&gt;"",MAX(0,P289-O289),IF(T289&lt;&gt;"None",MAX(1,O289-B289-2),0)))</f>
        <v>0</v>
      </c>
      <c r="S289" s="18" t="s">
        <v>339</v>
      </c>
      <c r="T289" s="20" t="s">
        <v>317</v>
      </c>
    </row>
    <row r="290" customFormat="false" ht="15" hidden="false" customHeight="false" outlineLevel="0" collapsed="false">
      <c r="A290" s="26" t="s">
        <v>910</v>
      </c>
      <c r="B290" s="34" t="n">
        <v>46013</v>
      </c>
      <c r="C290" s="26" t="s">
        <v>782</v>
      </c>
      <c r="D290" s="27" t="s">
        <v>358</v>
      </c>
      <c r="E290" s="26" t="s">
        <v>109</v>
      </c>
      <c r="F290" s="27" t="s">
        <v>80</v>
      </c>
      <c r="G290" s="26" t="s">
        <v>281</v>
      </c>
      <c r="H290" s="27" t="str">
        <f aca="false">VLOOKUP(G290,'Product Master'!$A$5:$K$104,2,FALSE())</f>
        <v>Compact Apparel Item 087</v>
      </c>
      <c r="I290" s="27" t="str">
        <f aca="false">VLOOKUP(G290,'Product Master'!$A$5:$K$104,3,FALSE())</f>
        <v>Apparel</v>
      </c>
      <c r="J290" s="28" t="n">
        <v>22</v>
      </c>
      <c r="K290" s="29" t="n">
        <v>8400.02</v>
      </c>
      <c r="L290" s="29" t="n">
        <f aca="false">J290*K290</f>
        <v>184800.44</v>
      </c>
      <c r="M290" s="26" t="s">
        <v>37</v>
      </c>
      <c r="N290" s="34"/>
      <c r="O290" s="34" t="n">
        <v>46017</v>
      </c>
      <c r="P290" s="34"/>
      <c r="Q290" s="28" t="n">
        <f aca="false">IF(P290&lt;&gt;"",MAX(1,P290-B290),IF(M290="Dispatched",MAX(1,O290-B290),0))</f>
        <v>0</v>
      </c>
      <c r="R290" s="28" t="n">
        <f aca="false">IF(M290="Cancelled",0,IF(P290&lt;&gt;"",MAX(0,P290-O290),IF(T290&lt;&gt;"None",MAX(1,O290-B290-2),0)))</f>
        <v>2</v>
      </c>
      <c r="S290" s="26" t="s">
        <v>310</v>
      </c>
      <c r="T290" s="27" t="s">
        <v>116</v>
      </c>
    </row>
    <row r="291" customFormat="false" ht="15" hidden="false" customHeight="false" outlineLevel="0" collapsed="false">
      <c r="A291" s="18" t="s">
        <v>911</v>
      </c>
      <c r="B291" s="25" t="n">
        <v>46084</v>
      </c>
      <c r="C291" s="18" t="s">
        <v>614</v>
      </c>
      <c r="D291" s="20" t="s">
        <v>672</v>
      </c>
      <c r="E291" s="18" t="s">
        <v>109</v>
      </c>
      <c r="F291" s="20" t="s">
        <v>79</v>
      </c>
      <c r="G291" s="18" t="s">
        <v>236</v>
      </c>
      <c r="H291" s="20" t="str">
        <f aca="false">VLOOKUP(G291,'Product Master'!$A$5:$K$104,2,FALSE())</f>
        <v>Compact Home Item 042</v>
      </c>
      <c r="I291" s="20" t="str">
        <f aca="false">VLOOKUP(G291,'Product Master'!$A$5:$K$104,3,FALSE())</f>
        <v>Home &amp; Kitchen</v>
      </c>
      <c r="J291" s="17" t="n">
        <v>3</v>
      </c>
      <c r="K291" s="16" t="n">
        <v>5892.15</v>
      </c>
      <c r="L291" s="16" t="n">
        <f aca="false">J291*K291</f>
        <v>17676.45</v>
      </c>
      <c r="M291" s="18" t="s">
        <v>39</v>
      </c>
      <c r="N291" s="25"/>
      <c r="O291" s="25" t="n">
        <v>46087</v>
      </c>
      <c r="P291" s="25"/>
      <c r="Q291" s="17" t="n">
        <f aca="false">IF(P291&lt;&gt;"",MAX(1,P291-B291),IF(M291="Dispatched",MAX(1,O291-B291),0))</f>
        <v>0</v>
      </c>
      <c r="R291" s="17" t="n">
        <f aca="false">IF(M291="Cancelled",0,IF(P291&lt;&gt;"",MAX(0,P291-O291),IF(T291&lt;&gt;"None",MAX(1,O291-B291-2),0)))</f>
        <v>0</v>
      </c>
      <c r="S291" s="18" t="s">
        <v>310</v>
      </c>
      <c r="T291" s="20" t="s">
        <v>317</v>
      </c>
    </row>
    <row r="292" customFormat="false" ht="15" hidden="false" customHeight="false" outlineLevel="0" collapsed="false">
      <c r="A292" s="26" t="s">
        <v>912</v>
      </c>
      <c r="B292" s="34" t="n">
        <v>46071</v>
      </c>
      <c r="C292" s="26" t="s">
        <v>571</v>
      </c>
      <c r="D292" s="27" t="s">
        <v>865</v>
      </c>
      <c r="E292" s="26" t="s">
        <v>113</v>
      </c>
      <c r="F292" s="27" t="s">
        <v>79</v>
      </c>
      <c r="G292" s="26" t="s">
        <v>237</v>
      </c>
      <c r="H292" s="27" t="str">
        <f aca="false">VLOOKUP(G292,'Product Master'!$A$5:$K$104,2,FALSE())</f>
        <v>Eco Office Item 043</v>
      </c>
      <c r="I292" s="27" t="str">
        <f aca="false">VLOOKUP(G292,'Product Master'!$A$5:$K$104,3,FALSE())</f>
        <v>Office Supplies</v>
      </c>
      <c r="J292" s="28" t="n">
        <v>17</v>
      </c>
      <c r="K292" s="29" t="n">
        <v>2525.48</v>
      </c>
      <c r="L292" s="29" t="n">
        <f aca="false">J292*K292</f>
        <v>42933.16</v>
      </c>
      <c r="M292" s="26" t="s">
        <v>35</v>
      </c>
      <c r="N292" s="34" t="n">
        <v>46071</v>
      </c>
      <c r="O292" s="34" t="n">
        <v>46076</v>
      </c>
      <c r="P292" s="34" t="n">
        <v>46074</v>
      </c>
      <c r="Q292" s="28" t="n">
        <f aca="false">IF(P292&lt;&gt;"",MAX(1,P292-B292),IF(M292="Dispatched",MAX(1,O292-B292),0))</f>
        <v>3</v>
      </c>
      <c r="R292" s="28" t="n">
        <f aca="false">IF(M292="Cancelled",0,IF(P292&lt;&gt;"",MAX(0,P292-O292),IF(T292&lt;&gt;"None",MAX(1,O292-B292-2),0)))</f>
        <v>0</v>
      </c>
      <c r="S292" s="26" t="s">
        <v>37</v>
      </c>
      <c r="T292" s="27" t="s">
        <v>317</v>
      </c>
    </row>
    <row r="293" customFormat="false" ht="15" hidden="false" customHeight="false" outlineLevel="0" collapsed="false">
      <c r="A293" s="18" t="s">
        <v>913</v>
      </c>
      <c r="B293" s="25" t="n">
        <v>46240</v>
      </c>
      <c r="C293" s="18" t="s">
        <v>442</v>
      </c>
      <c r="D293" s="20" t="s">
        <v>914</v>
      </c>
      <c r="E293" s="18" t="s">
        <v>109</v>
      </c>
      <c r="F293" s="20" t="s">
        <v>79</v>
      </c>
      <c r="G293" s="18" t="s">
        <v>285</v>
      </c>
      <c r="H293" s="20" t="str">
        <f aca="false">VLOOKUP(G293,'Product Master'!$A$5:$K$104,2,FALSE())</f>
        <v>Premium Office Item 091</v>
      </c>
      <c r="I293" s="20" t="str">
        <f aca="false">VLOOKUP(G293,'Product Master'!$A$5:$K$104,3,FALSE())</f>
        <v>Office Supplies</v>
      </c>
      <c r="J293" s="17" t="n">
        <v>20</v>
      </c>
      <c r="K293" s="16" t="n">
        <v>6977.08</v>
      </c>
      <c r="L293" s="16" t="n">
        <f aca="false">J293*K293</f>
        <v>139541.6</v>
      </c>
      <c r="M293" s="18" t="s">
        <v>41</v>
      </c>
      <c r="N293" s="25" t="n">
        <v>46242</v>
      </c>
      <c r="O293" s="25" t="n">
        <v>46246</v>
      </c>
      <c r="P293" s="25"/>
      <c r="Q293" s="17" t="n">
        <f aca="false">IF(P293&lt;&gt;"",MAX(1,P293-B293),IF(M293="Dispatched",MAX(1,O293-B293),0))</f>
        <v>6</v>
      </c>
      <c r="R293" s="17" t="n">
        <f aca="false">IF(M293="Cancelled",0,IF(P293&lt;&gt;"",MAX(0,P293-O293),IF(T293&lt;&gt;"None",MAX(1,O293-B293-2),0)))</f>
        <v>0</v>
      </c>
      <c r="S293" s="18" t="s">
        <v>37</v>
      </c>
      <c r="T293" s="20" t="s">
        <v>317</v>
      </c>
    </row>
    <row r="294" customFormat="false" ht="15" hidden="false" customHeight="false" outlineLevel="0" collapsed="false">
      <c r="A294" s="26" t="s">
        <v>915</v>
      </c>
      <c r="B294" s="34" t="n">
        <v>46185</v>
      </c>
      <c r="C294" s="26" t="s">
        <v>916</v>
      </c>
      <c r="D294" s="27" t="s">
        <v>711</v>
      </c>
      <c r="E294" s="26" t="s">
        <v>107</v>
      </c>
      <c r="F294" s="27" t="s">
        <v>80</v>
      </c>
      <c r="G294" s="26" t="s">
        <v>258</v>
      </c>
      <c r="H294" s="27" t="str">
        <f aca="false">VLOOKUP(G294,'Product Master'!$A$5:$K$104,2,FALSE())</f>
        <v>Compact Automotive Item 064</v>
      </c>
      <c r="I294" s="27" t="str">
        <f aca="false">VLOOKUP(G294,'Product Master'!$A$5:$K$104,3,FALSE())</f>
        <v>Automotive</v>
      </c>
      <c r="J294" s="28" t="n">
        <v>8</v>
      </c>
      <c r="K294" s="29" t="n">
        <v>4156.81</v>
      </c>
      <c r="L294" s="29" t="n">
        <f aca="false">J294*K294</f>
        <v>33254.48</v>
      </c>
      <c r="M294" s="26" t="s">
        <v>39</v>
      </c>
      <c r="N294" s="34"/>
      <c r="O294" s="34" t="n">
        <v>46190</v>
      </c>
      <c r="P294" s="34"/>
      <c r="Q294" s="28" t="n">
        <f aca="false">IF(P294&lt;&gt;"",MAX(1,P294-B294),IF(M294="Dispatched",MAX(1,O294-B294),0))</f>
        <v>0</v>
      </c>
      <c r="R294" s="28" t="n">
        <f aca="false">IF(M294="Cancelled",0,IF(P294&lt;&gt;"",MAX(0,P294-O294),IF(T294&lt;&gt;"None",MAX(1,O294-B294-2),0)))</f>
        <v>3</v>
      </c>
      <c r="S294" s="26" t="s">
        <v>310</v>
      </c>
      <c r="T294" s="27" t="s">
        <v>106</v>
      </c>
    </row>
    <row r="295" customFormat="false" ht="15" hidden="false" customHeight="false" outlineLevel="0" collapsed="false">
      <c r="A295" s="18" t="s">
        <v>917</v>
      </c>
      <c r="B295" s="25" t="n">
        <v>45991</v>
      </c>
      <c r="C295" s="18" t="s">
        <v>827</v>
      </c>
      <c r="D295" s="20" t="s">
        <v>316</v>
      </c>
      <c r="E295" s="18" t="s">
        <v>107</v>
      </c>
      <c r="F295" s="20" t="s">
        <v>80</v>
      </c>
      <c r="G295" s="18" t="s">
        <v>289</v>
      </c>
      <c r="H295" s="20" t="str">
        <f aca="false">VLOOKUP(G295,'Product Master'!$A$5:$K$104,2,FALSE())</f>
        <v>Eco Apparel Item 095</v>
      </c>
      <c r="I295" s="20" t="str">
        <f aca="false">VLOOKUP(G295,'Product Master'!$A$5:$K$104,3,FALSE())</f>
        <v>Apparel</v>
      </c>
      <c r="J295" s="17" t="n">
        <v>14</v>
      </c>
      <c r="K295" s="16" t="n">
        <v>2884.81</v>
      </c>
      <c r="L295" s="16" t="n">
        <f aca="false">J295*K295</f>
        <v>40387.34</v>
      </c>
      <c r="M295" s="18" t="s">
        <v>35</v>
      </c>
      <c r="N295" s="25" t="n">
        <v>45993</v>
      </c>
      <c r="O295" s="25" t="n">
        <v>45998</v>
      </c>
      <c r="P295" s="25" t="n">
        <v>46006</v>
      </c>
      <c r="Q295" s="17" t="n">
        <f aca="false">IF(P295&lt;&gt;"",MAX(1,P295-B295),IF(M295="Dispatched",MAX(1,O295-B295),0))</f>
        <v>15</v>
      </c>
      <c r="R295" s="17" t="n">
        <f aca="false">IF(M295="Cancelled",0,IF(P295&lt;&gt;"",MAX(0,P295-O295),IF(T295&lt;&gt;"None",MAX(1,O295-B295-2),0)))</f>
        <v>8</v>
      </c>
      <c r="S295" s="18" t="s">
        <v>310</v>
      </c>
      <c r="T295" s="20" t="s">
        <v>106</v>
      </c>
    </row>
    <row r="296" customFormat="false" ht="15" hidden="false" customHeight="false" outlineLevel="0" collapsed="false">
      <c r="A296" s="26" t="s">
        <v>918</v>
      </c>
      <c r="B296" s="34" t="n">
        <v>45965</v>
      </c>
      <c r="C296" s="26" t="s">
        <v>710</v>
      </c>
      <c r="D296" s="27" t="s">
        <v>919</v>
      </c>
      <c r="E296" s="26" t="s">
        <v>109</v>
      </c>
      <c r="F296" s="27" t="s">
        <v>80</v>
      </c>
      <c r="G296" s="26" t="s">
        <v>234</v>
      </c>
      <c r="H296" s="27" t="str">
        <f aca="false">VLOOKUP(G296,'Product Master'!$A$5:$K$104,2,FALSE())</f>
        <v>Smart Automotive Item 040</v>
      </c>
      <c r="I296" s="27" t="str">
        <f aca="false">VLOOKUP(G296,'Product Master'!$A$5:$K$104,3,FALSE())</f>
        <v>Automotive</v>
      </c>
      <c r="J296" s="28" t="n">
        <v>18</v>
      </c>
      <c r="K296" s="29" t="n">
        <v>4502.79</v>
      </c>
      <c r="L296" s="29" t="n">
        <f aca="false">J296*K296</f>
        <v>81050.22</v>
      </c>
      <c r="M296" s="26" t="s">
        <v>35</v>
      </c>
      <c r="N296" s="34" t="n">
        <v>45965</v>
      </c>
      <c r="O296" s="34" t="n">
        <v>45967</v>
      </c>
      <c r="P296" s="34" t="n">
        <v>45968</v>
      </c>
      <c r="Q296" s="28" t="n">
        <f aca="false">IF(P296&lt;&gt;"",MAX(1,P296-B296),IF(M296="Dispatched",MAX(1,O296-B296),0))</f>
        <v>3</v>
      </c>
      <c r="R296" s="28" t="n">
        <f aca="false">IF(M296="Cancelled",0,IF(P296&lt;&gt;"",MAX(0,P296-O296),IF(T296&lt;&gt;"None",MAX(1,O296-B296-2),0)))</f>
        <v>1</v>
      </c>
      <c r="S296" s="26" t="s">
        <v>310</v>
      </c>
      <c r="T296" s="27" t="s">
        <v>112</v>
      </c>
    </row>
    <row r="297" customFormat="false" ht="15" hidden="false" customHeight="false" outlineLevel="0" collapsed="false">
      <c r="A297" s="18" t="s">
        <v>920</v>
      </c>
      <c r="B297" s="25" t="n">
        <v>46100</v>
      </c>
      <c r="C297" s="18" t="s">
        <v>456</v>
      </c>
      <c r="D297" s="20" t="s">
        <v>921</v>
      </c>
      <c r="E297" s="18" t="s">
        <v>111</v>
      </c>
      <c r="F297" s="20" t="s">
        <v>79</v>
      </c>
      <c r="G297" s="18" t="s">
        <v>238</v>
      </c>
      <c r="H297" s="20" t="str">
        <f aca="false">VLOOKUP(G297,'Product Master'!$A$5:$K$104,2,FALSE())</f>
        <v>Essential Personal Item 044</v>
      </c>
      <c r="I297" s="20" t="str">
        <f aca="false">VLOOKUP(G297,'Product Master'!$A$5:$K$104,3,FALSE())</f>
        <v>Personal Care</v>
      </c>
      <c r="J297" s="17" t="n">
        <v>2</v>
      </c>
      <c r="K297" s="16" t="n">
        <v>958.86</v>
      </c>
      <c r="L297" s="16" t="n">
        <f aca="false">J297*K297</f>
        <v>1917.72</v>
      </c>
      <c r="M297" s="18" t="s">
        <v>37</v>
      </c>
      <c r="N297" s="25"/>
      <c r="O297" s="25" t="n">
        <v>46109</v>
      </c>
      <c r="P297" s="25"/>
      <c r="Q297" s="17" t="n">
        <f aca="false">IF(P297&lt;&gt;"",MAX(1,P297-B297),IF(M297="Dispatched",MAX(1,O297-B297),0))</f>
        <v>0</v>
      </c>
      <c r="R297" s="17" t="n">
        <f aca="false">IF(M297="Cancelled",0,IF(P297&lt;&gt;"",MAX(0,P297-O297),IF(T297&lt;&gt;"None",MAX(1,O297-B297-2),0)))</f>
        <v>0</v>
      </c>
      <c r="S297" s="18" t="s">
        <v>310</v>
      </c>
      <c r="T297" s="20" t="s">
        <v>317</v>
      </c>
    </row>
    <row r="298" customFormat="false" ht="15" hidden="false" customHeight="false" outlineLevel="0" collapsed="false">
      <c r="A298" s="26" t="s">
        <v>922</v>
      </c>
      <c r="B298" s="34" t="n">
        <v>46102</v>
      </c>
      <c r="C298" s="26" t="s">
        <v>761</v>
      </c>
      <c r="D298" s="27" t="s">
        <v>460</v>
      </c>
      <c r="E298" s="26" t="s">
        <v>111</v>
      </c>
      <c r="F298" s="27" t="s">
        <v>76</v>
      </c>
      <c r="G298" s="26" t="s">
        <v>254</v>
      </c>
      <c r="H298" s="27" t="str">
        <f aca="false">VLOOKUP(G298,'Product Master'!$A$5:$K$104,2,FALSE())</f>
        <v>Smart Personal Item 060</v>
      </c>
      <c r="I298" s="27" t="str">
        <f aca="false">VLOOKUP(G298,'Product Master'!$A$5:$K$104,3,FALSE())</f>
        <v>Personal Care</v>
      </c>
      <c r="J298" s="28" t="n">
        <v>17</v>
      </c>
      <c r="K298" s="29" t="n">
        <v>4626.27</v>
      </c>
      <c r="L298" s="29" t="n">
        <f aca="false">J298*K298</f>
        <v>78646.59</v>
      </c>
      <c r="M298" s="26" t="s">
        <v>35</v>
      </c>
      <c r="N298" s="34" t="n">
        <v>46102</v>
      </c>
      <c r="O298" s="34" t="n">
        <v>46109</v>
      </c>
      <c r="P298" s="34" t="n">
        <v>46109</v>
      </c>
      <c r="Q298" s="28" t="n">
        <f aca="false">IF(P298&lt;&gt;"",MAX(1,P298-B298),IF(M298="Dispatched",MAX(1,O298-B298),0))</f>
        <v>7</v>
      </c>
      <c r="R298" s="28" t="n">
        <f aca="false">IF(M298="Cancelled",0,IF(P298&lt;&gt;"",MAX(0,P298-O298),IF(T298&lt;&gt;"None",MAX(1,O298-B298-2),0)))</f>
        <v>0</v>
      </c>
      <c r="S298" s="26" t="s">
        <v>352</v>
      </c>
      <c r="T298" s="27" t="s">
        <v>317</v>
      </c>
    </row>
    <row r="299" customFormat="false" ht="15" hidden="false" customHeight="false" outlineLevel="0" collapsed="false">
      <c r="A299" s="18" t="s">
        <v>923</v>
      </c>
      <c r="B299" s="25" t="n">
        <v>46112</v>
      </c>
      <c r="C299" s="18" t="s">
        <v>409</v>
      </c>
      <c r="D299" s="20" t="s">
        <v>924</v>
      </c>
      <c r="E299" s="18" t="s">
        <v>107</v>
      </c>
      <c r="F299" s="20" t="s">
        <v>78</v>
      </c>
      <c r="G299" s="18" t="s">
        <v>203</v>
      </c>
      <c r="H299" s="20" t="str">
        <f aca="false">VLOOKUP(G299,'Product Master'!$A$5:$K$104,2,FALSE())</f>
        <v>Essential Electronics Item 009</v>
      </c>
      <c r="I299" s="20" t="str">
        <f aca="false">VLOOKUP(G299,'Product Master'!$A$5:$K$104,3,FALSE())</f>
        <v>Electronics</v>
      </c>
      <c r="J299" s="17" t="n">
        <v>1</v>
      </c>
      <c r="K299" s="16" t="n">
        <v>5778.46</v>
      </c>
      <c r="L299" s="16" t="n">
        <f aca="false">J299*K299</f>
        <v>5778.46</v>
      </c>
      <c r="M299" s="18" t="s">
        <v>35</v>
      </c>
      <c r="N299" s="25" t="n">
        <v>46113</v>
      </c>
      <c r="O299" s="25" t="n">
        <v>46120</v>
      </c>
      <c r="P299" s="25" t="n">
        <v>46122</v>
      </c>
      <c r="Q299" s="17" t="n">
        <f aca="false">IF(P299&lt;&gt;"",MAX(1,P299-B299),IF(M299="Dispatched",MAX(1,O299-B299),0))</f>
        <v>10</v>
      </c>
      <c r="R299" s="17" t="n">
        <f aca="false">IF(M299="Cancelled",0,IF(P299&lt;&gt;"",MAX(0,P299-O299),IF(T299&lt;&gt;"None",MAX(1,O299-B299-2),0)))</f>
        <v>2</v>
      </c>
      <c r="S299" s="18" t="s">
        <v>37</v>
      </c>
      <c r="T299" s="20" t="s">
        <v>106</v>
      </c>
    </row>
    <row r="300" customFormat="false" ht="15" hidden="false" customHeight="false" outlineLevel="0" collapsed="false">
      <c r="A300" s="26" t="s">
        <v>925</v>
      </c>
      <c r="B300" s="34" t="n">
        <v>46088</v>
      </c>
      <c r="C300" s="26" t="s">
        <v>833</v>
      </c>
      <c r="D300" s="27" t="s">
        <v>463</v>
      </c>
      <c r="E300" s="26" t="s">
        <v>109</v>
      </c>
      <c r="F300" s="27" t="s">
        <v>76</v>
      </c>
      <c r="G300" s="26" t="s">
        <v>285</v>
      </c>
      <c r="H300" s="27" t="str">
        <f aca="false">VLOOKUP(G300,'Product Master'!$A$5:$K$104,2,FALSE())</f>
        <v>Premium Office Item 091</v>
      </c>
      <c r="I300" s="27" t="str">
        <f aca="false">VLOOKUP(G300,'Product Master'!$A$5:$K$104,3,FALSE())</f>
        <v>Office Supplies</v>
      </c>
      <c r="J300" s="28" t="n">
        <v>9</v>
      </c>
      <c r="K300" s="29" t="n">
        <v>6977.08</v>
      </c>
      <c r="L300" s="29" t="n">
        <f aca="false">J300*K300</f>
        <v>62793.72</v>
      </c>
      <c r="M300" s="26" t="s">
        <v>35</v>
      </c>
      <c r="N300" s="34" t="n">
        <v>46089</v>
      </c>
      <c r="O300" s="34" t="n">
        <v>46097</v>
      </c>
      <c r="P300" s="34" t="n">
        <v>46098</v>
      </c>
      <c r="Q300" s="28" t="n">
        <f aca="false">IF(P300&lt;&gt;"",MAX(1,P300-B300),IF(M300="Dispatched",MAX(1,O300-B300),0))</f>
        <v>10</v>
      </c>
      <c r="R300" s="28" t="n">
        <f aca="false">IF(M300="Cancelled",0,IF(P300&lt;&gt;"",MAX(0,P300-O300),IF(T300&lt;&gt;"None",MAX(1,O300-B300-2),0)))</f>
        <v>1</v>
      </c>
      <c r="S300" s="26" t="s">
        <v>310</v>
      </c>
      <c r="T300" s="27" t="s">
        <v>114</v>
      </c>
    </row>
    <row r="301" customFormat="false" ht="15" hidden="false" customHeight="false" outlineLevel="0" collapsed="false">
      <c r="A301" s="18" t="s">
        <v>926</v>
      </c>
      <c r="B301" s="25" t="n">
        <v>46020</v>
      </c>
      <c r="C301" s="18" t="s">
        <v>363</v>
      </c>
      <c r="D301" s="20" t="s">
        <v>914</v>
      </c>
      <c r="E301" s="18" t="s">
        <v>109</v>
      </c>
      <c r="F301" s="20" t="s">
        <v>76</v>
      </c>
      <c r="G301" s="18" t="s">
        <v>209</v>
      </c>
      <c r="H301" s="20" t="str">
        <f aca="false">VLOOKUP(G301,'Product Master'!$A$5:$K$104,2,FALSE())</f>
        <v>Classic Apparel Item 015</v>
      </c>
      <c r="I301" s="20" t="str">
        <f aca="false">VLOOKUP(G301,'Product Master'!$A$5:$K$104,3,FALSE())</f>
        <v>Apparel</v>
      </c>
      <c r="J301" s="17" t="n">
        <v>25</v>
      </c>
      <c r="K301" s="16" t="n">
        <v>1631</v>
      </c>
      <c r="L301" s="16" t="n">
        <f aca="false">J301*K301</f>
        <v>40775</v>
      </c>
      <c r="M301" s="18" t="s">
        <v>35</v>
      </c>
      <c r="N301" s="25" t="n">
        <v>46023</v>
      </c>
      <c r="O301" s="25" t="n">
        <v>46023</v>
      </c>
      <c r="P301" s="25" t="n">
        <v>46031</v>
      </c>
      <c r="Q301" s="17" t="n">
        <f aca="false">IF(P301&lt;&gt;"",MAX(1,P301-B301),IF(M301="Dispatched",MAX(1,O301-B301),0))</f>
        <v>11</v>
      </c>
      <c r="R301" s="17" t="n">
        <f aca="false">IF(M301="Cancelled",0,IF(P301&lt;&gt;"",MAX(0,P301-O301),IF(T301&lt;&gt;"None",MAX(1,O301-B301-2),0)))</f>
        <v>8</v>
      </c>
      <c r="S301" s="18" t="s">
        <v>310</v>
      </c>
      <c r="T301" s="20" t="s">
        <v>115</v>
      </c>
    </row>
    <row r="302" customFormat="false" ht="15" hidden="false" customHeight="false" outlineLevel="0" collapsed="false">
      <c r="A302" s="26" t="s">
        <v>927</v>
      </c>
      <c r="B302" s="34" t="n">
        <v>46105</v>
      </c>
      <c r="C302" s="26" t="s">
        <v>651</v>
      </c>
      <c r="D302" s="27" t="s">
        <v>427</v>
      </c>
      <c r="E302" s="26" t="s">
        <v>113</v>
      </c>
      <c r="F302" s="27" t="s">
        <v>78</v>
      </c>
      <c r="G302" s="26" t="s">
        <v>256</v>
      </c>
      <c r="H302" s="27" t="str">
        <f aca="false">VLOOKUP(G302,'Product Master'!$A$5:$K$104,2,FALSE())</f>
        <v>Compact Packaging Item 062</v>
      </c>
      <c r="I302" s="27" t="str">
        <f aca="false">VLOOKUP(G302,'Product Master'!$A$5:$K$104,3,FALSE())</f>
        <v>Packaging</v>
      </c>
      <c r="J302" s="28" t="n">
        <v>25</v>
      </c>
      <c r="K302" s="29" t="n">
        <v>10323.31</v>
      </c>
      <c r="L302" s="29" t="n">
        <f aca="false">J302*K302</f>
        <v>258082.75</v>
      </c>
      <c r="M302" s="26" t="s">
        <v>35</v>
      </c>
      <c r="N302" s="34" t="n">
        <v>46106</v>
      </c>
      <c r="O302" s="34" t="n">
        <v>46108</v>
      </c>
      <c r="P302" s="34" t="n">
        <v>46108</v>
      </c>
      <c r="Q302" s="28" t="n">
        <f aca="false">IF(P302&lt;&gt;"",MAX(1,P302-B302),IF(M302="Dispatched",MAX(1,O302-B302),0))</f>
        <v>3</v>
      </c>
      <c r="R302" s="28" t="n">
        <f aca="false">IF(M302="Cancelled",0,IF(P302&lt;&gt;"",MAX(0,P302-O302),IF(T302&lt;&gt;"None",MAX(1,O302-B302-2),0)))</f>
        <v>0</v>
      </c>
      <c r="S302" s="26" t="s">
        <v>310</v>
      </c>
      <c r="T302" s="27" t="s">
        <v>317</v>
      </c>
    </row>
    <row r="303" customFormat="false" ht="15" hidden="false" customHeight="false" outlineLevel="0" collapsed="false">
      <c r="A303" s="18" t="s">
        <v>928</v>
      </c>
      <c r="B303" s="25" t="n">
        <v>46198</v>
      </c>
      <c r="C303" s="18" t="s">
        <v>929</v>
      </c>
      <c r="D303" s="20" t="s">
        <v>345</v>
      </c>
      <c r="E303" s="18" t="s">
        <v>105</v>
      </c>
      <c r="F303" s="20" t="s">
        <v>78</v>
      </c>
      <c r="G303" s="18" t="s">
        <v>209</v>
      </c>
      <c r="H303" s="20" t="str">
        <f aca="false">VLOOKUP(G303,'Product Master'!$A$5:$K$104,2,FALSE())</f>
        <v>Classic Apparel Item 015</v>
      </c>
      <c r="I303" s="20" t="str">
        <f aca="false">VLOOKUP(G303,'Product Master'!$A$5:$K$104,3,FALSE())</f>
        <v>Apparel</v>
      </c>
      <c r="J303" s="17" t="n">
        <v>2</v>
      </c>
      <c r="K303" s="16" t="n">
        <v>1631</v>
      </c>
      <c r="L303" s="16" t="n">
        <f aca="false">J303*K303</f>
        <v>3262</v>
      </c>
      <c r="M303" s="18" t="s">
        <v>37</v>
      </c>
      <c r="N303" s="25"/>
      <c r="O303" s="25" t="n">
        <v>46201</v>
      </c>
      <c r="P303" s="25"/>
      <c r="Q303" s="17" t="n">
        <f aca="false">IF(P303&lt;&gt;"",MAX(1,P303-B303),IF(M303="Dispatched",MAX(1,O303-B303),0))</f>
        <v>0</v>
      </c>
      <c r="R303" s="17" t="n">
        <f aca="false">IF(M303="Cancelled",0,IF(P303&lt;&gt;"",MAX(0,P303-O303),IF(T303&lt;&gt;"None",MAX(1,O303-B303-2),0)))</f>
        <v>0</v>
      </c>
      <c r="S303" s="18" t="s">
        <v>310</v>
      </c>
      <c r="T303" s="20" t="s">
        <v>317</v>
      </c>
    </row>
    <row r="304" customFormat="false" ht="15" hidden="false" customHeight="false" outlineLevel="0" collapsed="false">
      <c r="A304" s="26" t="s">
        <v>930</v>
      </c>
      <c r="B304" s="34" t="n">
        <v>46268</v>
      </c>
      <c r="C304" s="26" t="s">
        <v>931</v>
      </c>
      <c r="D304" s="27" t="s">
        <v>932</v>
      </c>
      <c r="E304" s="26" t="s">
        <v>109</v>
      </c>
      <c r="F304" s="27" t="s">
        <v>76</v>
      </c>
      <c r="G304" s="26" t="s">
        <v>290</v>
      </c>
      <c r="H304" s="27" t="str">
        <f aca="false">VLOOKUP(G304,'Product Master'!$A$5:$K$104,2,FALSE())</f>
        <v>Eco Automotive Item 096</v>
      </c>
      <c r="I304" s="27" t="str">
        <f aca="false">VLOOKUP(G304,'Product Master'!$A$5:$K$104,3,FALSE())</f>
        <v>Automotive</v>
      </c>
      <c r="J304" s="28" t="n">
        <v>19</v>
      </c>
      <c r="K304" s="29" t="n">
        <v>9414.72</v>
      </c>
      <c r="L304" s="29" t="n">
        <f aca="false">J304*K304</f>
        <v>178879.68</v>
      </c>
      <c r="M304" s="26" t="s">
        <v>39</v>
      </c>
      <c r="N304" s="34"/>
      <c r="O304" s="34" t="n">
        <v>46273</v>
      </c>
      <c r="P304" s="34"/>
      <c r="Q304" s="28" t="n">
        <f aca="false">IF(P304&lt;&gt;"",MAX(1,P304-B304),IF(M304="Dispatched",MAX(1,O304-B304),0))</f>
        <v>0</v>
      </c>
      <c r="R304" s="28" t="n">
        <f aca="false">IF(M304="Cancelled",0,IF(P304&lt;&gt;"",MAX(0,P304-O304),IF(T304&lt;&gt;"None",MAX(1,O304-B304-2),0)))</f>
        <v>3</v>
      </c>
      <c r="S304" s="26" t="s">
        <v>310</v>
      </c>
      <c r="T304" s="27" t="s">
        <v>108</v>
      </c>
    </row>
    <row r="305" customFormat="false" ht="15" hidden="false" customHeight="false" outlineLevel="0" collapsed="false">
      <c r="A305" s="18" t="s">
        <v>933</v>
      </c>
      <c r="B305" s="25" t="n">
        <v>46094</v>
      </c>
      <c r="C305" s="18" t="s">
        <v>934</v>
      </c>
      <c r="D305" s="20" t="s">
        <v>414</v>
      </c>
      <c r="E305" s="18" t="s">
        <v>111</v>
      </c>
      <c r="F305" s="20" t="s">
        <v>76</v>
      </c>
      <c r="G305" s="18" t="s">
        <v>293</v>
      </c>
      <c r="H305" s="20" t="str">
        <f aca="false">VLOOKUP(G305,'Product Master'!$A$5:$K$104,2,FALSE())</f>
        <v>Eco Office Item 099</v>
      </c>
      <c r="I305" s="20" t="str">
        <f aca="false">VLOOKUP(G305,'Product Master'!$A$5:$K$104,3,FALSE())</f>
        <v>Office Supplies</v>
      </c>
      <c r="J305" s="17" t="n">
        <v>9</v>
      </c>
      <c r="K305" s="16" t="n">
        <v>8700.35</v>
      </c>
      <c r="L305" s="16" t="n">
        <f aca="false">J305*K305</f>
        <v>78303.15</v>
      </c>
      <c r="M305" s="18" t="s">
        <v>35</v>
      </c>
      <c r="N305" s="25" t="n">
        <v>46094</v>
      </c>
      <c r="O305" s="25" t="n">
        <v>46100</v>
      </c>
      <c r="P305" s="25" t="n">
        <v>46096</v>
      </c>
      <c r="Q305" s="17" t="n">
        <f aca="false">IF(P305&lt;&gt;"",MAX(1,P305-B305),IF(M305="Dispatched",MAX(1,O305-B305),0))</f>
        <v>2</v>
      </c>
      <c r="R305" s="17" t="n">
        <f aca="false">IF(M305="Cancelled",0,IF(P305&lt;&gt;"",MAX(0,P305-O305),IF(T305&lt;&gt;"None",MAX(1,O305-B305-2),0)))</f>
        <v>0</v>
      </c>
      <c r="S305" s="18" t="s">
        <v>310</v>
      </c>
      <c r="T305" s="20" t="s">
        <v>317</v>
      </c>
    </row>
    <row r="306" customFormat="false" ht="15" hidden="false" customHeight="false" outlineLevel="0" collapsed="false">
      <c r="A306" s="26" t="s">
        <v>935</v>
      </c>
      <c r="B306" s="34" t="n">
        <v>46212</v>
      </c>
      <c r="C306" s="26" t="s">
        <v>936</v>
      </c>
      <c r="D306" s="27" t="s">
        <v>937</v>
      </c>
      <c r="E306" s="26" t="s">
        <v>109</v>
      </c>
      <c r="F306" s="27" t="s">
        <v>77</v>
      </c>
      <c r="G306" s="26" t="s">
        <v>235</v>
      </c>
      <c r="H306" s="27" t="str">
        <f aca="false">VLOOKUP(G306,'Product Master'!$A$5:$K$104,2,FALSE())</f>
        <v>Essential Electronics Item 041</v>
      </c>
      <c r="I306" s="27" t="str">
        <f aca="false">VLOOKUP(G306,'Product Master'!$A$5:$K$104,3,FALSE())</f>
        <v>Electronics</v>
      </c>
      <c r="J306" s="28" t="n">
        <v>23</v>
      </c>
      <c r="K306" s="29" t="n">
        <v>12841.6</v>
      </c>
      <c r="L306" s="29" t="n">
        <f aca="false">J306*K306</f>
        <v>295356.8</v>
      </c>
      <c r="M306" s="26" t="s">
        <v>39</v>
      </c>
      <c r="N306" s="34"/>
      <c r="O306" s="34" t="n">
        <v>46217</v>
      </c>
      <c r="P306" s="34"/>
      <c r="Q306" s="28" t="n">
        <f aca="false">IF(P306&lt;&gt;"",MAX(1,P306-B306),IF(M306="Dispatched",MAX(1,O306-B306),0))</f>
        <v>0</v>
      </c>
      <c r="R306" s="28" t="n">
        <f aca="false">IF(M306="Cancelled",0,IF(P306&lt;&gt;"",MAX(0,P306-O306),IF(T306&lt;&gt;"None",MAX(1,O306-B306-2),0)))</f>
        <v>3</v>
      </c>
      <c r="S306" s="26" t="s">
        <v>352</v>
      </c>
      <c r="T306" s="27" t="s">
        <v>106</v>
      </c>
    </row>
    <row r="307" customFormat="false" ht="15" hidden="false" customHeight="false" outlineLevel="0" collapsed="false">
      <c r="A307" s="18" t="s">
        <v>938</v>
      </c>
      <c r="B307" s="25" t="n">
        <v>46207</v>
      </c>
      <c r="C307" s="18" t="s">
        <v>369</v>
      </c>
      <c r="D307" s="20" t="s">
        <v>470</v>
      </c>
      <c r="E307" s="18" t="s">
        <v>105</v>
      </c>
      <c r="F307" s="20" t="s">
        <v>77</v>
      </c>
      <c r="G307" s="18" t="s">
        <v>251</v>
      </c>
      <c r="H307" s="20" t="str">
        <f aca="false">VLOOKUP(G307,'Product Master'!$A$5:$K$104,2,FALSE())</f>
        <v>Essential Electronics Item 057</v>
      </c>
      <c r="I307" s="20" t="str">
        <f aca="false">VLOOKUP(G307,'Product Master'!$A$5:$K$104,3,FALSE())</f>
        <v>Electronics</v>
      </c>
      <c r="J307" s="17" t="n">
        <v>1</v>
      </c>
      <c r="K307" s="16" t="n">
        <v>8152.77</v>
      </c>
      <c r="L307" s="16" t="n">
        <f aca="false">J307*K307</f>
        <v>8152.77</v>
      </c>
      <c r="M307" s="18" t="s">
        <v>35</v>
      </c>
      <c r="N307" s="25" t="n">
        <v>46207</v>
      </c>
      <c r="O307" s="25" t="n">
        <v>46209</v>
      </c>
      <c r="P307" s="25" t="n">
        <v>46211</v>
      </c>
      <c r="Q307" s="17" t="n">
        <f aca="false">IF(P307&lt;&gt;"",MAX(1,P307-B307),IF(M307="Dispatched",MAX(1,O307-B307),0))</f>
        <v>4</v>
      </c>
      <c r="R307" s="17" t="n">
        <f aca="false">IF(M307="Cancelled",0,IF(P307&lt;&gt;"",MAX(0,P307-O307),IF(T307&lt;&gt;"None",MAX(1,O307-B307-2),0)))</f>
        <v>2</v>
      </c>
      <c r="S307" s="18" t="s">
        <v>310</v>
      </c>
      <c r="T307" s="20" t="s">
        <v>115</v>
      </c>
    </row>
    <row r="308" customFormat="false" ht="15" hidden="false" customHeight="false" outlineLevel="0" collapsed="false">
      <c r="A308" s="26" t="s">
        <v>939</v>
      </c>
      <c r="B308" s="34" t="n">
        <v>46236</v>
      </c>
      <c r="C308" s="26" t="s">
        <v>442</v>
      </c>
      <c r="D308" s="27" t="s">
        <v>332</v>
      </c>
      <c r="E308" s="26" t="s">
        <v>111</v>
      </c>
      <c r="F308" s="27" t="s">
        <v>80</v>
      </c>
      <c r="G308" s="26" t="s">
        <v>270</v>
      </c>
      <c r="H308" s="27" t="str">
        <f aca="false">VLOOKUP(G308,'Product Master'!$A$5:$K$104,2,FALSE())</f>
        <v>Everyday Personal Item 076</v>
      </c>
      <c r="I308" s="27" t="str">
        <f aca="false">VLOOKUP(G308,'Product Master'!$A$5:$K$104,3,FALSE())</f>
        <v>Personal Care</v>
      </c>
      <c r="J308" s="28" t="n">
        <v>12</v>
      </c>
      <c r="K308" s="29" t="n">
        <v>9870.63</v>
      </c>
      <c r="L308" s="29" t="n">
        <f aca="false">J308*K308</f>
        <v>118447.56</v>
      </c>
      <c r="M308" s="26" t="s">
        <v>35</v>
      </c>
      <c r="N308" s="34" t="n">
        <v>46236</v>
      </c>
      <c r="O308" s="34" t="n">
        <v>46241</v>
      </c>
      <c r="P308" s="34" t="n">
        <v>46245</v>
      </c>
      <c r="Q308" s="28" t="n">
        <f aca="false">IF(P308&lt;&gt;"",MAX(1,P308-B308),IF(M308="Dispatched",MAX(1,O308-B308),0))</f>
        <v>9</v>
      </c>
      <c r="R308" s="28" t="n">
        <f aca="false">IF(M308="Cancelled",0,IF(P308&lt;&gt;"",MAX(0,P308-O308),IF(T308&lt;&gt;"None",MAX(1,O308-B308-2),0)))</f>
        <v>4</v>
      </c>
      <c r="S308" s="26" t="s">
        <v>37</v>
      </c>
      <c r="T308" s="27" t="s">
        <v>110</v>
      </c>
    </row>
    <row r="309" customFormat="false" ht="15" hidden="false" customHeight="false" outlineLevel="0" collapsed="false">
      <c r="A309" s="18" t="s">
        <v>940</v>
      </c>
      <c r="B309" s="25" t="n">
        <v>46288</v>
      </c>
      <c r="C309" s="18" t="s">
        <v>891</v>
      </c>
      <c r="D309" s="20" t="s">
        <v>941</v>
      </c>
      <c r="E309" s="18" t="s">
        <v>105</v>
      </c>
      <c r="F309" s="20" t="s">
        <v>79</v>
      </c>
      <c r="G309" s="18" t="s">
        <v>254</v>
      </c>
      <c r="H309" s="20" t="str">
        <f aca="false">VLOOKUP(G309,'Product Master'!$A$5:$K$104,2,FALSE())</f>
        <v>Smart Personal Item 060</v>
      </c>
      <c r="I309" s="20" t="str">
        <f aca="false">VLOOKUP(G309,'Product Master'!$A$5:$K$104,3,FALSE())</f>
        <v>Personal Care</v>
      </c>
      <c r="J309" s="17" t="n">
        <v>10</v>
      </c>
      <c r="K309" s="16" t="n">
        <v>4626.27</v>
      </c>
      <c r="L309" s="16" t="n">
        <f aca="false">J309*K309</f>
        <v>46262.7</v>
      </c>
      <c r="M309" s="18" t="s">
        <v>37</v>
      </c>
      <c r="N309" s="25"/>
      <c r="O309" s="25" t="n">
        <v>46297</v>
      </c>
      <c r="P309" s="25"/>
      <c r="Q309" s="17" t="n">
        <f aca="false">IF(P309&lt;&gt;"",MAX(1,P309-B309),IF(M309="Dispatched",MAX(1,O309-B309),0))</f>
        <v>0</v>
      </c>
      <c r="R309" s="17" t="n">
        <f aca="false">IF(M309="Cancelled",0,IF(P309&lt;&gt;"",MAX(0,P309-O309),IF(T309&lt;&gt;"None",MAX(1,O309-B309-2),0)))</f>
        <v>0</v>
      </c>
      <c r="S309" s="18" t="s">
        <v>352</v>
      </c>
      <c r="T309" s="20" t="s">
        <v>317</v>
      </c>
    </row>
    <row r="310" customFormat="false" ht="15" hidden="false" customHeight="false" outlineLevel="0" collapsed="false">
      <c r="A310" s="26" t="s">
        <v>942</v>
      </c>
      <c r="B310" s="34" t="n">
        <v>46246</v>
      </c>
      <c r="C310" s="26" t="s">
        <v>943</v>
      </c>
      <c r="D310" s="27" t="s">
        <v>539</v>
      </c>
      <c r="E310" s="26" t="s">
        <v>109</v>
      </c>
      <c r="F310" s="27" t="s">
        <v>79</v>
      </c>
      <c r="G310" s="26" t="s">
        <v>228</v>
      </c>
      <c r="H310" s="27" t="str">
        <f aca="false">VLOOKUP(G310,'Product Master'!$A$5:$K$104,2,FALSE())</f>
        <v>Classic Home Item 034</v>
      </c>
      <c r="I310" s="27" t="str">
        <f aca="false">VLOOKUP(G310,'Product Master'!$A$5:$K$104,3,FALSE())</f>
        <v>Home &amp; Kitchen</v>
      </c>
      <c r="J310" s="28" t="n">
        <v>6</v>
      </c>
      <c r="K310" s="29" t="n">
        <v>3243.31</v>
      </c>
      <c r="L310" s="29" t="n">
        <f aca="false">J310*K310</f>
        <v>19459.86</v>
      </c>
      <c r="M310" s="26" t="s">
        <v>37</v>
      </c>
      <c r="N310" s="34"/>
      <c r="O310" s="34" t="n">
        <v>46253</v>
      </c>
      <c r="P310" s="34"/>
      <c r="Q310" s="28" t="n">
        <f aca="false">IF(P310&lt;&gt;"",MAX(1,P310-B310),IF(M310="Dispatched",MAX(1,O310-B310),0))</f>
        <v>0</v>
      </c>
      <c r="R310" s="28" t="n">
        <f aca="false">IF(M310="Cancelled",0,IF(P310&lt;&gt;"",MAX(0,P310-O310),IF(T310&lt;&gt;"None",MAX(1,O310-B310-2),0)))</f>
        <v>5</v>
      </c>
      <c r="S310" s="26" t="s">
        <v>310</v>
      </c>
      <c r="T310" s="27" t="s">
        <v>116</v>
      </c>
    </row>
    <row r="311" customFormat="false" ht="15" hidden="false" customHeight="false" outlineLevel="0" collapsed="false">
      <c r="A311" s="18" t="s">
        <v>944</v>
      </c>
      <c r="B311" s="25" t="n">
        <v>45988</v>
      </c>
      <c r="C311" s="18" t="s">
        <v>658</v>
      </c>
      <c r="D311" s="20" t="s">
        <v>544</v>
      </c>
      <c r="E311" s="18" t="s">
        <v>111</v>
      </c>
      <c r="F311" s="20" t="s">
        <v>79</v>
      </c>
      <c r="G311" s="18" t="s">
        <v>239</v>
      </c>
      <c r="H311" s="20" t="str">
        <f aca="false">VLOOKUP(G311,'Product Master'!$A$5:$K$104,2,FALSE())</f>
        <v>Essential Industrial Item 045</v>
      </c>
      <c r="I311" s="20" t="str">
        <f aca="false">VLOOKUP(G311,'Product Master'!$A$5:$K$104,3,FALSE())</f>
        <v>Industrial</v>
      </c>
      <c r="J311" s="17" t="n">
        <v>6</v>
      </c>
      <c r="K311" s="16" t="n">
        <v>9908.93</v>
      </c>
      <c r="L311" s="16" t="n">
        <f aca="false">J311*K311</f>
        <v>59453.58</v>
      </c>
      <c r="M311" s="18" t="s">
        <v>35</v>
      </c>
      <c r="N311" s="25" t="n">
        <v>45989</v>
      </c>
      <c r="O311" s="25" t="n">
        <v>45995</v>
      </c>
      <c r="P311" s="25" t="n">
        <v>46003</v>
      </c>
      <c r="Q311" s="17" t="n">
        <f aca="false">IF(P311&lt;&gt;"",MAX(1,P311-B311),IF(M311="Dispatched",MAX(1,O311-B311),0))</f>
        <v>15</v>
      </c>
      <c r="R311" s="17" t="n">
        <f aca="false">IF(M311="Cancelled",0,IF(P311&lt;&gt;"",MAX(0,P311-O311),IF(T311&lt;&gt;"None",MAX(1,O311-B311-2),0)))</f>
        <v>8</v>
      </c>
      <c r="S311" s="18" t="s">
        <v>310</v>
      </c>
      <c r="T311" s="20" t="s">
        <v>115</v>
      </c>
    </row>
    <row r="312" customFormat="false" ht="15" hidden="false" customHeight="false" outlineLevel="0" collapsed="false">
      <c r="A312" s="26" t="s">
        <v>945</v>
      </c>
      <c r="B312" s="34" t="n">
        <v>45967</v>
      </c>
      <c r="C312" s="26" t="s">
        <v>475</v>
      </c>
      <c r="D312" s="27" t="s">
        <v>446</v>
      </c>
      <c r="E312" s="26" t="s">
        <v>113</v>
      </c>
      <c r="F312" s="27" t="s">
        <v>79</v>
      </c>
      <c r="G312" s="26" t="s">
        <v>233</v>
      </c>
      <c r="H312" s="27" t="str">
        <f aca="false">VLOOKUP(G312,'Product Master'!$A$5:$K$104,2,FALSE())</f>
        <v>Eco Apparel Item 039</v>
      </c>
      <c r="I312" s="27" t="str">
        <f aca="false">VLOOKUP(G312,'Product Master'!$A$5:$K$104,3,FALSE())</f>
        <v>Apparel</v>
      </c>
      <c r="J312" s="28" t="n">
        <v>13</v>
      </c>
      <c r="K312" s="29" t="n">
        <v>3575.06</v>
      </c>
      <c r="L312" s="29" t="n">
        <f aca="false">J312*K312</f>
        <v>46475.78</v>
      </c>
      <c r="M312" s="26" t="s">
        <v>37</v>
      </c>
      <c r="N312" s="34"/>
      <c r="O312" s="34" t="n">
        <v>45972</v>
      </c>
      <c r="P312" s="34"/>
      <c r="Q312" s="28" t="n">
        <f aca="false">IF(P312&lt;&gt;"",MAX(1,P312-B312),IF(M312="Dispatched",MAX(1,O312-B312),0))</f>
        <v>0</v>
      </c>
      <c r="R312" s="28" t="n">
        <f aca="false">IF(M312="Cancelled",0,IF(P312&lt;&gt;"",MAX(0,P312-O312),IF(T312&lt;&gt;"None",MAX(1,O312-B312-2),0)))</f>
        <v>3</v>
      </c>
      <c r="S312" s="26" t="s">
        <v>310</v>
      </c>
      <c r="T312" s="27" t="s">
        <v>106</v>
      </c>
    </row>
    <row r="313" customFormat="false" ht="15" hidden="false" customHeight="false" outlineLevel="0" collapsed="false">
      <c r="A313" s="18" t="s">
        <v>946</v>
      </c>
      <c r="B313" s="25" t="n">
        <v>46105</v>
      </c>
      <c r="C313" s="18" t="s">
        <v>604</v>
      </c>
      <c r="D313" s="20" t="s">
        <v>450</v>
      </c>
      <c r="E313" s="18" t="s">
        <v>113</v>
      </c>
      <c r="F313" s="20" t="s">
        <v>79</v>
      </c>
      <c r="G313" s="18" t="s">
        <v>221</v>
      </c>
      <c r="H313" s="20" t="str">
        <f aca="false">VLOOKUP(G313,'Product Master'!$A$5:$K$104,2,FALSE())</f>
        <v>Premium Office Item 027</v>
      </c>
      <c r="I313" s="20" t="str">
        <f aca="false">VLOOKUP(G313,'Product Master'!$A$5:$K$104,3,FALSE())</f>
        <v>Office Supplies</v>
      </c>
      <c r="J313" s="17" t="n">
        <v>14</v>
      </c>
      <c r="K313" s="16" t="n">
        <v>8360.14</v>
      </c>
      <c r="L313" s="16" t="n">
        <f aca="false">J313*K313</f>
        <v>117041.96</v>
      </c>
      <c r="M313" s="18" t="s">
        <v>35</v>
      </c>
      <c r="N313" s="25" t="n">
        <v>46106</v>
      </c>
      <c r="O313" s="25" t="n">
        <v>46112</v>
      </c>
      <c r="P313" s="25" t="n">
        <v>46111</v>
      </c>
      <c r="Q313" s="17" t="n">
        <f aca="false">IF(P313&lt;&gt;"",MAX(1,P313-B313),IF(M313="Dispatched",MAX(1,O313-B313),0))</f>
        <v>6</v>
      </c>
      <c r="R313" s="17" t="n">
        <f aca="false">IF(M313="Cancelled",0,IF(P313&lt;&gt;"",MAX(0,P313-O313),IF(T313&lt;&gt;"None",MAX(1,O313-B313-2),0)))</f>
        <v>0</v>
      </c>
      <c r="S313" s="18" t="s">
        <v>352</v>
      </c>
      <c r="T313" s="20" t="s">
        <v>317</v>
      </c>
    </row>
    <row r="314" customFormat="false" ht="15" hidden="false" customHeight="false" outlineLevel="0" collapsed="false">
      <c r="A314" s="26" t="s">
        <v>947</v>
      </c>
      <c r="B314" s="34" t="n">
        <v>46224</v>
      </c>
      <c r="C314" s="26" t="s">
        <v>948</v>
      </c>
      <c r="D314" s="27" t="s">
        <v>804</v>
      </c>
      <c r="E314" s="26" t="s">
        <v>105</v>
      </c>
      <c r="F314" s="27" t="s">
        <v>80</v>
      </c>
      <c r="G314" s="26" t="s">
        <v>257</v>
      </c>
      <c r="H314" s="27" t="str">
        <f aca="false">VLOOKUP(G314,'Product Master'!$A$5:$K$104,2,FALSE())</f>
        <v>Everyday Apparel Item 063</v>
      </c>
      <c r="I314" s="27" t="str">
        <f aca="false">VLOOKUP(G314,'Product Master'!$A$5:$K$104,3,FALSE())</f>
        <v>Apparel</v>
      </c>
      <c r="J314" s="28" t="n">
        <v>20</v>
      </c>
      <c r="K314" s="29" t="n">
        <v>3551.07</v>
      </c>
      <c r="L314" s="29" t="n">
        <f aca="false">J314*K314</f>
        <v>71021.4</v>
      </c>
      <c r="M314" s="26" t="s">
        <v>35</v>
      </c>
      <c r="N314" s="34" t="n">
        <v>46227</v>
      </c>
      <c r="O314" s="34" t="n">
        <v>46227</v>
      </c>
      <c r="P314" s="34" t="n">
        <v>46227</v>
      </c>
      <c r="Q314" s="28" t="n">
        <f aca="false">IF(P314&lt;&gt;"",MAX(1,P314-B314),IF(M314="Dispatched",MAX(1,O314-B314),0))</f>
        <v>3</v>
      </c>
      <c r="R314" s="28" t="n">
        <f aca="false">IF(M314="Cancelled",0,IF(P314&lt;&gt;"",MAX(0,P314-O314),IF(T314&lt;&gt;"None",MAX(1,O314-B314-2),0)))</f>
        <v>0</v>
      </c>
      <c r="S314" s="26" t="s">
        <v>310</v>
      </c>
      <c r="T314" s="27" t="s">
        <v>317</v>
      </c>
    </row>
    <row r="315" customFormat="false" ht="15" hidden="false" customHeight="false" outlineLevel="0" collapsed="false">
      <c r="A315" s="18" t="s">
        <v>949</v>
      </c>
      <c r="B315" s="25" t="n">
        <v>46281</v>
      </c>
      <c r="C315" s="18" t="s">
        <v>844</v>
      </c>
      <c r="D315" s="20" t="s">
        <v>751</v>
      </c>
      <c r="E315" s="18" t="s">
        <v>111</v>
      </c>
      <c r="F315" s="20" t="s">
        <v>78</v>
      </c>
      <c r="G315" s="18" t="s">
        <v>271</v>
      </c>
      <c r="H315" s="20" t="str">
        <f aca="false">VLOOKUP(G315,'Product Master'!$A$5:$K$104,2,FALSE())</f>
        <v>Everyday Industrial Item 077</v>
      </c>
      <c r="I315" s="20" t="str">
        <f aca="false">VLOOKUP(G315,'Product Master'!$A$5:$K$104,3,FALSE())</f>
        <v>Industrial</v>
      </c>
      <c r="J315" s="17" t="n">
        <v>16</v>
      </c>
      <c r="K315" s="16" t="n">
        <v>3653.35</v>
      </c>
      <c r="L315" s="16" t="n">
        <f aca="false">J315*K315</f>
        <v>58453.6</v>
      </c>
      <c r="M315" s="18" t="s">
        <v>37</v>
      </c>
      <c r="N315" s="25"/>
      <c r="O315" s="25" t="n">
        <v>46283</v>
      </c>
      <c r="P315" s="25"/>
      <c r="Q315" s="17" t="n">
        <f aca="false">IF(P315&lt;&gt;"",MAX(1,P315-B315),IF(M315="Dispatched",MAX(1,O315-B315),0))</f>
        <v>0</v>
      </c>
      <c r="R315" s="17" t="n">
        <f aca="false">IF(M315="Cancelled",0,IF(P315&lt;&gt;"",MAX(0,P315-O315),IF(T315&lt;&gt;"None",MAX(1,O315-B315-2),0)))</f>
        <v>0</v>
      </c>
      <c r="S315" s="18" t="s">
        <v>352</v>
      </c>
      <c r="T315" s="20" t="s">
        <v>317</v>
      </c>
    </row>
    <row r="316" customFormat="false" ht="15" hidden="false" customHeight="false" outlineLevel="0" collapsed="false">
      <c r="A316" s="26" t="s">
        <v>950</v>
      </c>
      <c r="B316" s="34" t="n">
        <v>46256</v>
      </c>
      <c r="C316" s="26" t="s">
        <v>951</v>
      </c>
      <c r="D316" s="27" t="s">
        <v>487</v>
      </c>
      <c r="E316" s="26" t="s">
        <v>107</v>
      </c>
      <c r="F316" s="27" t="s">
        <v>77</v>
      </c>
      <c r="G316" s="26" t="s">
        <v>195</v>
      </c>
      <c r="H316" s="27" t="str">
        <f aca="false">VLOOKUP(G316,'Product Master'!$A$5:$K$104,2,FALSE())</f>
        <v>Everyday Electronics Item 001</v>
      </c>
      <c r="I316" s="27" t="str">
        <f aca="false">VLOOKUP(G316,'Product Master'!$A$5:$K$104,3,FALSE())</f>
        <v>Electronics</v>
      </c>
      <c r="J316" s="28" t="n">
        <v>15</v>
      </c>
      <c r="K316" s="29" t="n">
        <v>2912.4</v>
      </c>
      <c r="L316" s="29" t="n">
        <f aca="false">J316*K316</f>
        <v>43686</v>
      </c>
      <c r="M316" s="26" t="s">
        <v>35</v>
      </c>
      <c r="N316" s="34" t="n">
        <v>46259</v>
      </c>
      <c r="O316" s="34" t="n">
        <v>46264</v>
      </c>
      <c r="P316" s="34" t="n">
        <v>46264</v>
      </c>
      <c r="Q316" s="28" t="n">
        <f aca="false">IF(P316&lt;&gt;"",MAX(1,P316-B316),IF(M316="Dispatched",MAX(1,O316-B316),0))</f>
        <v>8</v>
      </c>
      <c r="R316" s="28" t="n">
        <f aca="false">IF(M316="Cancelled",0,IF(P316&lt;&gt;"",MAX(0,P316-O316),IF(T316&lt;&gt;"None",MAX(1,O316-B316-2),0)))</f>
        <v>0</v>
      </c>
      <c r="S316" s="26" t="s">
        <v>310</v>
      </c>
      <c r="T316" s="27" t="s">
        <v>317</v>
      </c>
    </row>
    <row r="317" customFormat="false" ht="15" hidden="false" customHeight="false" outlineLevel="0" collapsed="false">
      <c r="A317" s="18" t="s">
        <v>952</v>
      </c>
      <c r="B317" s="25" t="n">
        <v>46278</v>
      </c>
      <c r="C317" s="18" t="s">
        <v>507</v>
      </c>
      <c r="D317" s="20" t="s">
        <v>402</v>
      </c>
      <c r="E317" s="18" t="s">
        <v>111</v>
      </c>
      <c r="F317" s="20" t="s">
        <v>78</v>
      </c>
      <c r="G317" s="18" t="s">
        <v>233</v>
      </c>
      <c r="H317" s="20" t="str">
        <f aca="false">VLOOKUP(G317,'Product Master'!$A$5:$K$104,2,FALSE())</f>
        <v>Eco Apparel Item 039</v>
      </c>
      <c r="I317" s="20" t="str">
        <f aca="false">VLOOKUP(G317,'Product Master'!$A$5:$K$104,3,FALSE())</f>
        <v>Apparel</v>
      </c>
      <c r="J317" s="17" t="n">
        <v>3</v>
      </c>
      <c r="K317" s="16" t="n">
        <v>3575.06</v>
      </c>
      <c r="L317" s="16" t="n">
        <f aca="false">J317*K317</f>
        <v>10725.18</v>
      </c>
      <c r="M317" s="18" t="s">
        <v>37</v>
      </c>
      <c r="N317" s="25"/>
      <c r="O317" s="25" t="n">
        <v>46286</v>
      </c>
      <c r="P317" s="25"/>
      <c r="Q317" s="17" t="n">
        <f aca="false">IF(P317&lt;&gt;"",MAX(1,P317-B317),IF(M317="Dispatched",MAX(1,O317-B317),0))</f>
        <v>0</v>
      </c>
      <c r="R317" s="17" t="n">
        <f aca="false">IF(M317="Cancelled",0,IF(P317&lt;&gt;"",MAX(0,P317-O317),IF(T317&lt;&gt;"None",MAX(1,O317-B317-2),0)))</f>
        <v>0</v>
      </c>
      <c r="S317" s="18" t="s">
        <v>310</v>
      </c>
      <c r="T317" s="20" t="s">
        <v>317</v>
      </c>
    </row>
    <row r="318" customFormat="false" ht="15" hidden="false" customHeight="false" outlineLevel="0" collapsed="false">
      <c r="A318" s="26" t="s">
        <v>953</v>
      </c>
      <c r="B318" s="34" t="n">
        <v>46212</v>
      </c>
      <c r="C318" s="26" t="s">
        <v>954</v>
      </c>
      <c r="D318" s="27" t="s">
        <v>780</v>
      </c>
      <c r="E318" s="26" t="s">
        <v>105</v>
      </c>
      <c r="F318" s="27" t="s">
        <v>80</v>
      </c>
      <c r="G318" s="26" t="s">
        <v>201</v>
      </c>
      <c r="H318" s="27" t="str">
        <f aca="false">VLOOKUP(G318,'Product Master'!$A$5:$K$104,2,FALSE())</f>
        <v>Everyday Apparel Item 007</v>
      </c>
      <c r="I318" s="27" t="str">
        <f aca="false">VLOOKUP(G318,'Product Master'!$A$5:$K$104,3,FALSE())</f>
        <v>Apparel</v>
      </c>
      <c r="J318" s="28" t="n">
        <v>12</v>
      </c>
      <c r="K318" s="29" t="n">
        <v>10301.86</v>
      </c>
      <c r="L318" s="29" t="n">
        <f aca="false">J318*K318</f>
        <v>123622.32</v>
      </c>
      <c r="M318" s="26" t="s">
        <v>35</v>
      </c>
      <c r="N318" s="34" t="n">
        <v>46212</v>
      </c>
      <c r="O318" s="34" t="n">
        <v>46218</v>
      </c>
      <c r="P318" s="34" t="n">
        <v>46218</v>
      </c>
      <c r="Q318" s="28" t="n">
        <f aca="false">IF(P318&lt;&gt;"",MAX(1,P318-B318),IF(M318="Dispatched",MAX(1,O318-B318),0))</f>
        <v>6</v>
      </c>
      <c r="R318" s="28" t="n">
        <f aca="false">IF(M318="Cancelled",0,IF(P318&lt;&gt;"",MAX(0,P318-O318),IF(T318&lt;&gt;"None",MAX(1,O318-B318-2),0)))</f>
        <v>0</v>
      </c>
      <c r="S318" s="26" t="s">
        <v>310</v>
      </c>
      <c r="T318" s="27" t="s">
        <v>317</v>
      </c>
    </row>
    <row r="319" customFormat="false" ht="15" hidden="false" customHeight="false" outlineLevel="0" collapsed="false">
      <c r="A319" s="18" t="s">
        <v>955</v>
      </c>
      <c r="B319" s="25" t="n">
        <v>46126</v>
      </c>
      <c r="C319" s="18" t="s">
        <v>816</v>
      </c>
      <c r="D319" s="20" t="s">
        <v>956</v>
      </c>
      <c r="E319" s="18" t="s">
        <v>111</v>
      </c>
      <c r="F319" s="20" t="s">
        <v>79</v>
      </c>
      <c r="G319" s="18" t="s">
        <v>246</v>
      </c>
      <c r="H319" s="20" t="str">
        <f aca="false">VLOOKUP(G319,'Product Master'!$A$5:$K$104,2,FALSE())</f>
        <v>Compact Personal Item 052</v>
      </c>
      <c r="I319" s="20" t="str">
        <f aca="false">VLOOKUP(G319,'Product Master'!$A$5:$K$104,3,FALSE())</f>
        <v>Personal Care</v>
      </c>
      <c r="J319" s="17" t="n">
        <v>18</v>
      </c>
      <c r="K319" s="16" t="n">
        <v>8547.77</v>
      </c>
      <c r="L319" s="16" t="n">
        <f aca="false">J319*K319</f>
        <v>153859.86</v>
      </c>
      <c r="M319" s="18" t="s">
        <v>35</v>
      </c>
      <c r="N319" s="25" t="n">
        <v>46129</v>
      </c>
      <c r="O319" s="25" t="n">
        <v>46130</v>
      </c>
      <c r="P319" s="25" t="n">
        <v>46129</v>
      </c>
      <c r="Q319" s="17" t="n">
        <f aca="false">IF(P319&lt;&gt;"",MAX(1,P319-B319),IF(M319="Dispatched",MAX(1,O319-B319),0))</f>
        <v>3</v>
      </c>
      <c r="R319" s="17" t="n">
        <f aca="false">IF(M319="Cancelled",0,IF(P319&lt;&gt;"",MAX(0,P319-O319),IF(T319&lt;&gt;"None",MAX(1,O319-B319-2),0)))</f>
        <v>0</v>
      </c>
      <c r="S319" s="18" t="s">
        <v>352</v>
      </c>
      <c r="T319" s="20" t="s">
        <v>317</v>
      </c>
    </row>
    <row r="320" customFormat="false" ht="15" hidden="false" customHeight="false" outlineLevel="0" collapsed="false">
      <c r="A320" s="26" t="s">
        <v>957</v>
      </c>
      <c r="B320" s="34" t="n">
        <v>46144</v>
      </c>
      <c r="C320" s="26" t="s">
        <v>588</v>
      </c>
      <c r="D320" s="27" t="s">
        <v>620</v>
      </c>
      <c r="E320" s="26" t="s">
        <v>109</v>
      </c>
      <c r="F320" s="27" t="s">
        <v>77</v>
      </c>
      <c r="G320" s="26" t="s">
        <v>214</v>
      </c>
      <c r="H320" s="27" t="str">
        <f aca="false">VLOOKUP(G320,'Product Master'!$A$5:$K$104,2,FALSE())</f>
        <v>Eco Personal Item 020</v>
      </c>
      <c r="I320" s="27" t="str">
        <f aca="false">VLOOKUP(G320,'Product Master'!$A$5:$K$104,3,FALSE())</f>
        <v>Personal Care</v>
      </c>
      <c r="J320" s="28" t="n">
        <v>5</v>
      </c>
      <c r="K320" s="29" t="n">
        <v>4674.99</v>
      </c>
      <c r="L320" s="29" t="n">
        <f aca="false">J320*K320</f>
        <v>23374.95</v>
      </c>
      <c r="M320" s="26" t="s">
        <v>35</v>
      </c>
      <c r="N320" s="34" t="n">
        <v>46145</v>
      </c>
      <c r="O320" s="34" t="n">
        <v>46146</v>
      </c>
      <c r="P320" s="34" t="n">
        <v>46150</v>
      </c>
      <c r="Q320" s="28" t="n">
        <f aca="false">IF(P320&lt;&gt;"",MAX(1,P320-B320),IF(M320="Dispatched",MAX(1,O320-B320),0))</f>
        <v>6</v>
      </c>
      <c r="R320" s="28" t="n">
        <f aca="false">IF(M320="Cancelled",0,IF(P320&lt;&gt;"",MAX(0,P320-O320),IF(T320&lt;&gt;"None",MAX(1,O320-B320-2),0)))</f>
        <v>4</v>
      </c>
      <c r="S320" s="26" t="s">
        <v>310</v>
      </c>
      <c r="T320" s="27" t="s">
        <v>114</v>
      </c>
    </row>
    <row r="321" customFormat="false" ht="15" hidden="false" customHeight="false" outlineLevel="0" collapsed="false">
      <c r="A321" s="18" t="s">
        <v>958</v>
      </c>
      <c r="B321" s="25" t="n">
        <v>46143</v>
      </c>
      <c r="C321" s="18" t="s">
        <v>959</v>
      </c>
      <c r="D321" s="20" t="s">
        <v>960</v>
      </c>
      <c r="E321" s="18" t="s">
        <v>113</v>
      </c>
      <c r="F321" s="20" t="s">
        <v>79</v>
      </c>
      <c r="G321" s="18" t="s">
        <v>253</v>
      </c>
      <c r="H321" s="20" t="str">
        <f aca="false">VLOOKUP(G321,'Product Master'!$A$5:$K$104,2,FALSE())</f>
        <v>Eco Office Item 059</v>
      </c>
      <c r="I321" s="20" t="str">
        <f aca="false">VLOOKUP(G321,'Product Master'!$A$5:$K$104,3,FALSE())</f>
        <v>Office Supplies</v>
      </c>
      <c r="J321" s="17" t="n">
        <v>20</v>
      </c>
      <c r="K321" s="16" t="n">
        <v>348.69</v>
      </c>
      <c r="L321" s="16" t="n">
        <f aca="false">J321*K321</f>
        <v>6973.8</v>
      </c>
      <c r="M321" s="18" t="s">
        <v>35</v>
      </c>
      <c r="N321" s="25" t="n">
        <v>46146</v>
      </c>
      <c r="O321" s="25" t="n">
        <v>46151</v>
      </c>
      <c r="P321" s="25" t="n">
        <v>46153</v>
      </c>
      <c r="Q321" s="17" t="n">
        <f aca="false">IF(P321&lt;&gt;"",MAX(1,P321-B321),IF(M321="Dispatched",MAX(1,O321-B321),0))</f>
        <v>10</v>
      </c>
      <c r="R321" s="17" t="n">
        <f aca="false">IF(M321="Cancelled",0,IF(P321&lt;&gt;"",MAX(0,P321-O321),IF(T321&lt;&gt;"None",MAX(1,O321-B321-2),0)))</f>
        <v>2</v>
      </c>
      <c r="S321" s="18" t="s">
        <v>310</v>
      </c>
      <c r="T321" s="20" t="s">
        <v>112</v>
      </c>
    </row>
    <row r="322" customFormat="false" ht="15" hidden="false" customHeight="false" outlineLevel="0" collapsed="false">
      <c r="A322" s="26" t="s">
        <v>961</v>
      </c>
      <c r="B322" s="34" t="n">
        <v>46226</v>
      </c>
      <c r="C322" s="26" t="s">
        <v>858</v>
      </c>
      <c r="D322" s="27" t="s">
        <v>558</v>
      </c>
      <c r="E322" s="26" t="s">
        <v>107</v>
      </c>
      <c r="F322" s="27" t="s">
        <v>80</v>
      </c>
      <c r="G322" s="26" t="s">
        <v>258</v>
      </c>
      <c r="H322" s="27" t="str">
        <f aca="false">VLOOKUP(G322,'Product Master'!$A$5:$K$104,2,FALSE())</f>
        <v>Compact Automotive Item 064</v>
      </c>
      <c r="I322" s="27" t="str">
        <f aca="false">VLOOKUP(G322,'Product Master'!$A$5:$K$104,3,FALSE())</f>
        <v>Automotive</v>
      </c>
      <c r="J322" s="28" t="n">
        <v>9</v>
      </c>
      <c r="K322" s="29" t="n">
        <v>4156.81</v>
      </c>
      <c r="L322" s="29" t="n">
        <f aca="false">J322*K322</f>
        <v>37411.29</v>
      </c>
      <c r="M322" s="26" t="s">
        <v>35</v>
      </c>
      <c r="N322" s="34" t="n">
        <v>46226</v>
      </c>
      <c r="O322" s="34" t="n">
        <v>46233</v>
      </c>
      <c r="P322" s="34" t="n">
        <v>46229</v>
      </c>
      <c r="Q322" s="28" t="n">
        <f aca="false">IF(P322&lt;&gt;"",MAX(1,P322-B322),IF(M322="Dispatched",MAX(1,O322-B322),0))</f>
        <v>3</v>
      </c>
      <c r="R322" s="28" t="n">
        <f aca="false">IF(M322="Cancelled",0,IF(P322&lt;&gt;"",MAX(0,P322-O322),IF(T322&lt;&gt;"None",MAX(1,O322-B322-2),0)))</f>
        <v>0</v>
      </c>
      <c r="S322" s="26" t="s">
        <v>310</v>
      </c>
      <c r="T322" s="27" t="s">
        <v>317</v>
      </c>
    </row>
    <row r="323" customFormat="false" ht="15" hidden="false" customHeight="false" outlineLevel="0" collapsed="false">
      <c r="A323" s="18" t="s">
        <v>962</v>
      </c>
      <c r="B323" s="25" t="n">
        <v>46228</v>
      </c>
      <c r="C323" s="18" t="s">
        <v>742</v>
      </c>
      <c r="D323" s="20" t="s">
        <v>736</v>
      </c>
      <c r="E323" s="18" t="s">
        <v>105</v>
      </c>
      <c r="F323" s="20" t="s">
        <v>77</v>
      </c>
      <c r="G323" s="18" t="s">
        <v>256</v>
      </c>
      <c r="H323" s="20" t="str">
        <f aca="false">VLOOKUP(G323,'Product Master'!$A$5:$K$104,2,FALSE())</f>
        <v>Compact Packaging Item 062</v>
      </c>
      <c r="I323" s="20" t="str">
        <f aca="false">VLOOKUP(G323,'Product Master'!$A$5:$K$104,3,FALSE())</f>
        <v>Packaging</v>
      </c>
      <c r="J323" s="17" t="n">
        <v>24</v>
      </c>
      <c r="K323" s="16" t="n">
        <v>10323.31</v>
      </c>
      <c r="L323" s="16" t="n">
        <f aca="false">J323*K323</f>
        <v>247759.44</v>
      </c>
      <c r="M323" s="18" t="s">
        <v>39</v>
      </c>
      <c r="N323" s="25"/>
      <c r="O323" s="25" t="n">
        <v>46234</v>
      </c>
      <c r="P323" s="25"/>
      <c r="Q323" s="17" t="n">
        <f aca="false">IF(P323&lt;&gt;"",MAX(1,P323-B323),IF(M323="Dispatched",MAX(1,O323-B323),0))</f>
        <v>0</v>
      </c>
      <c r="R323" s="17" t="n">
        <f aca="false">IF(M323="Cancelled",0,IF(P323&lt;&gt;"",MAX(0,P323-O323),IF(T323&lt;&gt;"None",MAX(1,O323-B323-2),0)))</f>
        <v>0</v>
      </c>
      <c r="S323" s="18" t="s">
        <v>352</v>
      </c>
      <c r="T323" s="20" t="s">
        <v>317</v>
      </c>
    </row>
    <row r="324" customFormat="false" ht="15" hidden="false" customHeight="false" outlineLevel="0" collapsed="false">
      <c r="A324" s="26" t="s">
        <v>963</v>
      </c>
      <c r="B324" s="34" t="n">
        <v>45976</v>
      </c>
      <c r="C324" s="26" t="s">
        <v>964</v>
      </c>
      <c r="D324" s="27" t="s">
        <v>965</v>
      </c>
      <c r="E324" s="26" t="s">
        <v>111</v>
      </c>
      <c r="F324" s="27" t="s">
        <v>76</v>
      </c>
      <c r="G324" s="26" t="s">
        <v>226</v>
      </c>
      <c r="H324" s="27" t="str">
        <f aca="false">VLOOKUP(G324,'Product Master'!$A$5:$K$104,2,FALSE())</f>
        <v>Smart Automotive Item 032</v>
      </c>
      <c r="I324" s="27" t="str">
        <f aca="false">VLOOKUP(G324,'Product Master'!$A$5:$K$104,3,FALSE())</f>
        <v>Automotive</v>
      </c>
      <c r="J324" s="28" t="n">
        <v>22</v>
      </c>
      <c r="K324" s="29" t="n">
        <v>10211.16</v>
      </c>
      <c r="L324" s="29" t="n">
        <f aca="false">J324*K324</f>
        <v>224645.52</v>
      </c>
      <c r="M324" s="26" t="s">
        <v>37</v>
      </c>
      <c r="N324" s="34"/>
      <c r="O324" s="34" t="n">
        <v>45982</v>
      </c>
      <c r="P324" s="34"/>
      <c r="Q324" s="28" t="n">
        <f aca="false">IF(P324&lt;&gt;"",MAX(1,P324-B324),IF(M324="Dispatched",MAX(1,O324-B324),0))</f>
        <v>0</v>
      </c>
      <c r="R324" s="28" t="n">
        <f aca="false">IF(M324="Cancelled",0,IF(P324&lt;&gt;"",MAX(0,P324-O324),IF(T324&lt;&gt;"None",MAX(1,O324-B324-2),0)))</f>
        <v>4</v>
      </c>
      <c r="S324" s="26" t="s">
        <v>37</v>
      </c>
      <c r="T324" s="27" t="s">
        <v>106</v>
      </c>
    </row>
    <row r="325" customFormat="false" ht="15" hidden="false" customHeight="false" outlineLevel="0" collapsed="false">
      <c r="A325" s="18" t="s">
        <v>966</v>
      </c>
      <c r="B325" s="25" t="n">
        <v>46171</v>
      </c>
      <c r="C325" s="18" t="s">
        <v>363</v>
      </c>
      <c r="D325" s="20" t="s">
        <v>967</v>
      </c>
      <c r="E325" s="18" t="s">
        <v>113</v>
      </c>
      <c r="F325" s="20" t="s">
        <v>79</v>
      </c>
      <c r="G325" s="18" t="s">
        <v>253</v>
      </c>
      <c r="H325" s="20" t="str">
        <f aca="false">VLOOKUP(G325,'Product Master'!$A$5:$K$104,2,FALSE())</f>
        <v>Eco Office Item 059</v>
      </c>
      <c r="I325" s="20" t="str">
        <f aca="false">VLOOKUP(G325,'Product Master'!$A$5:$K$104,3,FALSE())</f>
        <v>Office Supplies</v>
      </c>
      <c r="J325" s="17" t="n">
        <v>19</v>
      </c>
      <c r="K325" s="16" t="n">
        <v>348.69</v>
      </c>
      <c r="L325" s="16" t="n">
        <f aca="false">J325*K325</f>
        <v>6625.11</v>
      </c>
      <c r="M325" s="18" t="s">
        <v>39</v>
      </c>
      <c r="N325" s="25"/>
      <c r="O325" s="25" t="n">
        <v>46179</v>
      </c>
      <c r="P325" s="25"/>
      <c r="Q325" s="17" t="n">
        <f aca="false">IF(P325&lt;&gt;"",MAX(1,P325-B325),IF(M325="Dispatched",MAX(1,O325-B325),0))</f>
        <v>0</v>
      </c>
      <c r="R325" s="17" t="n">
        <f aca="false">IF(M325="Cancelled",0,IF(P325&lt;&gt;"",MAX(0,P325-O325),IF(T325&lt;&gt;"None",MAX(1,O325-B325-2),0)))</f>
        <v>0</v>
      </c>
      <c r="S325" s="18" t="s">
        <v>310</v>
      </c>
      <c r="T325" s="20" t="s">
        <v>317</v>
      </c>
    </row>
    <row r="326" customFormat="false" ht="15" hidden="false" customHeight="false" outlineLevel="0" collapsed="false">
      <c r="A326" s="26" t="s">
        <v>968</v>
      </c>
      <c r="B326" s="34" t="n">
        <v>46286</v>
      </c>
      <c r="C326" s="26" t="s">
        <v>387</v>
      </c>
      <c r="D326" s="27" t="s">
        <v>969</v>
      </c>
      <c r="E326" s="26" t="s">
        <v>109</v>
      </c>
      <c r="F326" s="27" t="s">
        <v>80</v>
      </c>
      <c r="G326" s="26" t="s">
        <v>271</v>
      </c>
      <c r="H326" s="27" t="str">
        <f aca="false">VLOOKUP(G326,'Product Master'!$A$5:$K$104,2,FALSE())</f>
        <v>Everyday Industrial Item 077</v>
      </c>
      <c r="I326" s="27" t="str">
        <f aca="false">VLOOKUP(G326,'Product Master'!$A$5:$K$104,3,FALSE())</f>
        <v>Industrial</v>
      </c>
      <c r="J326" s="28" t="n">
        <v>9</v>
      </c>
      <c r="K326" s="29" t="n">
        <v>3653.35</v>
      </c>
      <c r="L326" s="29" t="n">
        <f aca="false">J326*K326</f>
        <v>32880.15</v>
      </c>
      <c r="M326" s="26" t="s">
        <v>35</v>
      </c>
      <c r="N326" s="34" t="n">
        <v>46287</v>
      </c>
      <c r="O326" s="34" t="n">
        <v>46295</v>
      </c>
      <c r="P326" s="34" t="n">
        <v>46291</v>
      </c>
      <c r="Q326" s="28" t="n">
        <f aca="false">IF(P326&lt;&gt;"",MAX(1,P326-B326),IF(M326="Dispatched",MAX(1,O326-B326),0))</f>
        <v>5</v>
      </c>
      <c r="R326" s="28" t="n">
        <f aca="false">IF(M326="Cancelled",0,IF(P326&lt;&gt;"",MAX(0,P326-O326),IF(T326&lt;&gt;"None",MAX(1,O326-B326-2),0)))</f>
        <v>0</v>
      </c>
      <c r="S326" s="26" t="s">
        <v>37</v>
      </c>
      <c r="T326" s="27" t="s">
        <v>317</v>
      </c>
    </row>
    <row r="327" customFormat="false" ht="15" hidden="false" customHeight="false" outlineLevel="0" collapsed="false">
      <c r="A327" s="18" t="s">
        <v>970</v>
      </c>
      <c r="B327" s="25" t="n">
        <v>45944</v>
      </c>
      <c r="C327" s="18" t="s">
        <v>766</v>
      </c>
      <c r="D327" s="20" t="s">
        <v>971</v>
      </c>
      <c r="E327" s="18" t="s">
        <v>111</v>
      </c>
      <c r="F327" s="20" t="s">
        <v>76</v>
      </c>
      <c r="G327" s="18" t="s">
        <v>231</v>
      </c>
      <c r="H327" s="20" t="str">
        <f aca="false">VLOOKUP(G327,'Product Master'!$A$5:$K$104,2,FALSE())</f>
        <v>Pro Industrial Item 037</v>
      </c>
      <c r="I327" s="20" t="str">
        <f aca="false">VLOOKUP(G327,'Product Master'!$A$5:$K$104,3,FALSE())</f>
        <v>Industrial</v>
      </c>
      <c r="J327" s="17" t="n">
        <v>5</v>
      </c>
      <c r="K327" s="16" t="n">
        <v>6419.17</v>
      </c>
      <c r="L327" s="16" t="n">
        <f aca="false">J327*K327</f>
        <v>32095.85</v>
      </c>
      <c r="M327" s="18" t="s">
        <v>35</v>
      </c>
      <c r="N327" s="25" t="n">
        <v>45946</v>
      </c>
      <c r="O327" s="25" t="n">
        <v>45950</v>
      </c>
      <c r="P327" s="25" t="n">
        <v>45949</v>
      </c>
      <c r="Q327" s="17" t="n">
        <f aca="false">IF(P327&lt;&gt;"",MAX(1,P327-B327),IF(M327="Dispatched",MAX(1,O327-B327),0))</f>
        <v>5</v>
      </c>
      <c r="R327" s="17" t="n">
        <f aca="false">IF(M327="Cancelled",0,IF(P327&lt;&gt;"",MAX(0,P327-O327),IF(T327&lt;&gt;"None",MAX(1,O327-B327-2),0)))</f>
        <v>0</v>
      </c>
      <c r="S327" s="18" t="s">
        <v>352</v>
      </c>
      <c r="T327" s="20" t="s">
        <v>317</v>
      </c>
    </row>
    <row r="328" customFormat="false" ht="15" hidden="false" customHeight="false" outlineLevel="0" collapsed="false">
      <c r="A328" s="26" t="s">
        <v>972</v>
      </c>
      <c r="B328" s="34" t="n">
        <v>45938</v>
      </c>
      <c r="C328" s="26" t="s">
        <v>322</v>
      </c>
      <c r="D328" s="27" t="s">
        <v>973</v>
      </c>
      <c r="E328" s="26" t="s">
        <v>105</v>
      </c>
      <c r="F328" s="27" t="s">
        <v>80</v>
      </c>
      <c r="G328" s="26" t="s">
        <v>289</v>
      </c>
      <c r="H328" s="27" t="str">
        <f aca="false">VLOOKUP(G328,'Product Master'!$A$5:$K$104,2,FALSE())</f>
        <v>Eco Apparel Item 095</v>
      </c>
      <c r="I328" s="27" t="str">
        <f aca="false">VLOOKUP(G328,'Product Master'!$A$5:$K$104,3,FALSE())</f>
        <v>Apparel</v>
      </c>
      <c r="J328" s="28" t="n">
        <v>6</v>
      </c>
      <c r="K328" s="29" t="n">
        <v>2884.81</v>
      </c>
      <c r="L328" s="29" t="n">
        <f aca="false">J328*K328</f>
        <v>17308.86</v>
      </c>
      <c r="M328" s="26" t="s">
        <v>41</v>
      </c>
      <c r="N328" s="34" t="n">
        <v>45941</v>
      </c>
      <c r="O328" s="34" t="n">
        <v>45942</v>
      </c>
      <c r="P328" s="34"/>
      <c r="Q328" s="28" t="n">
        <f aca="false">IF(P328&lt;&gt;"",MAX(1,P328-B328),IF(M328="Dispatched",MAX(1,O328-B328),0))</f>
        <v>4</v>
      </c>
      <c r="R328" s="28" t="n">
        <f aca="false">IF(M328="Cancelled",0,IF(P328&lt;&gt;"",MAX(0,P328-O328),IF(T328&lt;&gt;"None",MAX(1,O328-B328-2),0)))</f>
        <v>0</v>
      </c>
      <c r="S328" s="26" t="s">
        <v>37</v>
      </c>
      <c r="T328" s="27" t="s">
        <v>317</v>
      </c>
    </row>
    <row r="329" customFormat="false" ht="15" hidden="false" customHeight="false" outlineLevel="0" collapsed="false">
      <c r="A329" s="18" t="s">
        <v>974</v>
      </c>
      <c r="B329" s="25" t="n">
        <v>46051</v>
      </c>
      <c r="C329" s="18" t="s">
        <v>331</v>
      </c>
      <c r="D329" s="20" t="s">
        <v>443</v>
      </c>
      <c r="E329" s="18" t="s">
        <v>107</v>
      </c>
      <c r="F329" s="20" t="s">
        <v>80</v>
      </c>
      <c r="G329" s="18" t="s">
        <v>257</v>
      </c>
      <c r="H329" s="20" t="str">
        <f aca="false">VLOOKUP(G329,'Product Master'!$A$5:$K$104,2,FALSE())</f>
        <v>Everyday Apparel Item 063</v>
      </c>
      <c r="I329" s="20" t="str">
        <f aca="false">VLOOKUP(G329,'Product Master'!$A$5:$K$104,3,FALSE())</f>
        <v>Apparel</v>
      </c>
      <c r="J329" s="17" t="n">
        <v>2</v>
      </c>
      <c r="K329" s="16" t="n">
        <v>3551.07</v>
      </c>
      <c r="L329" s="16" t="n">
        <f aca="false">J329*K329</f>
        <v>7102.14</v>
      </c>
      <c r="M329" s="18" t="s">
        <v>35</v>
      </c>
      <c r="N329" s="25" t="n">
        <v>46052</v>
      </c>
      <c r="O329" s="25" t="n">
        <v>46054</v>
      </c>
      <c r="P329" s="25" t="n">
        <v>46053</v>
      </c>
      <c r="Q329" s="17" t="n">
        <f aca="false">IF(P329&lt;&gt;"",MAX(1,P329-B329),IF(M329="Dispatched",MAX(1,O329-B329),0))</f>
        <v>2</v>
      </c>
      <c r="R329" s="17" t="n">
        <f aca="false">IF(M329="Cancelled",0,IF(P329&lt;&gt;"",MAX(0,P329-O329),IF(T329&lt;&gt;"None",MAX(1,O329-B329-2),0)))</f>
        <v>0</v>
      </c>
      <c r="S329" s="18" t="s">
        <v>339</v>
      </c>
      <c r="T329" s="20" t="s">
        <v>317</v>
      </c>
    </row>
    <row r="330" customFormat="false" ht="15" hidden="false" customHeight="false" outlineLevel="0" collapsed="false">
      <c r="A330" s="26" t="s">
        <v>975</v>
      </c>
      <c r="B330" s="34" t="n">
        <v>46127</v>
      </c>
      <c r="C330" s="26" t="s">
        <v>574</v>
      </c>
      <c r="D330" s="27" t="s">
        <v>681</v>
      </c>
      <c r="E330" s="26" t="s">
        <v>111</v>
      </c>
      <c r="F330" s="27" t="s">
        <v>77</v>
      </c>
      <c r="G330" s="26" t="s">
        <v>225</v>
      </c>
      <c r="H330" s="27" t="str">
        <f aca="false">VLOOKUP(G330,'Product Master'!$A$5:$K$104,2,FALSE())</f>
        <v>Essential Apparel Item 031</v>
      </c>
      <c r="I330" s="27" t="str">
        <f aca="false">VLOOKUP(G330,'Product Master'!$A$5:$K$104,3,FALSE())</f>
        <v>Apparel</v>
      </c>
      <c r="J330" s="28" t="n">
        <v>7</v>
      </c>
      <c r="K330" s="29" t="n">
        <v>11597.85</v>
      </c>
      <c r="L330" s="29" t="n">
        <f aca="false">J330*K330</f>
        <v>81184.95</v>
      </c>
      <c r="M330" s="26" t="s">
        <v>35</v>
      </c>
      <c r="N330" s="34" t="n">
        <v>46127</v>
      </c>
      <c r="O330" s="34" t="n">
        <v>46134</v>
      </c>
      <c r="P330" s="34" t="n">
        <v>46134</v>
      </c>
      <c r="Q330" s="28" t="n">
        <f aca="false">IF(P330&lt;&gt;"",MAX(1,P330-B330),IF(M330="Dispatched",MAX(1,O330-B330),0))</f>
        <v>7</v>
      </c>
      <c r="R330" s="28" t="n">
        <f aca="false">IF(M330="Cancelled",0,IF(P330&lt;&gt;"",MAX(0,P330-O330),IF(T330&lt;&gt;"None",MAX(1,O330-B330-2),0)))</f>
        <v>0</v>
      </c>
      <c r="S330" s="26" t="s">
        <v>310</v>
      </c>
      <c r="T330" s="27" t="s">
        <v>317</v>
      </c>
    </row>
    <row r="331" customFormat="false" ht="15" hidden="false" customHeight="false" outlineLevel="0" collapsed="false">
      <c r="A331" s="18" t="s">
        <v>976</v>
      </c>
      <c r="B331" s="25" t="n">
        <v>46135</v>
      </c>
      <c r="C331" s="18" t="s">
        <v>319</v>
      </c>
      <c r="D331" s="20" t="s">
        <v>646</v>
      </c>
      <c r="E331" s="18" t="s">
        <v>109</v>
      </c>
      <c r="F331" s="20" t="s">
        <v>79</v>
      </c>
      <c r="G331" s="18" t="s">
        <v>255</v>
      </c>
      <c r="H331" s="20" t="str">
        <f aca="false">VLOOKUP(G331,'Product Master'!$A$5:$K$104,2,FALSE())</f>
        <v>Pro Industrial Item 061</v>
      </c>
      <c r="I331" s="20" t="str">
        <f aca="false">VLOOKUP(G331,'Product Master'!$A$5:$K$104,3,FALSE())</f>
        <v>Industrial</v>
      </c>
      <c r="J331" s="17" t="n">
        <v>24</v>
      </c>
      <c r="K331" s="16" t="n">
        <v>5193.69</v>
      </c>
      <c r="L331" s="16" t="n">
        <f aca="false">J331*K331</f>
        <v>124648.56</v>
      </c>
      <c r="M331" s="18" t="s">
        <v>43</v>
      </c>
      <c r="N331" s="25"/>
      <c r="O331" s="25" t="n">
        <v>46140</v>
      </c>
      <c r="P331" s="25"/>
      <c r="Q331" s="17" t="n">
        <f aca="false">IF(P331&lt;&gt;"",MAX(1,P331-B331),IF(M331="Dispatched",MAX(1,O331-B331),0))</f>
        <v>0</v>
      </c>
      <c r="R331" s="17" t="n">
        <f aca="false">IF(M331="Cancelled",0,IF(P331&lt;&gt;"",MAX(0,P331-O331),IF(T331&lt;&gt;"None",MAX(1,O331-B331-2),0)))</f>
        <v>0</v>
      </c>
      <c r="S331" s="18" t="s">
        <v>310</v>
      </c>
      <c r="T331" s="20" t="s">
        <v>411</v>
      </c>
    </row>
    <row r="332" customFormat="false" ht="15" hidden="false" customHeight="false" outlineLevel="0" collapsed="false">
      <c r="A332" s="26" t="s">
        <v>977</v>
      </c>
      <c r="B332" s="34" t="n">
        <v>46202</v>
      </c>
      <c r="C332" s="26" t="s">
        <v>878</v>
      </c>
      <c r="D332" s="27" t="s">
        <v>591</v>
      </c>
      <c r="E332" s="26" t="s">
        <v>105</v>
      </c>
      <c r="F332" s="27" t="s">
        <v>78</v>
      </c>
      <c r="G332" s="26" t="s">
        <v>250</v>
      </c>
      <c r="H332" s="27" t="str">
        <f aca="false">VLOOKUP(G332,'Product Master'!$A$5:$K$104,2,FALSE())</f>
        <v>Smart Automotive Item 056</v>
      </c>
      <c r="I332" s="27" t="str">
        <f aca="false">VLOOKUP(G332,'Product Master'!$A$5:$K$104,3,FALSE())</f>
        <v>Automotive</v>
      </c>
      <c r="J332" s="28" t="n">
        <v>15</v>
      </c>
      <c r="K332" s="29" t="n">
        <v>4007.08</v>
      </c>
      <c r="L332" s="29" t="n">
        <f aca="false">J332*K332</f>
        <v>60106.2</v>
      </c>
      <c r="M332" s="26" t="s">
        <v>35</v>
      </c>
      <c r="N332" s="34" t="n">
        <v>46202</v>
      </c>
      <c r="O332" s="34" t="n">
        <v>46209</v>
      </c>
      <c r="P332" s="34" t="n">
        <v>46207</v>
      </c>
      <c r="Q332" s="28" t="n">
        <f aca="false">IF(P332&lt;&gt;"",MAX(1,P332-B332),IF(M332="Dispatched",MAX(1,O332-B332),0))</f>
        <v>5</v>
      </c>
      <c r="R332" s="28" t="n">
        <f aca="false">IF(M332="Cancelled",0,IF(P332&lt;&gt;"",MAX(0,P332-O332),IF(T332&lt;&gt;"None",MAX(1,O332-B332-2),0)))</f>
        <v>0</v>
      </c>
      <c r="S332" s="26" t="s">
        <v>310</v>
      </c>
      <c r="T332" s="27" t="s">
        <v>317</v>
      </c>
    </row>
    <row r="333" customFormat="false" ht="15" hidden="false" customHeight="false" outlineLevel="0" collapsed="false">
      <c r="A333" s="18" t="s">
        <v>978</v>
      </c>
      <c r="B333" s="25" t="n">
        <v>46264</v>
      </c>
      <c r="C333" s="18" t="s">
        <v>385</v>
      </c>
      <c r="D333" s="20" t="s">
        <v>364</v>
      </c>
      <c r="E333" s="18" t="s">
        <v>109</v>
      </c>
      <c r="F333" s="20" t="s">
        <v>78</v>
      </c>
      <c r="G333" s="18" t="s">
        <v>229</v>
      </c>
      <c r="H333" s="20" t="str">
        <f aca="false">VLOOKUP(G333,'Product Master'!$A$5:$K$104,2,FALSE())</f>
        <v>Smart Office Item 035</v>
      </c>
      <c r="I333" s="20" t="str">
        <f aca="false">VLOOKUP(G333,'Product Master'!$A$5:$K$104,3,FALSE())</f>
        <v>Office Supplies</v>
      </c>
      <c r="J333" s="17" t="n">
        <v>9</v>
      </c>
      <c r="K333" s="16" t="n">
        <v>7869.66</v>
      </c>
      <c r="L333" s="16" t="n">
        <f aca="false">J333*K333</f>
        <v>70826.94</v>
      </c>
      <c r="M333" s="18" t="s">
        <v>39</v>
      </c>
      <c r="N333" s="25"/>
      <c r="O333" s="25" t="n">
        <v>46270</v>
      </c>
      <c r="P333" s="25"/>
      <c r="Q333" s="17" t="n">
        <f aca="false">IF(P333&lt;&gt;"",MAX(1,P333-B333),IF(M333="Dispatched",MAX(1,O333-B333),0))</f>
        <v>0</v>
      </c>
      <c r="R333" s="17" t="n">
        <f aca="false">IF(M333="Cancelled",0,IF(P333&lt;&gt;"",MAX(0,P333-O333),IF(T333&lt;&gt;"None",MAX(1,O333-B333-2),0)))</f>
        <v>0</v>
      </c>
      <c r="S333" s="18" t="s">
        <v>310</v>
      </c>
      <c r="T333" s="20" t="s">
        <v>317</v>
      </c>
    </row>
    <row r="334" customFormat="false" ht="15" hidden="false" customHeight="false" outlineLevel="0" collapsed="false">
      <c r="A334" s="26" t="s">
        <v>979</v>
      </c>
      <c r="B334" s="34" t="n">
        <v>46030</v>
      </c>
      <c r="C334" s="26" t="s">
        <v>802</v>
      </c>
      <c r="D334" s="27" t="s">
        <v>980</v>
      </c>
      <c r="E334" s="26" t="s">
        <v>109</v>
      </c>
      <c r="F334" s="27" t="s">
        <v>77</v>
      </c>
      <c r="G334" s="26" t="s">
        <v>261</v>
      </c>
      <c r="H334" s="27" t="str">
        <f aca="false">VLOOKUP(G334,'Product Master'!$A$5:$K$104,2,FALSE())</f>
        <v>Premium Office Item 067</v>
      </c>
      <c r="I334" s="27" t="str">
        <f aca="false">VLOOKUP(G334,'Product Master'!$A$5:$K$104,3,FALSE())</f>
        <v>Office Supplies</v>
      </c>
      <c r="J334" s="28" t="n">
        <v>11</v>
      </c>
      <c r="K334" s="29" t="n">
        <v>3543.72</v>
      </c>
      <c r="L334" s="29" t="n">
        <f aca="false">J334*K334</f>
        <v>38980.92</v>
      </c>
      <c r="M334" s="26" t="s">
        <v>35</v>
      </c>
      <c r="N334" s="34" t="n">
        <v>46030</v>
      </c>
      <c r="O334" s="34" t="n">
        <v>46032</v>
      </c>
      <c r="P334" s="34" t="n">
        <v>46032</v>
      </c>
      <c r="Q334" s="28" t="n">
        <f aca="false">IF(P334&lt;&gt;"",MAX(1,P334-B334),IF(M334="Dispatched",MAX(1,O334-B334),0))</f>
        <v>2</v>
      </c>
      <c r="R334" s="28" t="n">
        <f aca="false">IF(M334="Cancelled",0,IF(P334&lt;&gt;"",MAX(0,P334-O334),IF(T334&lt;&gt;"None",MAX(1,O334-B334-2),0)))</f>
        <v>0</v>
      </c>
      <c r="S334" s="26" t="s">
        <v>310</v>
      </c>
      <c r="T334" s="27" t="s">
        <v>317</v>
      </c>
    </row>
    <row r="335" customFormat="false" ht="15" hidden="false" customHeight="false" outlineLevel="0" collapsed="false">
      <c r="A335" s="18" t="s">
        <v>981</v>
      </c>
      <c r="B335" s="25" t="n">
        <v>46159</v>
      </c>
      <c r="C335" s="18" t="s">
        <v>409</v>
      </c>
      <c r="D335" s="20" t="s">
        <v>982</v>
      </c>
      <c r="E335" s="18" t="s">
        <v>107</v>
      </c>
      <c r="F335" s="20" t="s">
        <v>78</v>
      </c>
      <c r="G335" s="18" t="s">
        <v>239</v>
      </c>
      <c r="H335" s="20" t="str">
        <f aca="false">VLOOKUP(G335,'Product Master'!$A$5:$K$104,2,FALSE())</f>
        <v>Essential Industrial Item 045</v>
      </c>
      <c r="I335" s="20" t="str">
        <f aca="false">VLOOKUP(G335,'Product Master'!$A$5:$K$104,3,FALSE())</f>
        <v>Industrial</v>
      </c>
      <c r="J335" s="17" t="n">
        <v>9</v>
      </c>
      <c r="K335" s="16" t="n">
        <v>9908.93</v>
      </c>
      <c r="L335" s="16" t="n">
        <f aca="false">J335*K335</f>
        <v>89180.37</v>
      </c>
      <c r="M335" s="18" t="s">
        <v>35</v>
      </c>
      <c r="N335" s="25" t="n">
        <v>46159</v>
      </c>
      <c r="O335" s="25" t="n">
        <v>46161</v>
      </c>
      <c r="P335" s="25" t="n">
        <v>46161</v>
      </c>
      <c r="Q335" s="17" t="n">
        <f aca="false">IF(P335&lt;&gt;"",MAX(1,P335-B335),IF(M335="Dispatched",MAX(1,O335-B335),0))</f>
        <v>2</v>
      </c>
      <c r="R335" s="17" t="n">
        <f aca="false">IF(M335="Cancelled",0,IF(P335&lt;&gt;"",MAX(0,P335-O335),IF(T335&lt;&gt;"None",MAX(1,O335-B335-2),0)))</f>
        <v>0</v>
      </c>
      <c r="S335" s="18" t="s">
        <v>310</v>
      </c>
      <c r="T335" s="20" t="s">
        <v>317</v>
      </c>
    </row>
    <row r="336" customFormat="false" ht="15" hidden="false" customHeight="false" outlineLevel="0" collapsed="false">
      <c r="A336" s="26" t="s">
        <v>983</v>
      </c>
      <c r="B336" s="34" t="n">
        <v>46293</v>
      </c>
      <c r="C336" s="26" t="s">
        <v>733</v>
      </c>
      <c r="D336" s="27" t="s">
        <v>367</v>
      </c>
      <c r="E336" s="26" t="s">
        <v>105</v>
      </c>
      <c r="F336" s="27" t="s">
        <v>80</v>
      </c>
      <c r="G336" s="26" t="s">
        <v>210</v>
      </c>
      <c r="H336" s="27" t="str">
        <f aca="false">VLOOKUP(G336,'Product Master'!$A$5:$K$104,2,FALSE())</f>
        <v>Pro Automotive Item 016</v>
      </c>
      <c r="I336" s="27" t="str">
        <f aca="false">VLOOKUP(G336,'Product Master'!$A$5:$K$104,3,FALSE())</f>
        <v>Automotive</v>
      </c>
      <c r="J336" s="28" t="n">
        <v>5</v>
      </c>
      <c r="K336" s="29" t="n">
        <v>5263.77</v>
      </c>
      <c r="L336" s="29" t="n">
        <f aca="false">J336*K336</f>
        <v>26318.85</v>
      </c>
      <c r="M336" s="26" t="s">
        <v>35</v>
      </c>
      <c r="N336" s="34" t="n">
        <v>46293</v>
      </c>
      <c r="O336" s="34" t="n">
        <v>46297</v>
      </c>
      <c r="P336" s="34" t="n">
        <v>46296</v>
      </c>
      <c r="Q336" s="28" t="n">
        <f aca="false">IF(P336&lt;&gt;"",MAX(1,P336-B336),IF(M336="Dispatched",MAX(1,O336-B336),0))</f>
        <v>3</v>
      </c>
      <c r="R336" s="28" t="n">
        <f aca="false">IF(M336="Cancelled",0,IF(P336&lt;&gt;"",MAX(0,P336-O336),IF(T336&lt;&gt;"None",MAX(1,O336-B336-2),0)))</f>
        <v>0</v>
      </c>
      <c r="S336" s="26" t="s">
        <v>310</v>
      </c>
      <c r="T336" s="27" t="s">
        <v>317</v>
      </c>
    </row>
    <row r="337" customFormat="false" ht="15" hidden="false" customHeight="false" outlineLevel="0" collapsed="false">
      <c r="A337" s="18" t="s">
        <v>984</v>
      </c>
      <c r="B337" s="25" t="n">
        <v>45969</v>
      </c>
      <c r="C337" s="18" t="s">
        <v>784</v>
      </c>
      <c r="D337" s="20" t="s">
        <v>985</v>
      </c>
      <c r="E337" s="18" t="s">
        <v>111</v>
      </c>
      <c r="F337" s="20" t="s">
        <v>78</v>
      </c>
      <c r="G337" s="18" t="s">
        <v>276</v>
      </c>
      <c r="H337" s="20" t="str">
        <f aca="false">VLOOKUP(G337,'Product Master'!$A$5:$K$104,2,FALSE())</f>
        <v>Compact Home Item 082</v>
      </c>
      <c r="I337" s="20" t="str">
        <f aca="false">VLOOKUP(G337,'Product Master'!$A$5:$K$104,3,FALSE())</f>
        <v>Home &amp; Kitchen</v>
      </c>
      <c r="J337" s="17" t="n">
        <v>25</v>
      </c>
      <c r="K337" s="16" t="n">
        <v>3454.52</v>
      </c>
      <c r="L337" s="16" t="n">
        <f aca="false">J337*K337</f>
        <v>86363</v>
      </c>
      <c r="M337" s="18" t="s">
        <v>35</v>
      </c>
      <c r="N337" s="25" t="n">
        <v>45971</v>
      </c>
      <c r="O337" s="25" t="n">
        <v>45976</v>
      </c>
      <c r="P337" s="25" t="n">
        <v>45975</v>
      </c>
      <c r="Q337" s="17" t="n">
        <f aca="false">IF(P337&lt;&gt;"",MAX(1,P337-B337),IF(M337="Dispatched",MAX(1,O337-B337),0))</f>
        <v>6</v>
      </c>
      <c r="R337" s="17" t="n">
        <f aca="false">IF(M337="Cancelled",0,IF(P337&lt;&gt;"",MAX(0,P337-O337),IF(T337&lt;&gt;"None",MAX(1,O337-B337-2),0)))</f>
        <v>0</v>
      </c>
      <c r="S337" s="18" t="s">
        <v>37</v>
      </c>
      <c r="T337" s="20" t="s">
        <v>317</v>
      </c>
    </row>
    <row r="338" customFormat="false" ht="15" hidden="false" customHeight="false" outlineLevel="0" collapsed="false">
      <c r="A338" s="26" t="s">
        <v>986</v>
      </c>
      <c r="B338" s="34" t="n">
        <v>46126</v>
      </c>
      <c r="C338" s="26" t="s">
        <v>728</v>
      </c>
      <c r="D338" s="27" t="s">
        <v>987</v>
      </c>
      <c r="E338" s="26" t="s">
        <v>109</v>
      </c>
      <c r="F338" s="27" t="s">
        <v>76</v>
      </c>
      <c r="G338" s="26" t="s">
        <v>244</v>
      </c>
      <c r="H338" s="27" t="str">
        <f aca="false">VLOOKUP(G338,'Product Master'!$A$5:$K$104,2,FALSE())</f>
        <v>Eco Home Item 050</v>
      </c>
      <c r="I338" s="27" t="str">
        <f aca="false">VLOOKUP(G338,'Product Master'!$A$5:$K$104,3,FALSE())</f>
        <v>Home &amp; Kitchen</v>
      </c>
      <c r="J338" s="28" t="n">
        <v>9</v>
      </c>
      <c r="K338" s="29" t="n">
        <v>5831.62</v>
      </c>
      <c r="L338" s="29" t="n">
        <f aca="false">J338*K338</f>
        <v>52484.58</v>
      </c>
      <c r="M338" s="26" t="s">
        <v>43</v>
      </c>
      <c r="N338" s="34"/>
      <c r="O338" s="34" t="n">
        <v>46132</v>
      </c>
      <c r="P338" s="34"/>
      <c r="Q338" s="28" t="n">
        <f aca="false">IF(P338&lt;&gt;"",MAX(1,P338-B338),IF(M338="Dispatched",MAX(1,O338-B338),0))</f>
        <v>0</v>
      </c>
      <c r="R338" s="28" t="n">
        <f aca="false">IF(M338="Cancelled",0,IF(P338&lt;&gt;"",MAX(0,P338-O338),IF(T338&lt;&gt;"None",MAX(1,O338-B338-2),0)))</f>
        <v>0</v>
      </c>
      <c r="S338" s="26" t="s">
        <v>310</v>
      </c>
      <c r="T338" s="27" t="s">
        <v>411</v>
      </c>
    </row>
    <row r="339" customFormat="false" ht="15" hidden="false" customHeight="false" outlineLevel="0" collapsed="false">
      <c r="A339" s="18" t="s">
        <v>988</v>
      </c>
      <c r="B339" s="25" t="n">
        <v>46033</v>
      </c>
      <c r="C339" s="18" t="s">
        <v>766</v>
      </c>
      <c r="D339" s="20" t="s">
        <v>514</v>
      </c>
      <c r="E339" s="18" t="s">
        <v>111</v>
      </c>
      <c r="F339" s="20" t="s">
        <v>77</v>
      </c>
      <c r="G339" s="18" t="s">
        <v>273</v>
      </c>
      <c r="H339" s="20" t="str">
        <f aca="false">VLOOKUP(G339,'Product Master'!$A$5:$K$104,2,FALSE())</f>
        <v>Essential Apparel Item 079</v>
      </c>
      <c r="I339" s="20" t="str">
        <f aca="false">VLOOKUP(G339,'Product Master'!$A$5:$K$104,3,FALSE())</f>
        <v>Apparel</v>
      </c>
      <c r="J339" s="17" t="n">
        <v>21</v>
      </c>
      <c r="K339" s="16" t="n">
        <v>12867.62</v>
      </c>
      <c r="L339" s="16" t="n">
        <f aca="false">J339*K339</f>
        <v>270220.02</v>
      </c>
      <c r="M339" s="18" t="s">
        <v>35</v>
      </c>
      <c r="N339" s="25" t="n">
        <v>46036</v>
      </c>
      <c r="O339" s="25" t="n">
        <v>46037</v>
      </c>
      <c r="P339" s="25" t="n">
        <v>46037</v>
      </c>
      <c r="Q339" s="17" t="n">
        <f aca="false">IF(P339&lt;&gt;"",MAX(1,P339-B339),IF(M339="Dispatched",MAX(1,O339-B339),0))</f>
        <v>4</v>
      </c>
      <c r="R339" s="17" t="n">
        <f aca="false">IF(M339="Cancelled",0,IF(P339&lt;&gt;"",MAX(0,P339-O339),IF(T339&lt;&gt;"None",MAX(1,O339-B339-2),0)))</f>
        <v>0</v>
      </c>
      <c r="S339" s="18" t="s">
        <v>37</v>
      </c>
      <c r="T339" s="20" t="s">
        <v>317</v>
      </c>
    </row>
    <row r="340" customFormat="false" ht="15" hidden="false" customHeight="false" outlineLevel="0" collapsed="false">
      <c r="A340" s="26" t="s">
        <v>989</v>
      </c>
      <c r="B340" s="34" t="n">
        <v>45983</v>
      </c>
      <c r="C340" s="26" t="s">
        <v>669</v>
      </c>
      <c r="D340" s="27" t="s">
        <v>601</v>
      </c>
      <c r="E340" s="26" t="s">
        <v>105</v>
      </c>
      <c r="F340" s="27" t="s">
        <v>76</v>
      </c>
      <c r="G340" s="26" t="s">
        <v>199</v>
      </c>
      <c r="H340" s="27" t="str">
        <f aca="false">VLOOKUP(G340,'Product Master'!$A$5:$K$104,2,FALSE())</f>
        <v>Everyday Industrial Item 005</v>
      </c>
      <c r="I340" s="27" t="str">
        <f aca="false">VLOOKUP(G340,'Product Master'!$A$5:$K$104,3,FALSE())</f>
        <v>Industrial</v>
      </c>
      <c r="J340" s="28" t="n">
        <v>19</v>
      </c>
      <c r="K340" s="29" t="n">
        <v>1573.69</v>
      </c>
      <c r="L340" s="29" t="n">
        <f aca="false">J340*K340</f>
        <v>29900.11</v>
      </c>
      <c r="M340" s="26" t="s">
        <v>39</v>
      </c>
      <c r="N340" s="34"/>
      <c r="O340" s="34" t="n">
        <v>45992</v>
      </c>
      <c r="P340" s="34"/>
      <c r="Q340" s="28" t="n">
        <f aca="false">IF(P340&lt;&gt;"",MAX(1,P340-B340),IF(M340="Dispatched",MAX(1,O340-B340),0))</f>
        <v>0</v>
      </c>
      <c r="R340" s="28" t="n">
        <f aca="false">IF(M340="Cancelled",0,IF(P340&lt;&gt;"",MAX(0,P340-O340),IF(T340&lt;&gt;"None",MAX(1,O340-B340-2),0)))</f>
        <v>7</v>
      </c>
      <c r="S340" s="26" t="s">
        <v>310</v>
      </c>
      <c r="T340" s="27" t="s">
        <v>106</v>
      </c>
    </row>
    <row r="341" customFormat="false" ht="15" hidden="false" customHeight="false" outlineLevel="0" collapsed="false">
      <c r="A341" s="18" t="s">
        <v>990</v>
      </c>
      <c r="B341" s="25" t="n">
        <v>45950</v>
      </c>
      <c r="C341" s="18" t="s">
        <v>991</v>
      </c>
      <c r="D341" s="20" t="s">
        <v>907</v>
      </c>
      <c r="E341" s="18" t="s">
        <v>111</v>
      </c>
      <c r="F341" s="20" t="s">
        <v>78</v>
      </c>
      <c r="G341" s="18" t="s">
        <v>280</v>
      </c>
      <c r="H341" s="20" t="str">
        <f aca="false">VLOOKUP(G341,'Product Master'!$A$5:$K$104,2,FALSE())</f>
        <v>Classic Packaging Item 086</v>
      </c>
      <c r="I341" s="20" t="str">
        <f aca="false">VLOOKUP(G341,'Product Master'!$A$5:$K$104,3,FALSE())</f>
        <v>Packaging</v>
      </c>
      <c r="J341" s="17" t="n">
        <v>5</v>
      </c>
      <c r="K341" s="16" t="n">
        <v>7631.52</v>
      </c>
      <c r="L341" s="16" t="n">
        <f aca="false">J341*K341</f>
        <v>38157.6</v>
      </c>
      <c r="M341" s="18" t="s">
        <v>39</v>
      </c>
      <c r="N341" s="25"/>
      <c r="O341" s="25" t="n">
        <v>45958</v>
      </c>
      <c r="P341" s="25"/>
      <c r="Q341" s="17" t="n">
        <f aca="false">IF(P341&lt;&gt;"",MAX(1,P341-B341),IF(M341="Dispatched",MAX(1,O341-B341),0))</f>
        <v>0</v>
      </c>
      <c r="R341" s="17" t="n">
        <f aca="false">IF(M341="Cancelled",0,IF(P341&lt;&gt;"",MAX(0,P341-O341),IF(T341&lt;&gt;"None",MAX(1,O341-B341-2),0)))</f>
        <v>0</v>
      </c>
      <c r="S341" s="18" t="s">
        <v>310</v>
      </c>
      <c r="T341" s="20" t="s">
        <v>317</v>
      </c>
    </row>
    <row r="342" customFormat="false" ht="15" hidden="false" customHeight="false" outlineLevel="0" collapsed="false">
      <c r="A342" s="26" t="s">
        <v>992</v>
      </c>
      <c r="B342" s="34" t="n">
        <v>46312</v>
      </c>
      <c r="C342" s="26" t="s">
        <v>880</v>
      </c>
      <c r="D342" s="27" t="s">
        <v>993</v>
      </c>
      <c r="E342" s="26" t="s">
        <v>105</v>
      </c>
      <c r="F342" s="27" t="s">
        <v>80</v>
      </c>
      <c r="G342" s="26" t="s">
        <v>294</v>
      </c>
      <c r="H342" s="27" t="str">
        <f aca="false">VLOOKUP(G342,'Product Master'!$A$5:$K$104,2,FALSE())</f>
        <v>Smart Personal Item 100</v>
      </c>
      <c r="I342" s="27" t="str">
        <f aca="false">VLOOKUP(G342,'Product Master'!$A$5:$K$104,3,FALSE())</f>
        <v>Personal Care</v>
      </c>
      <c r="J342" s="28" t="n">
        <v>8</v>
      </c>
      <c r="K342" s="29" t="n">
        <v>9946.74</v>
      </c>
      <c r="L342" s="29" t="n">
        <f aca="false">J342*K342</f>
        <v>79573.92</v>
      </c>
      <c r="M342" s="26" t="s">
        <v>35</v>
      </c>
      <c r="N342" s="34" t="n">
        <v>46313</v>
      </c>
      <c r="O342" s="34" t="n">
        <v>46316</v>
      </c>
      <c r="P342" s="34" t="n">
        <v>46315</v>
      </c>
      <c r="Q342" s="28" t="n">
        <f aca="false">IF(P342&lt;&gt;"",MAX(1,P342-B342),IF(M342="Dispatched",MAX(1,O342-B342),0))</f>
        <v>3</v>
      </c>
      <c r="R342" s="28" t="n">
        <f aca="false">IF(M342="Cancelled",0,IF(P342&lt;&gt;"",MAX(0,P342-O342),IF(T342&lt;&gt;"None",MAX(1,O342-B342-2),0)))</f>
        <v>0</v>
      </c>
      <c r="S342" s="26" t="s">
        <v>310</v>
      </c>
      <c r="T342" s="27" t="s">
        <v>317</v>
      </c>
    </row>
    <row r="343" customFormat="false" ht="15" hidden="false" customHeight="false" outlineLevel="0" collapsed="false">
      <c r="A343" s="18" t="s">
        <v>994</v>
      </c>
      <c r="B343" s="25" t="n">
        <v>46262</v>
      </c>
      <c r="C343" s="18" t="s">
        <v>728</v>
      </c>
      <c r="D343" s="20" t="s">
        <v>490</v>
      </c>
      <c r="E343" s="18" t="s">
        <v>109</v>
      </c>
      <c r="F343" s="20" t="s">
        <v>80</v>
      </c>
      <c r="G343" s="18" t="s">
        <v>206</v>
      </c>
      <c r="H343" s="20" t="str">
        <f aca="false">VLOOKUP(G343,'Product Master'!$A$5:$K$104,2,FALSE())</f>
        <v>Eco Personal Item 012</v>
      </c>
      <c r="I343" s="20" t="str">
        <f aca="false">VLOOKUP(G343,'Product Master'!$A$5:$K$104,3,FALSE())</f>
        <v>Personal Care</v>
      </c>
      <c r="J343" s="17" t="n">
        <v>11</v>
      </c>
      <c r="K343" s="16" t="n">
        <v>7685.49</v>
      </c>
      <c r="L343" s="16" t="n">
        <f aca="false">J343*K343</f>
        <v>84540.39</v>
      </c>
      <c r="M343" s="18" t="s">
        <v>35</v>
      </c>
      <c r="N343" s="25" t="n">
        <v>46264</v>
      </c>
      <c r="O343" s="25" t="n">
        <v>46271</v>
      </c>
      <c r="P343" s="25" t="n">
        <v>46271</v>
      </c>
      <c r="Q343" s="17" t="n">
        <f aca="false">IF(P343&lt;&gt;"",MAX(1,P343-B343),IF(M343="Dispatched",MAX(1,O343-B343),0))</f>
        <v>9</v>
      </c>
      <c r="R343" s="17" t="n">
        <f aca="false">IF(M343="Cancelled",0,IF(P343&lt;&gt;"",MAX(0,P343-O343),IF(T343&lt;&gt;"None",MAX(1,O343-B343-2),0)))</f>
        <v>0</v>
      </c>
      <c r="S343" s="18" t="s">
        <v>310</v>
      </c>
      <c r="T343" s="20" t="s">
        <v>317</v>
      </c>
    </row>
    <row r="344" customFormat="false" ht="15" hidden="false" customHeight="false" outlineLevel="0" collapsed="false">
      <c r="A344" s="26" t="s">
        <v>995</v>
      </c>
      <c r="B344" s="34" t="n">
        <v>46084</v>
      </c>
      <c r="C344" s="26" t="s">
        <v>618</v>
      </c>
      <c r="D344" s="27" t="s">
        <v>702</v>
      </c>
      <c r="E344" s="26" t="s">
        <v>111</v>
      </c>
      <c r="F344" s="27" t="s">
        <v>76</v>
      </c>
      <c r="G344" s="26" t="s">
        <v>284</v>
      </c>
      <c r="H344" s="27" t="str">
        <f aca="false">VLOOKUP(G344,'Product Master'!$A$5:$K$104,2,FALSE())</f>
        <v>Compact Home Item 090</v>
      </c>
      <c r="I344" s="27" t="str">
        <f aca="false">VLOOKUP(G344,'Product Master'!$A$5:$K$104,3,FALSE())</f>
        <v>Home &amp; Kitchen</v>
      </c>
      <c r="J344" s="28" t="n">
        <v>21</v>
      </c>
      <c r="K344" s="29" t="n">
        <v>10789.39</v>
      </c>
      <c r="L344" s="29" t="n">
        <f aca="false">J344*K344</f>
        <v>226577.19</v>
      </c>
      <c r="M344" s="26" t="s">
        <v>37</v>
      </c>
      <c r="N344" s="34"/>
      <c r="O344" s="34" t="n">
        <v>46093</v>
      </c>
      <c r="P344" s="34"/>
      <c r="Q344" s="28" t="n">
        <f aca="false">IF(P344&lt;&gt;"",MAX(1,P344-B344),IF(M344="Dispatched",MAX(1,O344-B344),0))</f>
        <v>0</v>
      </c>
      <c r="R344" s="28" t="n">
        <f aca="false">IF(M344="Cancelled",0,IF(P344&lt;&gt;"",MAX(0,P344-O344),IF(T344&lt;&gt;"None",MAX(1,O344-B344-2),0)))</f>
        <v>7</v>
      </c>
      <c r="S344" s="26" t="s">
        <v>310</v>
      </c>
      <c r="T344" s="27" t="s">
        <v>108</v>
      </c>
    </row>
    <row r="345" customFormat="false" ht="15" hidden="false" customHeight="false" outlineLevel="0" collapsed="false">
      <c r="A345" s="18" t="s">
        <v>996</v>
      </c>
      <c r="B345" s="25" t="n">
        <v>45949</v>
      </c>
      <c r="C345" s="18" t="s">
        <v>577</v>
      </c>
      <c r="D345" s="20" t="s">
        <v>997</v>
      </c>
      <c r="E345" s="18" t="s">
        <v>105</v>
      </c>
      <c r="F345" s="20" t="s">
        <v>80</v>
      </c>
      <c r="G345" s="18" t="s">
        <v>219</v>
      </c>
      <c r="H345" s="20" t="str">
        <f aca="false">VLOOKUP(G345,'Product Master'!$A$5:$K$104,2,FALSE())</f>
        <v>Pro Electronics Item 025</v>
      </c>
      <c r="I345" s="20" t="str">
        <f aca="false">VLOOKUP(G345,'Product Master'!$A$5:$K$104,3,FALSE())</f>
        <v>Electronics</v>
      </c>
      <c r="J345" s="17" t="n">
        <v>8</v>
      </c>
      <c r="K345" s="16" t="n">
        <v>9400.79</v>
      </c>
      <c r="L345" s="16" t="n">
        <f aca="false">J345*K345</f>
        <v>75206.32</v>
      </c>
      <c r="M345" s="18" t="s">
        <v>35</v>
      </c>
      <c r="N345" s="25" t="n">
        <v>45951</v>
      </c>
      <c r="O345" s="25" t="n">
        <v>45952</v>
      </c>
      <c r="P345" s="25" t="n">
        <v>45956</v>
      </c>
      <c r="Q345" s="17" t="n">
        <f aca="false">IF(P345&lt;&gt;"",MAX(1,P345-B345),IF(M345="Dispatched",MAX(1,O345-B345),0))</f>
        <v>7</v>
      </c>
      <c r="R345" s="17" t="n">
        <f aca="false">IF(M345="Cancelled",0,IF(P345&lt;&gt;"",MAX(0,P345-O345),IF(T345&lt;&gt;"None",MAX(1,O345-B345-2),0)))</f>
        <v>4</v>
      </c>
      <c r="S345" s="18" t="s">
        <v>310</v>
      </c>
      <c r="T345" s="20" t="s">
        <v>110</v>
      </c>
    </row>
    <row r="346" customFormat="false" ht="15" hidden="false" customHeight="false" outlineLevel="0" collapsed="false">
      <c r="A346" s="26" t="s">
        <v>998</v>
      </c>
      <c r="B346" s="34" t="n">
        <v>45959</v>
      </c>
      <c r="C346" s="26" t="s">
        <v>936</v>
      </c>
      <c r="D346" s="27" t="s">
        <v>708</v>
      </c>
      <c r="E346" s="26" t="s">
        <v>105</v>
      </c>
      <c r="F346" s="27" t="s">
        <v>79</v>
      </c>
      <c r="G346" s="26" t="s">
        <v>238</v>
      </c>
      <c r="H346" s="27" t="str">
        <f aca="false">VLOOKUP(G346,'Product Master'!$A$5:$K$104,2,FALSE())</f>
        <v>Essential Personal Item 044</v>
      </c>
      <c r="I346" s="27" t="str">
        <f aca="false">VLOOKUP(G346,'Product Master'!$A$5:$K$104,3,FALSE())</f>
        <v>Personal Care</v>
      </c>
      <c r="J346" s="28" t="n">
        <v>4</v>
      </c>
      <c r="K346" s="29" t="n">
        <v>958.86</v>
      </c>
      <c r="L346" s="29" t="n">
        <f aca="false">J346*K346</f>
        <v>3835.44</v>
      </c>
      <c r="M346" s="26" t="s">
        <v>35</v>
      </c>
      <c r="N346" s="34" t="n">
        <v>45960</v>
      </c>
      <c r="O346" s="34" t="n">
        <v>45968</v>
      </c>
      <c r="P346" s="34" t="n">
        <v>45968</v>
      </c>
      <c r="Q346" s="28" t="n">
        <f aca="false">IF(P346&lt;&gt;"",MAX(1,P346-B346),IF(M346="Dispatched",MAX(1,O346-B346),0))</f>
        <v>9</v>
      </c>
      <c r="R346" s="28" t="n">
        <f aca="false">IF(M346="Cancelled",0,IF(P346&lt;&gt;"",MAX(0,P346-O346),IF(T346&lt;&gt;"None",MAX(1,O346-B346-2),0)))</f>
        <v>0</v>
      </c>
      <c r="S346" s="26" t="s">
        <v>310</v>
      </c>
      <c r="T346" s="27" t="s">
        <v>317</v>
      </c>
    </row>
    <row r="347" customFormat="false" ht="15" hidden="false" customHeight="false" outlineLevel="0" collapsed="false">
      <c r="A347" s="18" t="s">
        <v>999</v>
      </c>
      <c r="B347" s="25" t="n">
        <v>46265</v>
      </c>
      <c r="C347" s="18" t="s">
        <v>618</v>
      </c>
      <c r="D347" s="20" t="s">
        <v>875</v>
      </c>
      <c r="E347" s="18" t="s">
        <v>111</v>
      </c>
      <c r="F347" s="20" t="s">
        <v>80</v>
      </c>
      <c r="G347" s="18" t="s">
        <v>197</v>
      </c>
      <c r="H347" s="20" t="str">
        <f aca="false">VLOOKUP(G347,'Product Master'!$A$5:$K$104,2,FALSE())</f>
        <v>Premium Office Item 003</v>
      </c>
      <c r="I347" s="20" t="str">
        <f aca="false">VLOOKUP(G347,'Product Master'!$A$5:$K$104,3,FALSE())</f>
        <v>Office Supplies</v>
      </c>
      <c r="J347" s="17" t="n">
        <v>2</v>
      </c>
      <c r="K347" s="16" t="n">
        <v>1653.15</v>
      </c>
      <c r="L347" s="16" t="n">
        <f aca="false">J347*K347</f>
        <v>3306.3</v>
      </c>
      <c r="M347" s="18" t="s">
        <v>35</v>
      </c>
      <c r="N347" s="25" t="n">
        <v>46265</v>
      </c>
      <c r="O347" s="25" t="n">
        <v>46269</v>
      </c>
      <c r="P347" s="25" t="n">
        <v>46268</v>
      </c>
      <c r="Q347" s="17" t="n">
        <f aca="false">IF(P347&lt;&gt;"",MAX(1,P347-B347),IF(M347="Dispatched",MAX(1,O347-B347),0))</f>
        <v>3</v>
      </c>
      <c r="R347" s="17" t="n">
        <f aca="false">IF(M347="Cancelled",0,IF(P347&lt;&gt;"",MAX(0,P347-O347),IF(T347&lt;&gt;"None",MAX(1,O347-B347-2),0)))</f>
        <v>0</v>
      </c>
      <c r="S347" s="18" t="s">
        <v>37</v>
      </c>
      <c r="T347" s="20" t="s">
        <v>317</v>
      </c>
    </row>
    <row r="348" customFormat="false" ht="15" hidden="false" customHeight="false" outlineLevel="0" collapsed="false">
      <c r="A348" s="26" t="s">
        <v>1000</v>
      </c>
      <c r="B348" s="34" t="n">
        <v>45980</v>
      </c>
      <c r="C348" s="26" t="s">
        <v>363</v>
      </c>
      <c r="D348" s="27" t="s">
        <v>1001</v>
      </c>
      <c r="E348" s="26" t="s">
        <v>113</v>
      </c>
      <c r="F348" s="27" t="s">
        <v>77</v>
      </c>
      <c r="G348" s="26" t="s">
        <v>253</v>
      </c>
      <c r="H348" s="27" t="str">
        <f aca="false">VLOOKUP(G348,'Product Master'!$A$5:$K$104,2,FALSE())</f>
        <v>Eco Office Item 059</v>
      </c>
      <c r="I348" s="27" t="str">
        <f aca="false">VLOOKUP(G348,'Product Master'!$A$5:$K$104,3,FALSE())</f>
        <v>Office Supplies</v>
      </c>
      <c r="J348" s="28" t="n">
        <v>19</v>
      </c>
      <c r="K348" s="29" t="n">
        <v>348.69</v>
      </c>
      <c r="L348" s="29" t="n">
        <f aca="false">J348*K348</f>
        <v>6625.11</v>
      </c>
      <c r="M348" s="26" t="s">
        <v>35</v>
      </c>
      <c r="N348" s="34" t="n">
        <v>45980</v>
      </c>
      <c r="O348" s="34" t="n">
        <v>45983</v>
      </c>
      <c r="P348" s="34" t="n">
        <v>45987</v>
      </c>
      <c r="Q348" s="28" t="n">
        <f aca="false">IF(P348&lt;&gt;"",MAX(1,P348-B348),IF(M348="Dispatched",MAX(1,O348-B348),0))</f>
        <v>7</v>
      </c>
      <c r="R348" s="28" t="n">
        <f aca="false">IF(M348="Cancelled",0,IF(P348&lt;&gt;"",MAX(0,P348-O348),IF(T348&lt;&gt;"None",MAX(1,O348-B348-2),0)))</f>
        <v>4</v>
      </c>
      <c r="S348" s="26" t="s">
        <v>37</v>
      </c>
      <c r="T348" s="27" t="s">
        <v>110</v>
      </c>
    </row>
    <row r="349" customFormat="false" ht="15" hidden="false" customHeight="false" outlineLevel="0" collapsed="false">
      <c r="A349" s="18" t="s">
        <v>1002</v>
      </c>
      <c r="B349" s="25" t="n">
        <v>46149</v>
      </c>
      <c r="C349" s="18" t="s">
        <v>380</v>
      </c>
      <c r="D349" s="20" t="s">
        <v>473</v>
      </c>
      <c r="E349" s="18" t="s">
        <v>111</v>
      </c>
      <c r="F349" s="20" t="s">
        <v>78</v>
      </c>
      <c r="G349" s="18" t="s">
        <v>238</v>
      </c>
      <c r="H349" s="20" t="str">
        <f aca="false">VLOOKUP(G349,'Product Master'!$A$5:$K$104,2,FALSE())</f>
        <v>Essential Personal Item 044</v>
      </c>
      <c r="I349" s="20" t="str">
        <f aca="false">VLOOKUP(G349,'Product Master'!$A$5:$K$104,3,FALSE())</f>
        <v>Personal Care</v>
      </c>
      <c r="J349" s="17" t="n">
        <v>4</v>
      </c>
      <c r="K349" s="16" t="n">
        <v>958.86</v>
      </c>
      <c r="L349" s="16" t="n">
        <f aca="false">J349*K349</f>
        <v>3835.44</v>
      </c>
      <c r="M349" s="18" t="s">
        <v>43</v>
      </c>
      <c r="N349" s="25"/>
      <c r="O349" s="25" t="n">
        <v>46153</v>
      </c>
      <c r="P349" s="25"/>
      <c r="Q349" s="17" t="n">
        <f aca="false">IF(P349&lt;&gt;"",MAX(1,P349-B349),IF(M349="Dispatched",MAX(1,O349-B349),0))</f>
        <v>0</v>
      </c>
      <c r="R349" s="17" t="n">
        <f aca="false">IF(M349="Cancelled",0,IF(P349&lt;&gt;"",MAX(0,P349-O349),IF(T349&lt;&gt;"None",MAX(1,O349-B349-2),0)))</f>
        <v>0</v>
      </c>
      <c r="S349" s="18" t="s">
        <v>310</v>
      </c>
      <c r="T349" s="20" t="s">
        <v>411</v>
      </c>
    </row>
    <row r="350" customFormat="false" ht="15" hidden="false" customHeight="false" outlineLevel="0" collapsed="false">
      <c r="A350" s="26" t="s">
        <v>1003</v>
      </c>
      <c r="B350" s="34" t="n">
        <v>46019</v>
      </c>
      <c r="C350" s="26" t="s">
        <v>429</v>
      </c>
      <c r="D350" s="27" t="s">
        <v>1004</v>
      </c>
      <c r="E350" s="26" t="s">
        <v>105</v>
      </c>
      <c r="F350" s="27" t="s">
        <v>76</v>
      </c>
      <c r="G350" s="26" t="s">
        <v>237</v>
      </c>
      <c r="H350" s="27" t="str">
        <f aca="false">VLOOKUP(G350,'Product Master'!$A$5:$K$104,2,FALSE())</f>
        <v>Eco Office Item 043</v>
      </c>
      <c r="I350" s="27" t="str">
        <f aca="false">VLOOKUP(G350,'Product Master'!$A$5:$K$104,3,FALSE())</f>
        <v>Office Supplies</v>
      </c>
      <c r="J350" s="28" t="n">
        <v>9</v>
      </c>
      <c r="K350" s="29" t="n">
        <v>2525.48</v>
      </c>
      <c r="L350" s="29" t="n">
        <f aca="false">J350*K350</f>
        <v>22729.32</v>
      </c>
      <c r="M350" s="26" t="s">
        <v>35</v>
      </c>
      <c r="N350" s="34" t="n">
        <v>46020</v>
      </c>
      <c r="O350" s="34" t="n">
        <v>46027</v>
      </c>
      <c r="P350" s="34" t="n">
        <v>46028</v>
      </c>
      <c r="Q350" s="28" t="n">
        <f aca="false">IF(P350&lt;&gt;"",MAX(1,P350-B350),IF(M350="Dispatched",MAX(1,O350-B350),0))</f>
        <v>9</v>
      </c>
      <c r="R350" s="28" t="n">
        <f aca="false">IF(M350="Cancelled",0,IF(P350&lt;&gt;"",MAX(0,P350-O350),IF(T350&lt;&gt;"None",MAX(1,O350-B350-2),0)))</f>
        <v>1</v>
      </c>
      <c r="S350" s="26" t="s">
        <v>352</v>
      </c>
      <c r="T350" s="27" t="s">
        <v>110</v>
      </c>
    </row>
    <row r="351" customFormat="false" ht="15" hidden="false" customHeight="false" outlineLevel="0" collapsed="false">
      <c r="A351" s="18" t="s">
        <v>1005</v>
      </c>
      <c r="B351" s="25" t="n">
        <v>45951</v>
      </c>
      <c r="C351" s="18" t="s">
        <v>565</v>
      </c>
      <c r="D351" s="20" t="s">
        <v>630</v>
      </c>
      <c r="E351" s="18" t="s">
        <v>105</v>
      </c>
      <c r="F351" s="20" t="s">
        <v>80</v>
      </c>
      <c r="G351" s="18" t="s">
        <v>212</v>
      </c>
      <c r="H351" s="20" t="str">
        <f aca="false">VLOOKUP(G351,'Product Master'!$A$5:$K$104,2,FALSE())</f>
        <v>Smart Home Item 018</v>
      </c>
      <c r="I351" s="20" t="str">
        <f aca="false">VLOOKUP(G351,'Product Master'!$A$5:$K$104,3,FALSE())</f>
        <v>Home &amp; Kitchen</v>
      </c>
      <c r="J351" s="17" t="n">
        <v>13</v>
      </c>
      <c r="K351" s="16" t="n">
        <v>5693.61</v>
      </c>
      <c r="L351" s="16" t="n">
        <f aca="false">J351*K351</f>
        <v>74016.93</v>
      </c>
      <c r="M351" s="18" t="s">
        <v>39</v>
      </c>
      <c r="N351" s="25"/>
      <c r="O351" s="25" t="n">
        <v>45953</v>
      </c>
      <c r="P351" s="25"/>
      <c r="Q351" s="17" t="n">
        <f aca="false">IF(P351&lt;&gt;"",MAX(1,P351-B351),IF(M351="Dispatched",MAX(1,O351-B351),0))</f>
        <v>0</v>
      </c>
      <c r="R351" s="17" t="n">
        <f aca="false">IF(M351="Cancelled",0,IF(P351&lt;&gt;"",MAX(0,P351-O351),IF(T351&lt;&gt;"None",MAX(1,O351-B351-2),0)))</f>
        <v>0</v>
      </c>
      <c r="S351" s="18" t="s">
        <v>310</v>
      </c>
      <c r="T351" s="20" t="s">
        <v>317</v>
      </c>
    </row>
    <row r="352" customFormat="false" ht="15" hidden="false" customHeight="false" outlineLevel="0" collapsed="false">
      <c r="A352" s="26" t="s">
        <v>1006</v>
      </c>
      <c r="B352" s="34" t="n">
        <v>45976</v>
      </c>
      <c r="C352" s="26" t="s">
        <v>1007</v>
      </c>
      <c r="D352" s="27" t="s">
        <v>1008</v>
      </c>
      <c r="E352" s="26" t="s">
        <v>113</v>
      </c>
      <c r="F352" s="27" t="s">
        <v>78</v>
      </c>
      <c r="G352" s="26" t="s">
        <v>285</v>
      </c>
      <c r="H352" s="27" t="str">
        <f aca="false">VLOOKUP(G352,'Product Master'!$A$5:$K$104,2,FALSE())</f>
        <v>Premium Office Item 091</v>
      </c>
      <c r="I352" s="27" t="str">
        <f aca="false">VLOOKUP(G352,'Product Master'!$A$5:$K$104,3,FALSE())</f>
        <v>Office Supplies</v>
      </c>
      <c r="J352" s="28" t="n">
        <v>14</v>
      </c>
      <c r="K352" s="29" t="n">
        <v>6977.08</v>
      </c>
      <c r="L352" s="29" t="n">
        <f aca="false">J352*K352</f>
        <v>97679.12</v>
      </c>
      <c r="M352" s="26" t="s">
        <v>37</v>
      </c>
      <c r="N352" s="34"/>
      <c r="O352" s="34" t="n">
        <v>45985</v>
      </c>
      <c r="P352" s="34"/>
      <c r="Q352" s="28" t="n">
        <f aca="false">IF(P352&lt;&gt;"",MAX(1,P352-B352),IF(M352="Dispatched",MAX(1,O352-B352),0))</f>
        <v>0</v>
      </c>
      <c r="R352" s="28" t="n">
        <f aca="false">IF(M352="Cancelled",0,IF(P352&lt;&gt;"",MAX(0,P352-O352),IF(T352&lt;&gt;"None",MAX(1,O352-B352-2),0)))</f>
        <v>7</v>
      </c>
      <c r="S352" s="26" t="s">
        <v>310</v>
      </c>
      <c r="T352" s="27" t="s">
        <v>106</v>
      </c>
    </row>
    <row r="353" customFormat="false" ht="15" hidden="false" customHeight="false" outlineLevel="0" collapsed="false">
      <c r="A353" s="18" t="s">
        <v>1009</v>
      </c>
      <c r="B353" s="25" t="n">
        <v>46198</v>
      </c>
      <c r="C353" s="18" t="s">
        <v>716</v>
      </c>
      <c r="D353" s="20" t="s">
        <v>1010</v>
      </c>
      <c r="E353" s="18" t="s">
        <v>111</v>
      </c>
      <c r="F353" s="20" t="s">
        <v>77</v>
      </c>
      <c r="G353" s="18" t="s">
        <v>252</v>
      </c>
      <c r="H353" s="20" t="str">
        <f aca="false">VLOOKUP(G353,'Product Master'!$A$5:$K$104,2,FALSE())</f>
        <v>Pro Home Item 058</v>
      </c>
      <c r="I353" s="20" t="str">
        <f aca="false">VLOOKUP(G353,'Product Master'!$A$5:$K$104,3,FALSE())</f>
        <v>Home &amp; Kitchen</v>
      </c>
      <c r="J353" s="17" t="n">
        <v>6</v>
      </c>
      <c r="K353" s="16" t="n">
        <v>5080.54</v>
      </c>
      <c r="L353" s="16" t="n">
        <f aca="false">J353*K353</f>
        <v>30483.24</v>
      </c>
      <c r="M353" s="18" t="s">
        <v>37</v>
      </c>
      <c r="N353" s="25"/>
      <c r="O353" s="25" t="n">
        <v>46200</v>
      </c>
      <c r="P353" s="25"/>
      <c r="Q353" s="17" t="n">
        <f aca="false">IF(P353&lt;&gt;"",MAX(1,P353-B353),IF(M353="Dispatched",MAX(1,O353-B353),0))</f>
        <v>0</v>
      </c>
      <c r="R353" s="17" t="n">
        <f aca="false">IF(M353="Cancelled",0,IF(P353&lt;&gt;"",MAX(0,P353-O353),IF(T353&lt;&gt;"None",MAX(1,O353-B353-2),0)))</f>
        <v>0</v>
      </c>
      <c r="S353" s="18" t="s">
        <v>339</v>
      </c>
      <c r="T353" s="20" t="s">
        <v>317</v>
      </c>
    </row>
    <row r="354" customFormat="false" ht="15" hidden="false" customHeight="false" outlineLevel="0" collapsed="false">
      <c r="A354" s="26" t="s">
        <v>1011</v>
      </c>
      <c r="B354" s="34" t="n">
        <v>46252</v>
      </c>
      <c r="C354" s="26" t="s">
        <v>806</v>
      </c>
      <c r="D354" s="27" t="s">
        <v>591</v>
      </c>
      <c r="E354" s="26" t="s">
        <v>109</v>
      </c>
      <c r="F354" s="27" t="s">
        <v>79</v>
      </c>
      <c r="G354" s="26" t="s">
        <v>233</v>
      </c>
      <c r="H354" s="27" t="str">
        <f aca="false">VLOOKUP(G354,'Product Master'!$A$5:$K$104,2,FALSE())</f>
        <v>Eco Apparel Item 039</v>
      </c>
      <c r="I354" s="27" t="str">
        <f aca="false">VLOOKUP(G354,'Product Master'!$A$5:$K$104,3,FALSE())</f>
        <v>Apparel</v>
      </c>
      <c r="J354" s="28" t="n">
        <v>1</v>
      </c>
      <c r="K354" s="29" t="n">
        <v>3575.06</v>
      </c>
      <c r="L354" s="29" t="n">
        <f aca="false">J354*K354</f>
        <v>3575.06</v>
      </c>
      <c r="M354" s="26" t="s">
        <v>35</v>
      </c>
      <c r="N354" s="34" t="n">
        <v>46252</v>
      </c>
      <c r="O354" s="34" t="n">
        <v>46257</v>
      </c>
      <c r="P354" s="34" t="n">
        <v>46265</v>
      </c>
      <c r="Q354" s="28" t="n">
        <f aca="false">IF(P354&lt;&gt;"",MAX(1,P354-B354),IF(M354="Dispatched",MAX(1,O354-B354),0))</f>
        <v>13</v>
      </c>
      <c r="R354" s="28" t="n">
        <f aca="false">IF(M354="Cancelled",0,IF(P354&lt;&gt;"",MAX(0,P354-O354),IF(T354&lt;&gt;"None",MAX(1,O354-B354-2),0)))</f>
        <v>8</v>
      </c>
      <c r="S354" s="26" t="s">
        <v>37</v>
      </c>
      <c r="T354" s="27" t="s">
        <v>115</v>
      </c>
    </row>
    <row r="355" customFormat="false" ht="15" hidden="false" customHeight="false" outlineLevel="0" collapsed="false">
      <c r="A355" s="18" t="s">
        <v>1012</v>
      </c>
      <c r="B355" s="25" t="n">
        <v>46207</v>
      </c>
      <c r="C355" s="18" t="s">
        <v>964</v>
      </c>
      <c r="D355" s="20" t="s">
        <v>838</v>
      </c>
      <c r="E355" s="18" t="s">
        <v>107</v>
      </c>
      <c r="F355" s="20" t="s">
        <v>79</v>
      </c>
      <c r="G355" s="18" t="s">
        <v>259</v>
      </c>
      <c r="H355" s="20" t="str">
        <f aca="false">VLOOKUP(G355,'Product Master'!$A$5:$K$104,2,FALSE())</f>
        <v>Compact Electronics Item 065</v>
      </c>
      <c r="I355" s="20" t="str">
        <f aca="false">VLOOKUP(G355,'Product Master'!$A$5:$K$104,3,FALSE())</f>
        <v>Electronics</v>
      </c>
      <c r="J355" s="17" t="n">
        <v>25</v>
      </c>
      <c r="K355" s="16" t="n">
        <v>7172.77</v>
      </c>
      <c r="L355" s="16" t="n">
        <f aca="false">J355*K355</f>
        <v>179319.25</v>
      </c>
      <c r="M355" s="18" t="s">
        <v>37</v>
      </c>
      <c r="N355" s="25"/>
      <c r="O355" s="25" t="n">
        <v>46212</v>
      </c>
      <c r="P355" s="25"/>
      <c r="Q355" s="17" t="n">
        <f aca="false">IF(P355&lt;&gt;"",MAX(1,P355-B355),IF(M355="Dispatched",MAX(1,O355-B355),0))</f>
        <v>0</v>
      </c>
      <c r="R355" s="17" t="n">
        <f aca="false">IF(M355="Cancelled",0,IF(P355&lt;&gt;"",MAX(0,P355-O355),IF(T355&lt;&gt;"None",MAX(1,O355-B355-2),0)))</f>
        <v>0</v>
      </c>
      <c r="S355" s="18" t="s">
        <v>37</v>
      </c>
      <c r="T355" s="20" t="s">
        <v>317</v>
      </c>
    </row>
    <row r="356" customFormat="false" ht="15" hidden="false" customHeight="false" outlineLevel="0" collapsed="false">
      <c r="A356" s="26" t="s">
        <v>1013</v>
      </c>
      <c r="B356" s="34" t="n">
        <v>46281</v>
      </c>
      <c r="C356" s="26" t="s">
        <v>347</v>
      </c>
      <c r="D356" s="27" t="s">
        <v>448</v>
      </c>
      <c r="E356" s="26" t="s">
        <v>111</v>
      </c>
      <c r="F356" s="27" t="s">
        <v>77</v>
      </c>
      <c r="G356" s="26" t="s">
        <v>255</v>
      </c>
      <c r="H356" s="27" t="str">
        <f aca="false">VLOOKUP(G356,'Product Master'!$A$5:$K$104,2,FALSE())</f>
        <v>Pro Industrial Item 061</v>
      </c>
      <c r="I356" s="27" t="str">
        <f aca="false">VLOOKUP(G356,'Product Master'!$A$5:$K$104,3,FALSE())</f>
        <v>Industrial</v>
      </c>
      <c r="J356" s="28" t="n">
        <v>6</v>
      </c>
      <c r="K356" s="29" t="n">
        <v>5193.69</v>
      </c>
      <c r="L356" s="29" t="n">
        <f aca="false">J356*K356</f>
        <v>31162.14</v>
      </c>
      <c r="M356" s="26" t="s">
        <v>37</v>
      </c>
      <c r="N356" s="34"/>
      <c r="O356" s="34" t="n">
        <v>46283</v>
      </c>
      <c r="P356" s="34"/>
      <c r="Q356" s="28" t="n">
        <f aca="false">IF(P356&lt;&gt;"",MAX(1,P356-B356),IF(M356="Dispatched",MAX(1,O356-B356),0))</f>
        <v>0</v>
      </c>
      <c r="R356" s="28" t="n">
        <f aca="false">IF(M356="Cancelled",0,IF(P356&lt;&gt;"",MAX(0,P356-O356),IF(T356&lt;&gt;"None",MAX(1,O356-B356-2),0)))</f>
        <v>1</v>
      </c>
      <c r="S356" s="26" t="s">
        <v>310</v>
      </c>
      <c r="T356" s="27" t="s">
        <v>108</v>
      </c>
    </row>
    <row r="357" customFormat="false" ht="15" hidden="false" customHeight="false" outlineLevel="0" collapsed="false">
      <c r="A357" s="18" t="s">
        <v>1014</v>
      </c>
      <c r="B357" s="25" t="n">
        <v>46059</v>
      </c>
      <c r="C357" s="18" t="s">
        <v>550</v>
      </c>
      <c r="D357" s="20" t="s">
        <v>711</v>
      </c>
      <c r="E357" s="18" t="s">
        <v>113</v>
      </c>
      <c r="F357" s="20" t="s">
        <v>79</v>
      </c>
      <c r="G357" s="18" t="s">
        <v>237</v>
      </c>
      <c r="H357" s="20" t="str">
        <f aca="false">VLOOKUP(G357,'Product Master'!$A$5:$K$104,2,FALSE())</f>
        <v>Eco Office Item 043</v>
      </c>
      <c r="I357" s="20" t="str">
        <f aca="false">VLOOKUP(G357,'Product Master'!$A$5:$K$104,3,FALSE())</f>
        <v>Office Supplies</v>
      </c>
      <c r="J357" s="17" t="n">
        <v>2</v>
      </c>
      <c r="K357" s="16" t="n">
        <v>2525.48</v>
      </c>
      <c r="L357" s="16" t="n">
        <f aca="false">J357*K357</f>
        <v>5050.96</v>
      </c>
      <c r="M357" s="18" t="s">
        <v>35</v>
      </c>
      <c r="N357" s="25" t="n">
        <v>46060</v>
      </c>
      <c r="O357" s="25" t="n">
        <v>46061</v>
      </c>
      <c r="P357" s="25" t="n">
        <v>46060</v>
      </c>
      <c r="Q357" s="17" t="n">
        <f aca="false">IF(P357&lt;&gt;"",MAX(1,P357-B357),IF(M357="Dispatched",MAX(1,O357-B357),0))</f>
        <v>1</v>
      </c>
      <c r="R357" s="17" t="n">
        <f aca="false">IF(M357="Cancelled",0,IF(P357&lt;&gt;"",MAX(0,P357-O357),IF(T357&lt;&gt;"None",MAX(1,O357-B357-2),0)))</f>
        <v>0</v>
      </c>
      <c r="S357" s="18" t="s">
        <v>310</v>
      </c>
      <c r="T357" s="20" t="s">
        <v>317</v>
      </c>
    </row>
    <row r="358" customFormat="false" ht="15" hidden="false" customHeight="false" outlineLevel="0" collapsed="false">
      <c r="A358" s="26" t="s">
        <v>1015</v>
      </c>
      <c r="B358" s="34" t="n">
        <v>45967</v>
      </c>
      <c r="C358" s="26" t="s">
        <v>784</v>
      </c>
      <c r="D358" s="27" t="s">
        <v>544</v>
      </c>
      <c r="E358" s="26" t="s">
        <v>111</v>
      </c>
      <c r="F358" s="27" t="s">
        <v>80</v>
      </c>
      <c r="G358" s="26" t="s">
        <v>225</v>
      </c>
      <c r="H358" s="27" t="str">
        <f aca="false">VLOOKUP(G358,'Product Master'!$A$5:$K$104,2,FALSE())</f>
        <v>Essential Apparel Item 031</v>
      </c>
      <c r="I358" s="27" t="str">
        <f aca="false">VLOOKUP(G358,'Product Master'!$A$5:$K$104,3,FALSE())</f>
        <v>Apparel</v>
      </c>
      <c r="J358" s="28" t="n">
        <v>19</v>
      </c>
      <c r="K358" s="29" t="n">
        <v>11597.85</v>
      </c>
      <c r="L358" s="29" t="n">
        <f aca="false">J358*K358</f>
        <v>220359.15</v>
      </c>
      <c r="M358" s="26" t="s">
        <v>35</v>
      </c>
      <c r="N358" s="34" t="n">
        <v>45969</v>
      </c>
      <c r="O358" s="34" t="n">
        <v>45972</v>
      </c>
      <c r="P358" s="34" t="n">
        <v>45972</v>
      </c>
      <c r="Q358" s="28" t="n">
        <f aca="false">IF(P358&lt;&gt;"",MAX(1,P358-B358),IF(M358="Dispatched",MAX(1,O358-B358),0))</f>
        <v>5</v>
      </c>
      <c r="R358" s="28" t="n">
        <f aca="false">IF(M358="Cancelled",0,IF(P358&lt;&gt;"",MAX(0,P358-O358),IF(T358&lt;&gt;"None",MAX(1,O358-B358-2),0)))</f>
        <v>0</v>
      </c>
      <c r="S358" s="26" t="s">
        <v>310</v>
      </c>
      <c r="T358" s="27" t="s">
        <v>317</v>
      </c>
    </row>
    <row r="359" customFormat="false" ht="15" hidden="false" customHeight="false" outlineLevel="0" collapsed="false">
      <c r="A359" s="18" t="s">
        <v>1016</v>
      </c>
      <c r="B359" s="25" t="n">
        <v>46052</v>
      </c>
      <c r="C359" s="18" t="s">
        <v>707</v>
      </c>
      <c r="D359" s="20" t="s">
        <v>539</v>
      </c>
      <c r="E359" s="18" t="s">
        <v>111</v>
      </c>
      <c r="F359" s="20" t="s">
        <v>77</v>
      </c>
      <c r="G359" s="18" t="s">
        <v>289</v>
      </c>
      <c r="H359" s="20" t="str">
        <f aca="false">VLOOKUP(G359,'Product Master'!$A$5:$K$104,2,FALSE())</f>
        <v>Eco Apparel Item 095</v>
      </c>
      <c r="I359" s="20" t="str">
        <f aca="false">VLOOKUP(G359,'Product Master'!$A$5:$K$104,3,FALSE())</f>
        <v>Apparel</v>
      </c>
      <c r="J359" s="17" t="n">
        <v>13</v>
      </c>
      <c r="K359" s="16" t="n">
        <v>2884.81</v>
      </c>
      <c r="L359" s="16" t="n">
        <f aca="false">J359*K359</f>
        <v>37502.53</v>
      </c>
      <c r="M359" s="18" t="s">
        <v>41</v>
      </c>
      <c r="N359" s="25" t="n">
        <v>46055</v>
      </c>
      <c r="O359" s="25" t="n">
        <v>46059</v>
      </c>
      <c r="P359" s="25"/>
      <c r="Q359" s="17" t="n">
        <f aca="false">IF(P359&lt;&gt;"",MAX(1,P359-B359),IF(M359="Dispatched",MAX(1,O359-B359),0))</f>
        <v>7</v>
      </c>
      <c r="R359" s="17" t="n">
        <f aca="false">IF(M359="Cancelled",0,IF(P359&lt;&gt;"",MAX(0,P359-O359),IF(T359&lt;&gt;"None",MAX(1,O359-B359-2),0)))</f>
        <v>0</v>
      </c>
      <c r="S359" s="18" t="s">
        <v>352</v>
      </c>
      <c r="T359" s="20" t="s">
        <v>317</v>
      </c>
    </row>
    <row r="360" customFormat="false" ht="15" hidden="false" customHeight="false" outlineLevel="0" collapsed="false">
      <c r="A360" s="26" t="s">
        <v>1017</v>
      </c>
      <c r="B360" s="34" t="n">
        <v>46005</v>
      </c>
      <c r="C360" s="26" t="s">
        <v>618</v>
      </c>
      <c r="D360" s="27" t="s">
        <v>448</v>
      </c>
      <c r="E360" s="26" t="s">
        <v>113</v>
      </c>
      <c r="F360" s="27" t="s">
        <v>79</v>
      </c>
      <c r="G360" s="26" t="s">
        <v>222</v>
      </c>
      <c r="H360" s="27" t="str">
        <f aca="false">VLOOKUP(G360,'Product Master'!$A$5:$K$104,2,FALSE())</f>
        <v>Pro Personal Item 028</v>
      </c>
      <c r="I360" s="27" t="str">
        <f aca="false">VLOOKUP(G360,'Product Master'!$A$5:$K$104,3,FALSE())</f>
        <v>Personal Care</v>
      </c>
      <c r="J360" s="28" t="n">
        <v>6</v>
      </c>
      <c r="K360" s="29" t="n">
        <v>2131.21</v>
      </c>
      <c r="L360" s="29" t="n">
        <f aca="false">J360*K360</f>
        <v>12787.26</v>
      </c>
      <c r="M360" s="26" t="s">
        <v>35</v>
      </c>
      <c r="N360" s="34" t="n">
        <v>46008</v>
      </c>
      <c r="O360" s="34" t="n">
        <v>46009</v>
      </c>
      <c r="P360" s="34" t="n">
        <v>46009</v>
      </c>
      <c r="Q360" s="28" t="n">
        <f aca="false">IF(P360&lt;&gt;"",MAX(1,P360-B360),IF(M360="Dispatched",MAX(1,O360-B360),0))</f>
        <v>4</v>
      </c>
      <c r="R360" s="28" t="n">
        <f aca="false">IF(M360="Cancelled",0,IF(P360&lt;&gt;"",MAX(0,P360-O360),IF(T360&lt;&gt;"None",MAX(1,O360-B360-2),0)))</f>
        <v>0</v>
      </c>
      <c r="S360" s="26" t="s">
        <v>310</v>
      </c>
      <c r="T360" s="27" t="s">
        <v>317</v>
      </c>
    </row>
    <row r="361" customFormat="false" ht="15" hidden="false" customHeight="false" outlineLevel="0" collapsed="false">
      <c r="A361" s="18" t="s">
        <v>1018</v>
      </c>
      <c r="B361" s="25" t="n">
        <v>45996</v>
      </c>
      <c r="C361" s="18" t="s">
        <v>590</v>
      </c>
      <c r="D361" s="20" t="s">
        <v>326</v>
      </c>
      <c r="E361" s="18" t="s">
        <v>113</v>
      </c>
      <c r="F361" s="20" t="s">
        <v>76</v>
      </c>
      <c r="G361" s="18" t="s">
        <v>199</v>
      </c>
      <c r="H361" s="20" t="str">
        <f aca="false">VLOOKUP(G361,'Product Master'!$A$5:$K$104,2,FALSE())</f>
        <v>Everyday Industrial Item 005</v>
      </c>
      <c r="I361" s="20" t="str">
        <f aca="false">VLOOKUP(G361,'Product Master'!$A$5:$K$104,3,FALSE())</f>
        <v>Industrial</v>
      </c>
      <c r="J361" s="17" t="n">
        <v>9</v>
      </c>
      <c r="K361" s="16" t="n">
        <v>1573.69</v>
      </c>
      <c r="L361" s="16" t="n">
        <f aca="false">J361*K361</f>
        <v>14163.21</v>
      </c>
      <c r="M361" s="18" t="s">
        <v>35</v>
      </c>
      <c r="N361" s="25" t="n">
        <v>45999</v>
      </c>
      <c r="O361" s="25" t="n">
        <v>46005</v>
      </c>
      <c r="P361" s="25" t="n">
        <v>46007</v>
      </c>
      <c r="Q361" s="17" t="n">
        <f aca="false">IF(P361&lt;&gt;"",MAX(1,P361-B361),IF(M361="Dispatched",MAX(1,O361-B361),0))</f>
        <v>11</v>
      </c>
      <c r="R361" s="17" t="n">
        <f aca="false">IF(M361="Cancelled",0,IF(P361&lt;&gt;"",MAX(0,P361-O361),IF(T361&lt;&gt;"None",MAX(1,O361-B361-2),0)))</f>
        <v>2</v>
      </c>
      <c r="S361" s="18" t="s">
        <v>352</v>
      </c>
      <c r="T361" s="20" t="s">
        <v>106</v>
      </c>
    </row>
    <row r="362" customFormat="false" ht="15" hidden="false" customHeight="false" outlineLevel="0" collapsed="false">
      <c r="A362" s="26" t="s">
        <v>1019</v>
      </c>
      <c r="B362" s="34" t="n">
        <v>46240</v>
      </c>
      <c r="C362" s="26" t="s">
        <v>369</v>
      </c>
      <c r="D362" s="27" t="s">
        <v>521</v>
      </c>
      <c r="E362" s="26" t="s">
        <v>113</v>
      </c>
      <c r="F362" s="27" t="s">
        <v>77</v>
      </c>
      <c r="G362" s="26" t="s">
        <v>215</v>
      </c>
      <c r="H362" s="27" t="str">
        <f aca="false">VLOOKUP(G362,'Product Master'!$A$5:$K$104,2,FALSE())</f>
        <v>Eco Industrial Item 021</v>
      </c>
      <c r="I362" s="27" t="str">
        <f aca="false">VLOOKUP(G362,'Product Master'!$A$5:$K$104,3,FALSE())</f>
        <v>Industrial</v>
      </c>
      <c r="J362" s="28" t="n">
        <v>19</v>
      </c>
      <c r="K362" s="29" t="n">
        <v>2056.91</v>
      </c>
      <c r="L362" s="29" t="n">
        <f aca="false">J362*K362</f>
        <v>39081.29</v>
      </c>
      <c r="M362" s="26" t="s">
        <v>43</v>
      </c>
      <c r="N362" s="34"/>
      <c r="O362" s="34" t="n">
        <v>46245</v>
      </c>
      <c r="P362" s="34"/>
      <c r="Q362" s="28" t="n">
        <f aca="false">IF(P362&lt;&gt;"",MAX(1,P362-B362),IF(M362="Dispatched",MAX(1,O362-B362),0))</f>
        <v>0</v>
      </c>
      <c r="R362" s="28" t="n">
        <f aca="false">IF(M362="Cancelled",0,IF(P362&lt;&gt;"",MAX(0,P362-O362),IF(T362&lt;&gt;"None",MAX(1,O362-B362-2),0)))</f>
        <v>0</v>
      </c>
      <c r="S362" s="26" t="s">
        <v>310</v>
      </c>
      <c r="T362" s="27" t="s">
        <v>411</v>
      </c>
    </row>
    <row r="363" customFormat="false" ht="15" hidden="false" customHeight="false" outlineLevel="0" collapsed="false">
      <c r="A363" s="18" t="s">
        <v>1020</v>
      </c>
      <c r="B363" s="25" t="n">
        <v>46041</v>
      </c>
      <c r="C363" s="18" t="s">
        <v>1021</v>
      </c>
      <c r="D363" s="20" t="s">
        <v>744</v>
      </c>
      <c r="E363" s="18" t="s">
        <v>111</v>
      </c>
      <c r="F363" s="20" t="s">
        <v>79</v>
      </c>
      <c r="G363" s="18" t="s">
        <v>270</v>
      </c>
      <c r="H363" s="20" t="str">
        <f aca="false">VLOOKUP(G363,'Product Master'!$A$5:$K$104,2,FALSE())</f>
        <v>Everyday Personal Item 076</v>
      </c>
      <c r="I363" s="20" t="str">
        <f aca="false">VLOOKUP(G363,'Product Master'!$A$5:$K$104,3,FALSE())</f>
        <v>Personal Care</v>
      </c>
      <c r="J363" s="17" t="n">
        <v>9</v>
      </c>
      <c r="K363" s="16" t="n">
        <v>9870.63</v>
      </c>
      <c r="L363" s="16" t="n">
        <f aca="false">J363*K363</f>
        <v>88835.67</v>
      </c>
      <c r="M363" s="18" t="s">
        <v>35</v>
      </c>
      <c r="N363" s="25" t="n">
        <v>46042</v>
      </c>
      <c r="O363" s="25" t="n">
        <v>46049</v>
      </c>
      <c r="P363" s="25" t="n">
        <v>46049</v>
      </c>
      <c r="Q363" s="17" t="n">
        <f aca="false">IF(P363&lt;&gt;"",MAX(1,P363-B363),IF(M363="Dispatched",MAX(1,O363-B363),0))</f>
        <v>8</v>
      </c>
      <c r="R363" s="17" t="n">
        <f aca="false">IF(M363="Cancelled",0,IF(P363&lt;&gt;"",MAX(0,P363-O363),IF(T363&lt;&gt;"None",MAX(1,O363-B363-2),0)))</f>
        <v>0</v>
      </c>
      <c r="S363" s="18" t="s">
        <v>310</v>
      </c>
      <c r="T363" s="20" t="s">
        <v>317</v>
      </c>
    </row>
    <row r="364" customFormat="false" ht="15" hidden="false" customHeight="false" outlineLevel="0" collapsed="false">
      <c r="A364" s="26" t="s">
        <v>1022</v>
      </c>
      <c r="B364" s="34" t="n">
        <v>46233</v>
      </c>
      <c r="C364" s="26" t="s">
        <v>614</v>
      </c>
      <c r="D364" s="27" t="s">
        <v>490</v>
      </c>
      <c r="E364" s="26" t="s">
        <v>113</v>
      </c>
      <c r="F364" s="27" t="s">
        <v>76</v>
      </c>
      <c r="G364" s="26" t="s">
        <v>214</v>
      </c>
      <c r="H364" s="27" t="str">
        <f aca="false">VLOOKUP(G364,'Product Master'!$A$5:$K$104,2,FALSE())</f>
        <v>Eco Personal Item 020</v>
      </c>
      <c r="I364" s="27" t="str">
        <f aca="false">VLOOKUP(G364,'Product Master'!$A$5:$K$104,3,FALSE())</f>
        <v>Personal Care</v>
      </c>
      <c r="J364" s="28" t="n">
        <v>14</v>
      </c>
      <c r="K364" s="29" t="n">
        <v>4674.99</v>
      </c>
      <c r="L364" s="29" t="n">
        <f aca="false">J364*K364</f>
        <v>65449.86</v>
      </c>
      <c r="M364" s="26" t="s">
        <v>43</v>
      </c>
      <c r="N364" s="34"/>
      <c r="O364" s="34" t="n">
        <v>46235</v>
      </c>
      <c r="P364" s="34"/>
      <c r="Q364" s="28" t="n">
        <f aca="false">IF(P364&lt;&gt;"",MAX(1,P364-B364),IF(M364="Dispatched",MAX(1,O364-B364),0))</f>
        <v>0</v>
      </c>
      <c r="R364" s="28" t="n">
        <f aca="false">IF(M364="Cancelled",0,IF(P364&lt;&gt;"",MAX(0,P364-O364),IF(T364&lt;&gt;"None",MAX(1,O364-B364-2),0)))</f>
        <v>0</v>
      </c>
      <c r="S364" s="26" t="s">
        <v>310</v>
      </c>
      <c r="T364" s="27" t="s">
        <v>411</v>
      </c>
    </row>
    <row r="365" customFormat="false" ht="15" hidden="false" customHeight="false" outlineLevel="0" collapsed="false">
      <c r="A365" s="18" t="s">
        <v>1023</v>
      </c>
      <c r="B365" s="25" t="n">
        <v>46176</v>
      </c>
      <c r="C365" s="18" t="s">
        <v>442</v>
      </c>
      <c r="D365" s="20" t="s">
        <v>448</v>
      </c>
      <c r="E365" s="18" t="s">
        <v>105</v>
      </c>
      <c r="F365" s="20" t="s">
        <v>79</v>
      </c>
      <c r="G365" s="18" t="s">
        <v>284</v>
      </c>
      <c r="H365" s="20" t="str">
        <f aca="false">VLOOKUP(G365,'Product Master'!$A$5:$K$104,2,FALSE())</f>
        <v>Compact Home Item 090</v>
      </c>
      <c r="I365" s="20" t="str">
        <f aca="false">VLOOKUP(G365,'Product Master'!$A$5:$K$104,3,FALSE())</f>
        <v>Home &amp; Kitchen</v>
      </c>
      <c r="J365" s="17" t="n">
        <v>16</v>
      </c>
      <c r="K365" s="16" t="n">
        <v>10789.39</v>
      </c>
      <c r="L365" s="16" t="n">
        <f aca="false">J365*K365</f>
        <v>172630.24</v>
      </c>
      <c r="M365" s="18" t="s">
        <v>35</v>
      </c>
      <c r="N365" s="25" t="n">
        <v>46179</v>
      </c>
      <c r="O365" s="25" t="n">
        <v>46183</v>
      </c>
      <c r="P365" s="25" t="n">
        <v>46181</v>
      </c>
      <c r="Q365" s="17" t="n">
        <f aca="false">IF(P365&lt;&gt;"",MAX(1,P365-B365),IF(M365="Dispatched",MAX(1,O365-B365),0))</f>
        <v>5</v>
      </c>
      <c r="R365" s="17" t="n">
        <f aca="false">IF(M365="Cancelled",0,IF(P365&lt;&gt;"",MAX(0,P365-O365),IF(T365&lt;&gt;"None",MAX(1,O365-B365-2),0)))</f>
        <v>0</v>
      </c>
      <c r="S365" s="18" t="s">
        <v>310</v>
      </c>
      <c r="T365" s="20" t="s">
        <v>317</v>
      </c>
    </row>
    <row r="366" customFormat="false" ht="15" hidden="false" customHeight="false" outlineLevel="0" collapsed="false">
      <c r="A366" s="26" t="s">
        <v>1024</v>
      </c>
      <c r="B366" s="34" t="n">
        <v>45977</v>
      </c>
      <c r="C366" s="26" t="s">
        <v>385</v>
      </c>
      <c r="D366" s="27" t="s">
        <v>666</v>
      </c>
      <c r="E366" s="26" t="s">
        <v>111</v>
      </c>
      <c r="F366" s="27" t="s">
        <v>78</v>
      </c>
      <c r="G366" s="26" t="s">
        <v>197</v>
      </c>
      <c r="H366" s="27" t="str">
        <f aca="false">VLOOKUP(G366,'Product Master'!$A$5:$K$104,2,FALSE())</f>
        <v>Premium Office Item 003</v>
      </c>
      <c r="I366" s="27" t="str">
        <f aca="false">VLOOKUP(G366,'Product Master'!$A$5:$K$104,3,FALSE())</f>
        <v>Office Supplies</v>
      </c>
      <c r="J366" s="28" t="n">
        <v>6</v>
      </c>
      <c r="K366" s="29" t="n">
        <v>1653.15</v>
      </c>
      <c r="L366" s="29" t="n">
        <f aca="false">J366*K366</f>
        <v>9918.9</v>
      </c>
      <c r="M366" s="26" t="s">
        <v>39</v>
      </c>
      <c r="N366" s="34"/>
      <c r="O366" s="34" t="n">
        <v>45979</v>
      </c>
      <c r="P366" s="34"/>
      <c r="Q366" s="28" t="n">
        <f aca="false">IF(P366&lt;&gt;"",MAX(1,P366-B366),IF(M366="Dispatched",MAX(1,O366-B366),0))</f>
        <v>0</v>
      </c>
      <c r="R366" s="28" t="n">
        <f aca="false">IF(M366="Cancelled",0,IF(P366&lt;&gt;"",MAX(0,P366-O366),IF(T366&lt;&gt;"None",MAX(1,O366-B366-2),0)))</f>
        <v>1</v>
      </c>
      <c r="S366" s="26" t="s">
        <v>37</v>
      </c>
      <c r="T366" s="27" t="s">
        <v>108</v>
      </c>
    </row>
    <row r="367" customFormat="false" ht="15" hidden="false" customHeight="false" outlineLevel="0" collapsed="false">
      <c r="A367" s="18" t="s">
        <v>1025</v>
      </c>
      <c r="B367" s="25" t="n">
        <v>46025</v>
      </c>
      <c r="C367" s="18" t="s">
        <v>459</v>
      </c>
      <c r="D367" s="20" t="s">
        <v>1026</v>
      </c>
      <c r="E367" s="18" t="s">
        <v>111</v>
      </c>
      <c r="F367" s="20" t="s">
        <v>76</v>
      </c>
      <c r="G367" s="18" t="s">
        <v>242</v>
      </c>
      <c r="H367" s="20" t="str">
        <f aca="false">VLOOKUP(G367,'Product Master'!$A$5:$K$104,2,FALSE())</f>
        <v>Eco Automotive Item 048</v>
      </c>
      <c r="I367" s="20" t="str">
        <f aca="false">VLOOKUP(G367,'Product Master'!$A$5:$K$104,3,FALSE())</f>
        <v>Automotive</v>
      </c>
      <c r="J367" s="17" t="n">
        <v>21</v>
      </c>
      <c r="K367" s="16" t="n">
        <v>444.67</v>
      </c>
      <c r="L367" s="16" t="n">
        <f aca="false">J367*K367</f>
        <v>9338.07</v>
      </c>
      <c r="M367" s="18" t="s">
        <v>35</v>
      </c>
      <c r="N367" s="25" t="n">
        <v>46025</v>
      </c>
      <c r="O367" s="25" t="n">
        <v>46032</v>
      </c>
      <c r="P367" s="25" t="n">
        <v>46032</v>
      </c>
      <c r="Q367" s="17" t="n">
        <f aca="false">IF(P367&lt;&gt;"",MAX(1,P367-B367),IF(M367="Dispatched",MAX(1,O367-B367),0))</f>
        <v>7</v>
      </c>
      <c r="R367" s="17" t="n">
        <f aca="false">IF(M367="Cancelled",0,IF(P367&lt;&gt;"",MAX(0,P367-O367),IF(T367&lt;&gt;"None",MAX(1,O367-B367-2),0)))</f>
        <v>0</v>
      </c>
      <c r="S367" s="18" t="s">
        <v>352</v>
      </c>
      <c r="T367" s="20" t="s">
        <v>317</v>
      </c>
    </row>
    <row r="368" customFormat="false" ht="15" hidden="false" customHeight="false" outlineLevel="0" collapsed="false">
      <c r="A368" s="26" t="s">
        <v>1027</v>
      </c>
      <c r="B368" s="34" t="n">
        <v>46208</v>
      </c>
      <c r="C368" s="26" t="s">
        <v>964</v>
      </c>
      <c r="D368" s="27" t="s">
        <v>698</v>
      </c>
      <c r="E368" s="26" t="s">
        <v>107</v>
      </c>
      <c r="F368" s="27" t="s">
        <v>76</v>
      </c>
      <c r="G368" s="26" t="s">
        <v>268</v>
      </c>
      <c r="H368" s="27" t="str">
        <f aca="false">VLOOKUP(G368,'Product Master'!$A$5:$K$104,2,FALSE())</f>
        <v>Pro Home Item 074</v>
      </c>
      <c r="I368" s="27" t="str">
        <f aca="false">VLOOKUP(G368,'Product Master'!$A$5:$K$104,3,FALSE())</f>
        <v>Home &amp; Kitchen</v>
      </c>
      <c r="J368" s="28" t="n">
        <v>20</v>
      </c>
      <c r="K368" s="29" t="n">
        <v>8375.75</v>
      </c>
      <c r="L368" s="29" t="n">
        <f aca="false">J368*K368</f>
        <v>167515</v>
      </c>
      <c r="M368" s="26" t="s">
        <v>41</v>
      </c>
      <c r="N368" s="34" t="n">
        <v>46210</v>
      </c>
      <c r="O368" s="34" t="n">
        <v>46214</v>
      </c>
      <c r="P368" s="34"/>
      <c r="Q368" s="28" t="n">
        <f aca="false">IF(P368&lt;&gt;"",MAX(1,P368-B368),IF(M368="Dispatched",MAX(1,O368-B368),0))</f>
        <v>6</v>
      </c>
      <c r="R368" s="28" t="n">
        <f aca="false">IF(M368="Cancelled",0,IF(P368&lt;&gt;"",MAX(0,P368-O368),IF(T368&lt;&gt;"None",MAX(1,O368-B368-2),0)))</f>
        <v>0</v>
      </c>
      <c r="S368" s="26" t="s">
        <v>310</v>
      </c>
      <c r="T368" s="27" t="s">
        <v>317</v>
      </c>
    </row>
    <row r="369" customFormat="false" ht="15" hidden="false" customHeight="false" outlineLevel="0" collapsed="false">
      <c r="A369" s="18" t="s">
        <v>1028</v>
      </c>
      <c r="B369" s="25" t="n">
        <v>46247</v>
      </c>
      <c r="C369" s="18" t="s">
        <v>1029</v>
      </c>
      <c r="D369" s="20" t="s">
        <v>1008</v>
      </c>
      <c r="E369" s="18" t="s">
        <v>109</v>
      </c>
      <c r="F369" s="20" t="s">
        <v>78</v>
      </c>
      <c r="G369" s="18" t="s">
        <v>200</v>
      </c>
      <c r="H369" s="20" t="str">
        <f aca="false">VLOOKUP(G369,'Product Master'!$A$5:$K$104,2,FALSE())</f>
        <v>Pro Packaging Item 006</v>
      </c>
      <c r="I369" s="20" t="str">
        <f aca="false">VLOOKUP(G369,'Product Master'!$A$5:$K$104,3,FALSE())</f>
        <v>Packaging</v>
      </c>
      <c r="J369" s="17" t="n">
        <v>6</v>
      </c>
      <c r="K369" s="16" t="n">
        <v>1867.12</v>
      </c>
      <c r="L369" s="16" t="n">
        <f aca="false">J369*K369</f>
        <v>11202.72</v>
      </c>
      <c r="M369" s="18" t="s">
        <v>37</v>
      </c>
      <c r="N369" s="25"/>
      <c r="O369" s="25" t="n">
        <v>46250</v>
      </c>
      <c r="P369" s="25"/>
      <c r="Q369" s="17" t="n">
        <f aca="false">IF(P369&lt;&gt;"",MAX(1,P369-B369),IF(M369="Dispatched",MAX(1,O369-B369),0))</f>
        <v>0</v>
      </c>
      <c r="R369" s="17" t="n">
        <f aca="false">IF(M369="Cancelled",0,IF(P369&lt;&gt;"",MAX(0,P369-O369),IF(T369&lt;&gt;"None",MAX(1,O369-B369-2),0)))</f>
        <v>0</v>
      </c>
      <c r="S369" s="18" t="s">
        <v>339</v>
      </c>
      <c r="T369" s="20" t="s">
        <v>317</v>
      </c>
    </row>
    <row r="370" customFormat="false" ht="15" hidden="false" customHeight="false" outlineLevel="0" collapsed="false">
      <c r="A370" s="26" t="s">
        <v>1030</v>
      </c>
      <c r="B370" s="34" t="n">
        <v>46053</v>
      </c>
      <c r="C370" s="26" t="s">
        <v>569</v>
      </c>
      <c r="D370" s="27" t="s">
        <v>511</v>
      </c>
      <c r="E370" s="26" t="s">
        <v>105</v>
      </c>
      <c r="F370" s="27" t="s">
        <v>79</v>
      </c>
      <c r="G370" s="26" t="s">
        <v>264</v>
      </c>
      <c r="H370" s="27" t="str">
        <f aca="false">VLOOKUP(G370,'Product Master'!$A$5:$K$104,2,FALSE())</f>
        <v>Eco Packaging Item 070</v>
      </c>
      <c r="I370" s="27" t="str">
        <f aca="false">VLOOKUP(G370,'Product Master'!$A$5:$K$104,3,FALSE())</f>
        <v>Packaging</v>
      </c>
      <c r="J370" s="28" t="n">
        <v>24</v>
      </c>
      <c r="K370" s="29" t="n">
        <v>6067.79</v>
      </c>
      <c r="L370" s="29" t="n">
        <f aca="false">J370*K370</f>
        <v>145626.96</v>
      </c>
      <c r="M370" s="26" t="s">
        <v>43</v>
      </c>
      <c r="N370" s="34"/>
      <c r="O370" s="34" t="n">
        <v>46058</v>
      </c>
      <c r="P370" s="34"/>
      <c r="Q370" s="28" t="n">
        <f aca="false">IF(P370&lt;&gt;"",MAX(1,P370-B370),IF(M370="Dispatched",MAX(1,O370-B370),0))</f>
        <v>0</v>
      </c>
      <c r="R370" s="28" t="n">
        <f aca="false">IF(M370="Cancelled",0,IF(P370&lt;&gt;"",MAX(0,P370-O370),IF(T370&lt;&gt;"None",MAX(1,O370-B370-2),0)))</f>
        <v>0</v>
      </c>
      <c r="S370" s="26" t="s">
        <v>310</v>
      </c>
      <c r="T370" s="27" t="s">
        <v>411</v>
      </c>
    </row>
    <row r="371" customFormat="false" ht="15" hidden="false" customHeight="false" outlineLevel="0" collapsed="false">
      <c r="A371" s="18" t="s">
        <v>1031</v>
      </c>
      <c r="B371" s="25" t="n">
        <v>46067</v>
      </c>
      <c r="C371" s="18" t="s">
        <v>902</v>
      </c>
      <c r="D371" s="20" t="s">
        <v>514</v>
      </c>
      <c r="E371" s="18" t="s">
        <v>111</v>
      </c>
      <c r="F371" s="20" t="s">
        <v>78</v>
      </c>
      <c r="G371" s="18" t="s">
        <v>259</v>
      </c>
      <c r="H371" s="20" t="str">
        <f aca="false">VLOOKUP(G371,'Product Master'!$A$5:$K$104,2,FALSE())</f>
        <v>Compact Electronics Item 065</v>
      </c>
      <c r="I371" s="20" t="str">
        <f aca="false">VLOOKUP(G371,'Product Master'!$A$5:$K$104,3,FALSE())</f>
        <v>Electronics</v>
      </c>
      <c r="J371" s="17" t="n">
        <v>2</v>
      </c>
      <c r="K371" s="16" t="n">
        <v>7172.77</v>
      </c>
      <c r="L371" s="16" t="n">
        <f aca="false">J371*K371</f>
        <v>14345.54</v>
      </c>
      <c r="M371" s="18" t="s">
        <v>35</v>
      </c>
      <c r="N371" s="25" t="n">
        <v>46070</v>
      </c>
      <c r="O371" s="25" t="n">
        <v>46074</v>
      </c>
      <c r="P371" s="25" t="n">
        <v>46078</v>
      </c>
      <c r="Q371" s="17" t="n">
        <f aca="false">IF(P371&lt;&gt;"",MAX(1,P371-B371),IF(M371="Dispatched",MAX(1,O371-B371),0))</f>
        <v>11</v>
      </c>
      <c r="R371" s="17" t="n">
        <f aca="false">IF(M371="Cancelled",0,IF(P371&lt;&gt;"",MAX(0,P371-O371),IF(T371&lt;&gt;"None",MAX(1,O371-B371-2),0)))</f>
        <v>4</v>
      </c>
      <c r="S371" s="18" t="s">
        <v>37</v>
      </c>
      <c r="T371" s="20" t="s">
        <v>110</v>
      </c>
    </row>
    <row r="372" customFormat="false" ht="15" hidden="false" customHeight="false" outlineLevel="0" collapsed="false">
      <c r="A372" s="26" t="s">
        <v>1032</v>
      </c>
      <c r="B372" s="34" t="n">
        <v>46278</v>
      </c>
      <c r="C372" s="26" t="s">
        <v>565</v>
      </c>
      <c r="D372" s="27" t="s">
        <v>373</v>
      </c>
      <c r="E372" s="26" t="s">
        <v>109</v>
      </c>
      <c r="F372" s="27" t="s">
        <v>79</v>
      </c>
      <c r="G372" s="26" t="s">
        <v>263</v>
      </c>
      <c r="H372" s="27" t="str">
        <f aca="false">VLOOKUP(G372,'Product Master'!$A$5:$K$104,2,FALSE())</f>
        <v>Eco Industrial Item 069</v>
      </c>
      <c r="I372" s="27" t="str">
        <f aca="false">VLOOKUP(G372,'Product Master'!$A$5:$K$104,3,FALSE())</f>
        <v>Industrial</v>
      </c>
      <c r="J372" s="28" t="n">
        <v>20</v>
      </c>
      <c r="K372" s="29" t="n">
        <v>3172.82</v>
      </c>
      <c r="L372" s="29" t="n">
        <f aca="false">J372*K372</f>
        <v>63456.4</v>
      </c>
      <c r="M372" s="26" t="s">
        <v>35</v>
      </c>
      <c r="N372" s="34" t="n">
        <v>46279</v>
      </c>
      <c r="O372" s="34" t="n">
        <v>46281</v>
      </c>
      <c r="P372" s="34" t="n">
        <v>46285</v>
      </c>
      <c r="Q372" s="28" t="n">
        <f aca="false">IF(P372&lt;&gt;"",MAX(1,P372-B372),IF(M372="Dispatched",MAX(1,O372-B372),0))</f>
        <v>7</v>
      </c>
      <c r="R372" s="28" t="n">
        <f aca="false">IF(M372="Cancelled",0,IF(P372&lt;&gt;"",MAX(0,P372-O372),IF(T372&lt;&gt;"None",MAX(1,O372-B372-2),0)))</f>
        <v>4</v>
      </c>
      <c r="S372" s="26" t="s">
        <v>310</v>
      </c>
      <c r="T372" s="27" t="s">
        <v>115</v>
      </c>
    </row>
    <row r="373" customFormat="false" ht="15" hidden="false" customHeight="false" outlineLevel="0" collapsed="false">
      <c r="A373" s="18" t="s">
        <v>1033</v>
      </c>
      <c r="B373" s="25" t="n">
        <v>45970</v>
      </c>
      <c r="C373" s="18" t="s">
        <v>951</v>
      </c>
      <c r="D373" s="20" t="s">
        <v>1034</v>
      </c>
      <c r="E373" s="18" t="s">
        <v>107</v>
      </c>
      <c r="F373" s="20" t="s">
        <v>78</v>
      </c>
      <c r="G373" s="18" t="s">
        <v>208</v>
      </c>
      <c r="H373" s="20" t="str">
        <f aca="false">VLOOKUP(G373,'Product Master'!$A$5:$K$104,2,FALSE())</f>
        <v>Pro Packaging Item 014</v>
      </c>
      <c r="I373" s="20" t="str">
        <f aca="false">VLOOKUP(G373,'Product Master'!$A$5:$K$104,3,FALSE())</f>
        <v>Packaging</v>
      </c>
      <c r="J373" s="17" t="n">
        <v>4</v>
      </c>
      <c r="K373" s="16" t="n">
        <v>4696.7</v>
      </c>
      <c r="L373" s="16" t="n">
        <f aca="false">J373*K373</f>
        <v>18786.8</v>
      </c>
      <c r="M373" s="18" t="s">
        <v>37</v>
      </c>
      <c r="N373" s="25"/>
      <c r="O373" s="25" t="n">
        <v>45979</v>
      </c>
      <c r="P373" s="25"/>
      <c r="Q373" s="17" t="n">
        <f aca="false">IF(P373&lt;&gt;"",MAX(1,P373-B373),IF(M373="Dispatched",MAX(1,O373-B373),0))</f>
        <v>0</v>
      </c>
      <c r="R373" s="17" t="n">
        <f aca="false">IF(M373="Cancelled",0,IF(P373&lt;&gt;"",MAX(0,P373-O373),IF(T373&lt;&gt;"None",MAX(1,O373-B373-2),0)))</f>
        <v>0</v>
      </c>
      <c r="S373" s="18" t="s">
        <v>310</v>
      </c>
      <c r="T373" s="20" t="s">
        <v>317</v>
      </c>
    </row>
    <row r="374" customFormat="false" ht="15" hidden="false" customHeight="false" outlineLevel="0" collapsed="false">
      <c r="A374" s="26" t="s">
        <v>1035</v>
      </c>
      <c r="B374" s="34" t="n">
        <v>46280</v>
      </c>
      <c r="C374" s="26" t="s">
        <v>517</v>
      </c>
      <c r="D374" s="27" t="s">
        <v>919</v>
      </c>
      <c r="E374" s="26" t="s">
        <v>107</v>
      </c>
      <c r="F374" s="27" t="s">
        <v>79</v>
      </c>
      <c r="G374" s="26" t="s">
        <v>264</v>
      </c>
      <c r="H374" s="27" t="str">
        <f aca="false">VLOOKUP(G374,'Product Master'!$A$5:$K$104,2,FALSE())</f>
        <v>Eco Packaging Item 070</v>
      </c>
      <c r="I374" s="27" t="str">
        <f aca="false">VLOOKUP(G374,'Product Master'!$A$5:$K$104,3,FALSE())</f>
        <v>Packaging</v>
      </c>
      <c r="J374" s="28" t="n">
        <v>12</v>
      </c>
      <c r="K374" s="29" t="n">
        <v>6067.79</v>
      </c>
      <c r="L374" s="29" t="n">
        <f aca="false">J374*K374</f>
        <v>72813.48</v>
      </c>
      <c r="M374" s="26" t="s">
        <v>35</v>
      </c>
      <c r="N374" s="34" t="n">
        <v>46282</v>
      </c>
      <c r="O374" s="34" t="n">
        <v>46282</v>
      </c>
      <c r="P374" s="34" t="n">
        <v>46282</v>
      </c>
      <c r="Q374" s="28" t="n">
        <f aca="false">IF(P374&lt;&gt;"",MAX(1,P374-B374),IF(M374="Dispatched",MAX(1,O374-B374),0))</f>
        <v>2</v>
      </c>
      <c r="R374" s="28" t="n">
        <f aca="false">IF(M374="Cancelled",0,IF(P374&lt;&gt;"",MAX(0,P374-O374),IF(T374&lt;&gt;"None",MAX(1,O374-B374-2),0)))</f>
        <v>0</v>
      </c>
      <c r="S374" s="26" t="s">
        <v>37</v>
      </c>
      <c r="T374" s="27" t="s">
        <v>317</v>
      </c>
    </row>
    <row r="375" customFormat="false" ht="15" hidden="false" customHeight="false" outlineLevel="0" collapsed="false">
      <c r="A375" s="18" t="s">
        <v>1036</v>
      </c>
      <c r="B375" s="25" t="n">
        <v>46197</v>
      </c>
      <c r="C375" s="18" t="s">
        <v>1037</v>
      </c>
      <c r="D375" s="20" t="s">
        <v>1038</v>
      </c>
      <c r="E375" s="18" t="s">
        <v>109</v>
      </c>
      <c r="F375" s="20" t="s">
        <v>79</v>
      </c>
      <c r="G375" s="18" t="s">
        <v>277</v>
      </c>
      <c r="H375" s="20" t="str">
        <f aca="false">VLOOKUP(G375,'Product Master'!$A$5:$K$104,2,FALSE())</f>
        <v>Essential Office Item 083</v>
      </c>
      <c r="I375" s="20" t="str">
        <f aca="false">VLOOKUP(G375,'Product Master'!$A$5:$K$104,3,FALSE())</f>
        <v>Office Supplies</v>
      </c>
      <c r="J375" s="17" t="n">
        <v>19</v>
      </c>
      <c r="K375" s="16" t="n">
        <v>4117.89</v>
      </c>
      <c r="L375" s="16" t="n">
        <f aca="false">J375*K375</f>
        <v>78239.91</v>
      </c>
      <c r="M375" s="18" t="s">
        <v>35</v>
      </c>
      <c r="N375" s="25" t="n">
        <v>46200</v>
      </c>
      <c r="O375" s="25" t="n">
        <v>46204</v>
      </c>
      <c r="P375" s="25" t="n">
        <v>46212</v>
      </c>
      <c r="Q375" s="17" t="n">
        <f aca="false">IF(P375&lt;&gt;"",MAX(1,P375-B375),IF(M375="Dispatched",MAX(1,O375-B375),0))</f>
        <v>15</v>
      </c>
      <c r="R375" s="17" t="n">
        <f aca="false">IF(M375="Cancelled",0,IF(P375&lt;&gt;"",MAX(0,P375-O375),IF(T375&lt;&gt;"None",MAX(1,O375-B375-2),0)))</f>
        <v>8</v>
      </c>
      <c r="S375" s="18" t="s">
        <v>310</v>
      </c>
      <c r="T375" s="20" t="s">
        <v>110</v>
      </c>
    </row>
    <row r="376" customFormat="false" ht="15" hidden="false" customHeight="false" outlineLevel="0" collapsed="false">
      <c r="A376" s="26" t="s">
        <v>1039</v>
      </c>
      <c r="B376" s="34" t="n">
        <v>46087</v>
      </c>
      <c r="C376" s="26" t="s">
        <v>1040</v>
      </c>
      <c r="D376" s="27" t="s">
        <v>367</v>
      </c>
      <c r="E376" s="26" t="s">
        <v>109</v>
      </c>
      <c r="F376" s="27" t="s">
        <v>77</v>
      </c>
      <c r="G376" s="26" t="s">
        <v>216</v>
      </c>
      <c r="H376" s="27" t="str">
        <f aca="false">VLOOKUP(G376,'Product Master'!$A$5:$K$104,2,FALSE())</f>
        <v>Smart Packaging Item 022</v>
      </c>
      <c r="I376" s="27" t="str">
        <f aca="false">VLOOKUP(G376,'Product Master'!$A$5:$K$104,3,FALSE())</f>
        <v>Packaging</v>
      </c>
      <c r="J376" s="28" t="n">
        <v>16</v>
      </c>
      <c r="K376" s="29" t="n">
        <v>1054.05</v>
      </c>
      <c r="L376" s="29" t="n">
        <f aca="false">J376*K376</f>
        <v>16864.8</v>
      </c>
      <c r="M376" s="26" t="s">
        <v>35</v>
      </c>
      <c r="N376" s="34" t="n">
        <v>46087</v>
      </c>
      <c r="O376" s="34" t="n">
        <v>46093</v>
      </c>
      <c r="P376" s="34" t="n">
        <v>46092</v>
      </c>
      <c r="Q376" s="28" t="n">
        <f aca="false">IF(P376&lt;&gt;"",MAX(1,P376-B376),IF(M376="Dispatched",MAX(1,O376-B376),0))</f>
        <v>5</v>
      </c>
      <c r="R376" s="28" t="n">
        <f aca="false">IF(M376="Cancelled",0,IF(P376&lt;&gt;"",MAX(0,P376-O376),IF(T376&lt;&gt;"None",MAX(1,O376-B376-2),0)))</f>
        <v>0</v>
      </c>
      <c r="S376" s="26" t="s">
        <v>339</v>
      </c>
      <c r="T376" s="27" t="s">
        <v>317</v>
      </c>
    </row>
    <row r="377" customFormat="false" ht="15" hidden="false" customHeight="false" outlineLevel="0" collapsed="false">
      <c r="A377" s="18" t="s">
        <v>1041</v>
      </c>
      <c r="B377" s="25" t="n">
        <v>46247</v>
      </c>
      <c r="C377" s="18" t="s">
        <v>800</v>
      </c>
      <c r="D377" s="20" t="s">
        <v>1001</v>
      </c>
      <c r="E377" s="18" t="s">
        <v>113</v>
      </c>
      <c r="F377" s="20" t="s">
        <v>78</v>
      </c>
      <c r="G377" s="18" t="s">
        <v>215</v>
      </c>
      <c r="H377" s="20" t="str">
        <f aca="false">VLOOKUP(G377,'Product Master'!$A$5:$K$104,2,FALSE())</f>
        <v>Eco Industrial Item 021</v>
      </c>
      <c r="I377" s="20" t="str">
        <f aca="false">VLOOKUP(G377,'Product Master'!$A$5:$K$104,3,FALSE())</f>
        <v>Industrial</v>
      </c>
      <c r="J377" s="17" t="n">
        <v>6</v>
      </c>
      <c r="K377" s="16" t="n">
        <v>2056.91</v>
      </c>
      <c r="L377" s="16" t="n">
        <f aca="false">J377*K377</f>
        <v>12341.46</v>
      </c>
      <c r="M377" s="18" t="s">
        <v>43</v>
      </c>
      <c r="N377" s="25"/>
      <c r="O377" s="25" t="n">
        <v>46251</v>
      </c>
      <c r="P377" s="25"/>
      <c r="Q377" s="17" t="n">
        <f aca="false">IF(P377&lt;&gt;"",MAX(1,P377-B377),IF(M377="Dispatched",MAX(1,O377-B377),0))</f>
        <v>0</v>
      </c>
      <c r="R377" s="17" t="n">
        <f aca="false">IF(M377="Cancelled",0,IF(P377&lt;&gt;"",MAX(0,P377-O377),IF(T377&lt;&gt;"None",MAX(1,O377-B377-2),0)))</f>
        <v>0</v>
      </c>
      <c r="S377" s="18" t="s">
        <v>310</v>
      </c>
      <c r="T377" s="20" t="s">
        <v>411</v>
      </c>
    </row>
    <row r="378" customFormat="false" ht="15" hidden="false" customHeight="false" outlineLevel="0" collapsed="false">
      <c r="A378" s="26" t="s">
        <v>1042</v>
      </c>
      <c r="B378" s="34" t="n">
        <v>46093</v>
      </c>
      <c r="C378" s="26" t="s">
        <v>541</v>
      </c>
      <c r="D378" s="27" t="s">
        <v>499</v>
      </c>
      <c r="E378" s="26" t="s">
        <v>107</v>
      </c>
      <c r="F378" s="27" t="s">
        <v>79</v>
      </c>
      <c r="G378" s="26" t="s">
        <v>268</v>
      </c>
      <c r="H378" s="27" t="str">
        <f aca="false">VLOOKUP(G378,'Product Master'!$A$5:$K$104,2,FALSE())</f>
        <v>Pro Home Item 074</v>
      </c>
      <c r="I378" s="27" t="str">
        <f aca="false">VLOOKUP(G378,'Product Master'!$A$5:$K$104,3,FALSE())</f>
        <v>Home &amp; Kitchen</v>
      </c>
      <c r="J378" s="28" t="n">
        <v>9</v>
      </c>
      <c r="K378" s="29" t="n">
        <v>8375.75</v>
      </c>
      <c r="L378" s="29" t="n">
        <f aca="false">J378*K378</f>
        <v>75381.75</v>
      </c>
      <c r="M378" s="26" t="s">
        <v>35</v>
      </c>
      <c r="N378" s="34" t="n">
        <v>46093</v>
      </c>
      <c r="O378" s="34" t="n">
        <v>46098</v>
      </c>
      <c r="P378" s="34" t="n">
        <v>46099</v>
      </c>
      <c r="Q378" s="28" t="n">
        <f aca="false">IF(P378&lt;&gt;"",MAX(1,P378-B378),IF(M378="Dispatched",MAX(1,O378-B378),0))</f>
        <v>6</v>
      </c>
      <c r="R378" s="28" t="n">
        <f aca="false">IF(M378="Cancelled",0,IF(P378&lt;&gt;"",MAX(0,P378-O378),IF(T378&lt;&gt;"None",MAX(1,O378-B378-2),0)))</f>
        <v>1</v>
      </c>
      <c r="S378" s="26" t="s">
        <v>310</v>
      </c>
      <c r="T378" s="27" t="s">
        <v>112</v>
      </c>
    </row>
    <row r="379" customFormat="false" ht="15" hidden="false" customHeight="false" outlineLevel="0" collapsed="false">
      <c r="A379" s="18" t="s">
        <v>1043</v>
      </c>
      <c r="B379" s="25" t="n">
        <v>46014</v>
      </c>
      <c r="C379" s="18" t="s">
        <v>1044</v>
      </c>
      <c r="D379" s="20" t="s">
        <v>1045</v>
      </c>
      <c r="E379" s="18" t="s">
        <v>109</v>
      </c>
      <c r="F379" s="20" t="s">
        <v>76</v>
      </c>
      <c r="G379" s="18" t="s">
        <v>263</v>
      </c>
      <c r="H379" s="20" t="str">
        <f aca="false">VLOOKUP(G379,'Product Master'!$A$5:$K$104,2,FALSE())</f>
        <v>Eco Industrial Item 069</v>
      </c>
      <c r="I379" s="20" t="str">
        <f aca="false">VLOOKUP(G379,'Product Master'!$A$5:$K$104,3,FALSE())</f>
        <v>Industrial</v>
      </c>
      <c r="J379" s="17" t="n">
        <v>1</v>
      </c>
      <c r="K379" s="16" t="n">
        <v>3172.82</v>
      </c>
      <c r="L379" s="16" t="n">
        <f aca="false">J379*K379</f>
        <v>3172.82</v>
      </c>
      <c r="M379" s="18" t="s">
        <v>35</v>
      </c>
      <c r="N379" s="25" t="n">
        <v>46015</v>
      </c>
      <c r="O379" s="25" t="n">
        <v>46023</v>
      </c>
      <c r="P379" s="25" t="n">
        <v>46027</v>
      </c>
      <c r="Q379" s="17" t="n">
        <f aca="false">IF(P379&lt;&gt;"",MAX(1,P379-B379),IF(M379="Dispatched",MAX(1,O379-B379),0))</f>
        <v>13</v>
      </c>
      <c r="R379" s="17" t="n">
        <f aca="false">IF(M379="Cancelled",0,IF(P379&lt;&gt;"",MAX(0,P379-O379),IF(T379&lt;&gt;"None",MAX(1,O379-B379-2),0)))</f>
        <v>4</v>
      </c>
      <c r="S379" s="18" t="s">
        <v>310</v>
      </c>
      <c r="T379" s="20" t="s">
        <v>112</v>
      </c>
    </row>
    <row r="380" customFormat="false" ht="15" hidden="false" customHeight="false" outlineLevel="0" collapsed="false">
      <c r="A380" s="26" t="s">
        <v>1046</v>
      </c>
      <c r="B380" s="34" t="n">
        <v>46190</v>
      </c>
      <c r="C380" s="26" t="s">
        <v>363</v>
      </c>
      <c r="D380" s="27" t="s">
        <v>335</v>
      </c>
      <c r="E380" s="26" t="s">
        <v>109</v>
      </c>
      <c r="F380" s="27" t="s">
        <v>79</v>
      </c>
      <c r="G380" s="26" t="s">
        <v>237</v>
      </c>
      <c r="H380" s="27" t="str">
        <f aca="false">VLOOKUP(G380,'Product Master'!$A$5:$K$104,2,FALSE())</f>
        <v>Eco Office Item 043</v>
      </c>
      <c r="I380" s="27" t="str">
        <f aca="false">VLOOKUP(G380,'Product Master'!$A$5:$K$104,3,FALSE())</f>
        <v>Office Supplies</v>
      </c>
      <c r="J380" s="28" t="n">
        <v>10</v>
      </c>
      <c r="K380" s="29" t="n">
        <v>2525.48</v>
      </c>
      <c r="L380" s="29" t="n">
        <f aca="false">J380*K380</f>
        <v>25254.8</v>
      </c>
      <c r="M380" s="26" t="s">
        <v>43</v>
      </c>
      <c r="N380" s="34"/>
      <c r="O380" s="34" t="n">
        <v>46194</v>
      </c>
      <c r="P380" s="34"/>
      <c r="Q380" s="28" t="n">
        <f aca="false">IF(P380&lt;&gt;"",MAX(1,P380-B380),IF(M380="Dispatched",MAX(1,O380-B380),0))</f>
        <v>0</v>
      </c>
      <c r="R380" s="28" t="n">
        <f aca="false">IF(M380="Cancelled",0,IF(P380&lt;&gt;"",MAX(0,P380-O380),IF(T380&lt;&gt;"None",MAX(1,O380-B380-2),0)))</f>
        <v>0</v>
      </c>
      <c r="S380" s="26" t="s">
        <v>310</v>
      </c>
      <c r="T380" s="27" t="s">
        <v>411</v>
      </c>
    </row>
    <row r="381" customFormat="false" ht="15" hidden="false" customHeight="false" outlineLevel="0" collapsed="false">
      <c r="A381" s="18" t="s">
        <v>1047</v>
      </c>
      <c r="B381" s="25" t="n">
        <v>46313</v>
      </c>
      <c r="C381" s="18" t="s">
        <v>1048</v>
      </c>
      <c r="D381" s="20" t="s">
        <v>572</v>
      </c>
      <c r="E381" s="18" t="s">
        <v>105</v>
      </c>
      <c r="F381" s="20" t="s">
        <v>77</v>
      </c>
      <c r="G381" s="18" t="s">
        <v>256</v>
      </c>
      <c r="H381" s="20" t="str">
        <f aca="false">VLOOKUP(G381,'Product Master'!$A$5:$K$104,2,FALSE())</f>
        <v>Compact Packaging Item 062</v>
      </c>
      <c r="I381" s="20" t="str">
        <f aca="false">VLOOKUP(G381,'Product Master'!$A$5:$K$104,3,FALSE())</f>
        <v>Packaging</v>
      </c>
      <c r="J381" s="17" t="n">
        <v>22</v>
      </c>
      <c r="K381" s="16" t="n">
        <v>10323.31</v>
      </c>
      <c r="L381" s="16" t="n">
        <f aca="false">J381*K381</f>
        <v>227112.82</v>
      </c>
      <c r="M381" s="18" t="s">
        <v>35</v>
      </c>
      <c r="N381" s="25" t="n">
        <v>46314</v>
      </c>
      <c r="O381" s="25" t="n">
        <v>46317</v>
      </c>
      <c r="P381" s="25" t="n">
        <v>46316</v>
      </c>
      <c r="Q381" s="17" t="n">
        <f aca="false">IF(P381&lt;&gt;"",MAX(1,P381-B381),IF(M381="Dispatched",MAX(1,O381-B381),0))</f>
        <v>3</v>
      </c>
      <c r="R381" s="17" t="n">
        <f aca="false">IF(M381="Cancelled",0,IF(P381&lt;&gt;"",MAX(0,P381-O381),IF(T381&lt;&gt;"None",MAX(1,O381-B381-2),0)))</f>
        <v>0</v>
      </c>
      <c r="S381" s="18" t="s">
        <v>310</v>
      </c>
      <c r="T381" s="20" t="s">
        <v>317</v>
      </c>
    </row>
    <row r="382" customFormat="false" ht="15" hidden="false" customHeight="false" outlineLevel="0" collapsed="false">
      <c r="A382" s="26" t="s">
        <v>1049</v>
      </c>
      <c r="B382" s="34" t="n">
        <v>46098</v>
      </c>
      <c r="C382" s="26" t="s">
        <v>421</v>
      </c>
      <c r="D382" s="27" t="s">
        <v>1050</v>
      </c>
      <c r="E382" s="26" t="s">
        <v>113</v>
      </c>
      <c r="F382" s="27" t="s">
        <v>77</v>
      </c>
      <c r="G382" s="26" t="s">
        <v>202</v>
      </c>
      <c r="H382" s="27" t="str">
        <f aca="false">VLOOKUP(G382,'Product Master'!$A$5:$K$104,2,FALSE())</f>
        <v>Smart Automotive Item 008</v>
      </c>
      <c r="I382" s="27" t="str">
        <f aca="false">VLOOKUP(G382,'Product Master'!$A$5:$K$104,3,FALSE())</f>
        <v>Automotive</v>
      </c>
      <c r="J382" s="28" t="n">
        <v>19</v>
      </c>
      <c r="K382" s="29" t="n">
        <v>8489.02</v>
      </c>
      <c r="L382" s="29" t="n">
        <f aca="false">J382*K382</f>
        <v>161291.38</v>
      </c>
      <c r="M382" s="26" t="s">
        <v>35</v>
      </c>
      <c r="N382" s="34" t="n">
        <v>46099</v>
      </c>
      <c r="O382" s="34" t="n">
        <v>46104</v>
      </c>
      <c r="P382" s="34" t="n">
        <v>46100</v>
      </c>
      <c r="Q382" s="28" t="n">
        <f aca="false">IF(P382&lt;&gt;"",MAX(1,P382-B382),IF(M382="Dispatched",MAX(1,O382-B382),0))</f>
        <v>2</v>
      </c>
      <c r="R382" s="28" t="n">
        <f aca="false">IF(M382="Cancelled",0,IF(P382&lt;&gt;"",MAX(0,P382-O382),IF(T382&lt;&gt;"None",MAX(1,O382-B382-2),0)))</f>
        <v>0</v>
      </c>
      <c r="S382" s="26" t="s">
        <v>310</v>
      </c>
      <c r="T382" s="27" t="s">
        <v>317</v>
      </c>
    </row>
    <row r="383" customFormat="false" ht="15" hidden="false" customHeight="false" outlineLevel="0" collapsed="false">
      <c r="A383" s="18" t="s">
        <v>1051</v>
      </c>
      <c r="B383" s="25" t="n">
        <v>45975</v>
      </c>
      <c r="C383" s="18" t="s">
        <v>1052</v>
      </c>
      <c r="D383" s="20" t="s">
        <v>869</v>
      </c>
      <c r="E383" s="18" t="s">
        <v>111</v>
      </c>
      <c r="F383" s="20" t="s">
        <v>77</v>
      </c>
      <c r="G383" s="18" t="s">
        <v>260</v>
      </c>
      <c r="H383" s="20" t="str">
        <f aca="false">VLOOKUP(G383,'Product Master'!$A$5:$K$104,2,FALSE())</f>
        <v>Classic Home Item 066</v>
      </c>
      <c r="I383" s="20" t="str">
        <f aca="false">VLOOKUP(G383,'Product Master'!$A$5:$K$104,3,FALSE())</f>
        <v>Home &amp; Kitchen</v>
      </c>
      <c r="J383" s="17" t="n">
        <v>16</v>
      </c>
      <c r="K383" s="16" t="n">
        <v>6905.96</v>
      </c>
      <c r="L383" s="16" t="n">
        <f aca="false">J383*K383</f>
        <v>110495.36</v>
      </c>
      <c r="M383" s="18" t="s">
        <v>35</v>
      </c>
      <c r="N383" s="25" t="n">
        <v>45977</v>
      </c>
      <c r="O383" s="25" t="n">
        <v>45977</v>
      </c>
      <c r="P383" s="25" t="n">
        <v>45979</v>
      </c>
      <c r="Q383" s="17" t="n">
        <f aca="false">IF(P383&lt;&gt;"",MAX(1,P383-B383),IF(M383="Dispatched",MAX(1,O383-B383),0))</f>
        <v>4</v>
      </c>
      <c r="R383" s="17" t="n">
        <f aca="false">IF(M383="Cancelled",0,IF(P383&lt;&gt;"",MAX(0,P383-O383),IF(T383&lt;&gt;"None",MAX(1,O383-B383-2),0)))</f>
        <v>2</v>
      </c>
      <c r="S383" s="18" t="s">
        <v>310</v>
      </c>
      <c r="T383" s="20" t="s">
        <v>106</v>
      </c>
    </row>
    <row r="384" customFormat="false" ht="15" hidden="false" customHeight="false" outlineLevel="0" collapsed="false">
      <c r="A384" s="26" t="s">
        <v>1053</v>
      </c>
      <c r="B384" s="34" t="n">
        <v>45937</v>
      </c>
      <c r="C384" s="26" t="s">
        <v>844</v>
      </c>
      <c r="D384" s="27" t="s">
        <v>702</v>
      </c>
      <c r="E384" s="26" t="s">
        <v>109</v>
      </c>
      <c r="F384" s="27" t="s">
        <v>78</v>
      </c>
      <c r="G384" s="26" t="s">
        <v>231</v>
      </c>
      <c r="H384" s="27" t="str">
        <f aca="false">VLOOKUP(G384,'Product Master'!$A$5:$K$104,2,FALSE())</f>
        <v>Pro Industrial Item 037</v>
      </c>
      <c r="I384" s="27" t="str">
        <f aca="false">VLOOKUP(G384,'Product Master'!$A$5:$K$104,3,FALSE())</f>
        <v>Industrial</v>
      </c>
      <c r="J384" s="28" t="n">
        <v>10</v>
      </c>
      <c r="K384" s="29" t="n">
        <v>6419.17</v>
      </c>
      <c r="L384" s="29" t="n">
        <f aca="false">J384*K384</f>
        <v>64191.7</v>
      </c>
      <c r="M384" s="26" t="s">
        <v>43</v>
      </c>
      <c r="N384" s="34"/>
      <c r="O384" s="34" t="n">
        <v>45940</v>
      </c>
      <c r="P384" s="34"/>
      <c r="Q384" s="28" t="n">
        <f aca="false">IF(P384&lt;&gt;"",MAX(1,P384-B384),IF(M384="Dispatched",MAX(1,O384-B384),0))</f>
        <v>0</v>
      </c>
      <c r="R384" s="28" t="n">
        <f aca="false">IF(M384="Cancelled",0,IF(P384&lt;&gt;"",MAX(0,P384-O384),IF(T384&lt;&gt;"None",MAX(1,O384-B384-2),0)))</f>
        <v>0</v>
      </c>
      <c r="S384" s="26" t="s">
        <v>339</v>
      </c>
      <c r="T384" s="27" t="s">
        <v>411</v>
      </c>
    </row>
    <row r="385" customFormat="false" ht="15" hidden="false" customHeight="false" outlineLevel="0" collapsed="false">
      <c r="A385" s="18" t="s">
        <v>1054</v>
      </c>
      <c r="B385" s="25" t="n">
        <v>46157</v>
      </c>
      <c r="C385" s="18" t="s">
        <v>1055</v>
      </c>
      <c r="D385" s="20" t="s">
        <v>932</v>
      </c>
      <c r="E385" s="18" t="s">
        <v>107</v>
      </c>
      <c r="F385" s="20" t="s">
        <v>79</v>
      </c>
      <c r="G385" s="18" t="s">
        <v>231</v>
      </c>
      <c r="H385" s="20" t="str">
        <f aca="false">VLOOKUP(G385,'Product Master'!$A$5:$K$104,2,FALSE())</f>
        <v>Pro Industrial Item 037</v>
      </c>
      <c r="I385" s="20" t="str">
        <f aca="false">VLOOKUP(G385,'Product Master'!$A$5:$K$104,3,FALSE())</f>
        <v>Industrial</v>
      </c>
      <c r="J385" s="17" t="n">
        <v>24</v>
      </c>
      <c r="K385" s="16" t="n">
        <v>6419.17</v>
      </c>
      <c r="L385" s="16" t="n">
        <f aca="false">J385*K385</f>
        <v>154060.08</v>
      </c>
      <c r="M385" s="18" t="s">
        <v>41</v>
      </c>
      <c r="N385" s="25" t="n">
        <v>46157</v>
      </c>
      <c r="O385" s="25" t="n">
        <v>46161</v>
      </c>
      <c r="P385" s="25"/>
      <c r="Q385" s="17" t="n">
        <f aca="false">IF(P385&lt;&gt;"",MAX(1,P385-B385),IF(M385="Dispatched",MAX(1,O385-B385),0))</f>
        <v>4</v>
      </c>
      <c r="R385" s="17" t="n">
        <f aca="false">IF(M385="Cancelled",0,IF(P385&lt;&gt;"",MAX(0,P385-O385),IF(T385&lt;&gt;"None",MAX(1,O385-B385-2),0)))</f>
        <v>0</v>
      </c>
      <c r="S385" s="18" t="s">
        <v>310</v>
      </c>
      <c r="T385" s="20" t="s">
        <v>317</v>
      </c>
    </row>
    <row r="386" customFormat="false" ht="15" hidden="false" customHeight="false" outlineLevel="0" collapsed="false">
      <c r="A386" s="26" t="s">
        <v>1056</v>
      </c>
      <c r="B386" s="34" t="n">
        <v>46199</v>
      </c>
      <c r="C386" s="26" t="s">
        <v>486</v>
      </c>
      <c r="D386" s="27" t="s">
        <v>417</v>
      </c>
      <c r="E386" s="26" t="s">
        <v>105</v>
      </c>
      <c r="F386" s="27" t="s">
        <v>80</v>
      </c>
      <c r="G386" s="26" t="s">
        <v>237</v>
      </c>
      <c r="H386" s="27" t="str">
        <f aca="false">VLOOKUP(G386,'Product Master'!$A$5:$K$104,2,FALSE())</f>
        <v>Eco Office Item 043</v>
      </c>
      <c r="I386" s="27" t="str">
        <f aca="false">VLOOKUP(G386,'Product Master'!$A$5:$K$104,3,FALSE())</f>
        <v>Office Supplies</v>
      </c>
      <c r="J386" s="28" t="n">
        <v>25</v>
      </c>
      <c r="K386" s="29" t="n">
        <v>2525.48</v>
      </c>
      <c r="L386" s="29" t="n">
        <f aca="false">J386*K386</f>
        <v>63137</v>
      </c>
      <c r="M386" s="26" t="s">
        <v>35</v>
      </c>
      <c r="N386" s="34" t="n">
        <v>46202</v>
      </c>
      <c r="O386" s="34" t="n">
        <v>46206</v>
      </c>
      <c r="P386" s="34" t="n">
        <v>46204</v>
      </c>
      <c r="Q386" s="28" t="n">
        <f aca="false">IF(P386&lt;&gt;"",MAX(1,P386-B386),IF(M386="Dispatched",MAX(1,O386-B386),0))</f>
        <v>5</v>
      </c>
      <c r="R386" s="28" t="n">
        <f aca="false">IF(M386="Cancelled",0,IF(P386&lt;&gt;"",MAX(0,P386-O386),IF(T386&lt;&gt;"None",MAX(1,O386-B386-2),0)))</f>
        <v>0</v>
      </c>
      <c r="S386" s="26" t="s">
        <v>310</v>
      </c>
      <c r="T386" s="27" t="s">
        <v>317</v>
      </c>
    </row>
    <row r="387" customFormat="false" ht="15" hidden="false" customHeight="false" outlineLevel="0" collapsed="false">
      <c r="A387" s="18" t="s">
        <v>1057</v>
      </c>
      <c r="B387" s="25" t="n">
        <v>46221</v>
      </c>
      <c r="C387" s="18" t="s">
        <v>637</v>
      </c>
      <c r="D387" s="20" t="s">
        <v>1058</v>
      </c>
      <c r="E387" s="18" t="s">
        <v>107</v>
      </c>
      <c r="F387" s="20" t="s">
        <v>77</v>
      </c>
      <c r="G387" s="18" t="s">
        <v>291</v>
      </c>
      <c r="H387" s="20" t="str">
        <f aca="false">VLOOKUP(G387,'Product Master'!$A$5:$K$104,2,FALSE())</f>
        <v>Smart Electronics Item 097</v>
      </c>
      <c r="I387" s="20" t="str">
        <f aca="false">VLOOKUP(G387,'Product Master'!$A$5:$K$104,3,FALSE())</f>
        <v>Electronics</v>
      </c>
      <c r="J387" s="17" t="n">
        <v>6</v>
      </c>
      <c r="K387" s="16" t="n">
        <v>1924.42</v>
      </c>
      <c r="L387" s="16" t="n">
        <f aca="false">J387*K387</f>
        <v>11546.52</v>
      </c>
      <c r="M387" s="18" t="s">
        <v>41</v>
      </c>
      <c r="N387" s="25" t="n">
        <v>46224</v>
      </c>
      <c r="O387" s="25" t="n">
        <v>46227</v>
      </c>
      <c r="P387" s="25"/>
      <c r="Q387" s="17" t="n">
        <f aca="false">IF(P387&lt;&gt;"",MAX(1,P387-B387),IF(M387="Dispatched",MAX(1,O387-B387),0))</f>
        <v>6</v>
      </c>
      <c r="R387" s="17" t="n">
        <f aca="false">IF(M387="Cancelled",0,IF(P387&lt;&gt;"",MAX(0,P387-O387),IF(T387&lt;&gt;"None",MAX(1,O387-B387-2),0)))</f>
        <v>4</v>
      </c>
      <c r="S387" s="18" t="s">
        <v>310</v>
      </c>
      <c r="T387" s="20" t="s">
        <v>115</v>
      </c>
    </row>
    <row r="388" customFormat="false" ht="15" hidden="false" customHeight="false" outlineLevel="0" collapsed="false">
      <c r="A388" s="26" t="s">
        <v>1059</v>
      </c>
      <c r="B388" s="34" t="n">
        <v>46183</v>
      </c>
      <c r="C388" s="26" t="s">
        <v>354</v>
      </c>
      <c r="D388" s="27" t="s">
        <v>1060</v>
      </c>
      <c r="E388" s="26" t="s">
        <v>111</v>
      </c>
      <c r="F388" s="27" t="s">
        <v>77</v>
      </c>
      <c r="G388" s="26" t="s">
        <v>266</v>
      </c>
      <c r="H388" s="27" t="str">
        <f aca="false">VLOOKUP(G388,'Product Master'!$A$5:$K$104,2,FALSE())</f>
        <v>Premium Automotive Item 072</v>
      </c>
      <c r="I388" s="27" t="str">
        <f aca="false">VLOOKUP(G388,'Product Master'!$A$5:$K$104,3,FALSE())</f>
        <v>Automotive</v>
      </c>
      <c r="J388" s="28" t="n">
        <v>1</v>
      </c>
      <c r="K388" s="29" t="n">
        <v>1811.97</v>
      </c>
      <c r="L388" s="29" t="n">
        <f aca="false">J388*K388</f>
        <v>1811.97</v>
      </c>
      <c r="M388" s="26" t="s">
        <v>39</v>
      </c>
      <c r="N388" s="34"/>
      <c r="O388" s="34" t="n">
        <v>46187</v>
      </c>
      <c r="P388" s="34"/>
      <c r="Q388" s="28" t="n">
        <f aca="false">IF(P388&lt;&gt;"",MAX(1,P388-B388),IF(M388="Dispatched",MAX(1,O388-B388),0))</f>
        <v>0</v>
      </c>
      <c r="R388" s="28" t="n">
        <f aca="false">IF(M388="Cancelled",0,IF(P388&lt;&gt;"",MAX(0,P388-O388),IF(T388&lt;&gt;"None",MAX(1,O388-B388-2),0)))</f>
        <v>2</v>
      </c>
      <c r="S388" s="26" t="s">
        <v>310</v>
      </c>
      <c r="T388" s="27" t="s">
        <v>108</v>
      </c>
    </row>
    <row r="389" customFormat="false" ht="15" hidden="false" customHeight="false" outlineLevel="0" collapsed="false">
      <c r="A389" s="18" t="s">
        <v>1061</v>
      </c>
      <c r="B389" s="25" t="n">
        <v>46078</v>
      </c>
      <c r="C389" s="18" t="s">
        <v>468</v>
      </c>
      <c r="D389" s="20" t="s">
        <v>1062</v>
      </c>
      <c r="E389" s="18" t="s">
        <v>107</v>
      </c>
      <c r="F389" s="20" t="s">
        <v>79</v>
      </c>
      <c r="G389" s="18" t="s">
        <v>248</v>
      </c>
      <c r="H389" s="20" t="str">
        <f aca="false">VLOOKUP(G389,'Product Master'!$A$5:$K$104,2,FALSE())</f>
        <v>Pro Packaging Item 054</v>
      </c>
      <c r="I389" s="20" t="str">
        <f aca="false">VLOOKUP(G389,'Product Master'!$A$5:$K$104,3,FALSE())</f>
        <v>Packaging</v>
      </c>
      <c r="J389" s="17" t="n">
        <v>23</v>
      </c>
      <c r="K389" s="16" t="n">
        <v>6770.51</v>
      </c>
      <c r="L389" s="16" t="n">
        <f aca="false">J389*K389</f>
        <v>155721.73</v>
      </c>
      <c r="M389" s="18" t="s">
        <v>37</v>
      </c>
      <c r="N389" s="25"/>
      <c r="O389" s="25" t="n">
        <v>46080</v>
      </c>
      <c r="P389" s="25"/>
      <c r="Q389" s="17" t="n">
        <f aca="false">IF(P389&lt;&gt;"",MAX(1,P389-B389),IF(M389="Dispatched",MAX(1,O389-B389),0))</f>
        <v>0</v>
      </c>
      <c r="R389" s="17" t="n">
        <f aca="false">IF(M389="Cancelled",0,IF(P389&lt;&gt;"",MAX(0,P389-O389),IF(T389&lt;&gt;"None",MAX(1,O389-B389-2),0)))</f>
        <v>0</v>
      </c>
      <c r="S389" s="18" t="s">
        <v>339</v>
      </c>
      <c r="T389" s="20" t="s">
        <v>317</v>
      </c>
    </row>
    <row r="390" customFormat="false" ht="15" hidden="false" customHeight="false" outlineLevel="0" collapsed="false">
      <c r="A390" s="26" t="s">
        <v>1063</v>
      </c>
      <c r="B390" s="34" t="n">
        <v>45965</v>
      </c>
      <c r="C390" s="26" t="s">
        <v>786</v>
      </c>
      <c r="D390" s="27" t="s">
        <v>919</v>
      </c>
      <c r="E390" s="26" t="s">
        <v>109</v>
      </c>
      <c r="F390" s="27" t="s">
        <v>80</v>
      </c>
      <c r="G390" s="26" t="s">
        <v>271</v>
      </c>
      <c r="H390" s="27" t="str">
        <f aca="false">VLOOKUP(G390,'Product Master'!$A$5:$K$104,2,FALSE())</f>
        <v>Everyday Industrial Item 077</v>
      </c>
      <c r="I390" s="27" t="str">
        <f aca="false">VLOOKUP(G390,'Product Master'!$A$5:$K$104,3,FALSE())</f>
        <v>Industrial</v>
      </c>
      <c r="J390" s="28" t="n">
        <v>16</v>
      </c>
      <c r="K390" s="29" t="n">
        <v>3653.35</v>
      </c>
      <c r="L390" s="29" t="n">
        <f aca="false">J390*K390</f>
        <v>58453.6</v>
      </c>
      <c r="M390" s="26" t="s">
        <v>35</v>
      </c>
      <c r="N390" s="34" t="n">
        <v>45968</v>
      </c>
      <c r="O390" s="34" t="n">
        <v>45971</v>
      </c>
      <c r="P390" s="34" t="n">
        <v>45969</v>
      </c>
      <c r="Q390" s="28" t="n">
        <f aca="false">IF(P390&lt;&gt;"",MAX(1,P390-B390),IF(M390="Dispatched",MAX(1,O390-B390),0))</f>
        <v>4</v>
      </c>
      <c r="R390" s="28" t="n">
        <f aca="false">IF(M390="Cancelled",0,IF(P390&lt;&gt;"",MAX(0,P390-O390),IF(T390&lt;&gt;"None",MAX(1,O390-B390-2),0)))</f>
        <v>0</v>
      </c>
      <c r="S390" s="26" t="s">
        <v>310</v>
      </c>
      <c r="T390" s="27" t="s">
        <v>317</v>
      </c>
    </row>
    <row r="391" customFormat="false" ht="15" hidden="false" customHeight="false" outlineLevel="0" collapsed="false">
      <c r="A391" s="18" t="s">
        <v>1064</v>
      </c>
      <c r="B391" s="25" t="n">
        <v>46228</v>
      </c>
      <c r="C391" s="18" t="s">
        <v>800</v>
      </c>
      <c r="D391" s="20" t="s">
        <v>875</v>
      </c>
      <c r="E391" s="18" t="s">
        <v>107</v>
      </c>
      <c r="F391" s="20" t="s">
        <v>78</v>
      </c>
      <c r="G391" s="18" t="s">
        <v>202</v>
      </c>
      <c r="H391" s="20" t="str">
        <f aca="false">VLOOKUP(G391,'Product Master'!$A$5:$K$104,2,FALSE())</f>
        <v>Smart Automotive Item 008</v>
      </c>
      <c r="I391" s="20" t="str">
        <f aca="false">VLOOKUP(G391,'Product Master'!$A$5:$K$104,3,FALSE())</f>
        <v>Automotive</v>
      </c>
      <c r="J391" s="17" t="n">
        <v>15</v>
      </c>
      <c r="K391" s="16" t="n">
        <v>8489.02</v>
      </c>
      <c r="L391" s="16" t="n">
        <f aca="false">J391*K391</f>
        <v>127335.3</v>
      </c>
      <c r="M391" s="18" t="s">
        <v>41</v>
      </c>
      <c r="N391" s="25" t="n">
        <v>46230</v>
      </c>
      <c r="O391" s="25" t="n">
        <v>46232</v>
      </c>
      <c r="P391" s="25"/>
      <c r="Q391" s="17" t="n">
        <f aca="false">IF(P391&lt;&gt;"",MAX(1,P391-B391),IF(M391="Dispatched",MAX(1,O391-B391),0))</f>
        <v>4</v>
      </c>
      <c r="R391" s="17" t="n">
        <f aca="false">IF(M391="Cancelled",0,IF(P391&lt;&gt;"",MAX(0,P391-O391),IF(T391&lt;&gt;"None",MAX(1,O391-B391-2),0)))</f>
        <v>0</v>
      </c>
      <c r="S391" s="18" t="s">
        <v>310</v>
      </c>
      <c r="T391" s="20" t="s">
        <v>317</v>
      </c>
    </row>
    <row r="392" customFormat="false" ht="15" hidden="false" customHeight="false" outlineLevel="0" collapsed="false">
      <c r="A392" s="26" t="s">
        <v>1065</v>
      </c>
      <c r="B392" s="34" t="n">
        <v>46256</v>
      </c>
      <c r="C392" s="26" t="s">
        <v>468</v>
      </c>
      <c r="D392" s="27" t="s">
        <v>1066</v>
      </c>
      <c r="E392" s="26" t="s">
        <v>105</v>
      </c>
      <c r="F392" s="27" t="s">
        <v>78</v>
      </c>
      <c r="G392" s="26" t="s">
        <v>240</v>
      </c>
      <c r="H392" s="27" t="str">
        <f aca="false">VLOOKUP(G392,'Product Master'!$A$5:$K$104,2,FALSE())</f>
        <v>Classic Packaging Item 046</v>
      </c>
      <c r="I392" s="27" t="str">
        <f aca="false">VLOOKUP(G392,'Product Master'!$A$5:$K$104,3,FALSE())</f>
        <v>Packaging</v>
      </c>
      <c r="J392" s="28" t="n">
        <v>10</v>
      </c>
      <c r="K392" s="29" t="n">
        <v>6882.83</v>
      </c>
      <c r="L392" s="29" t="n">
        <f aca="false">J392*K392</f>
        <v>68828.3</v>
      </c>
      <c r="M392" s="26" t="s">
        <v>35</v>
      </c>
      <c r="N392" s="34" t="n">
        <v>46257</v>
      </c>
      <c r="O392" s="34" t="n">
        <v>46259</v>
      </c>
      <c r="P392" s="34" t="n">
        <v>46258</v>
      </c>
      <c r="Q392" s="28" t="n">
        <f aca="false">IF(P392&lt;&gt;"",MAX(1,P392-B392),IF(M392="Dispatched",MAX(1,O392-B392),0))</f>
        <v>2</v>
      </c>
      <c r="R392" s="28" t="n">
        <f aca="false">IF(M392="Cancelled",0,IF(P392&lt;&gt;"",MAX(0,P392-O392),IF(T392&lt;&gt;"None",MAX(1,O392-B392-2),0)))</f>
        <v>0</v>
      </c>
      <c r="S392" s="26" t="s">
        <v>37</v>
      </c>
      <c r="T392" s="27" t="s">
        <v>317</v>
      </c>
    </row>
    <row r="393" customFormat="false" ht="15" hidden="false" customHeight="false" outlineLevel="0" collapsed="false">
      <c r="A393" s="18" t="s">
        <v>1067</v>
      </c>
      <c r="B393" s="25" t="n">
        <v>46209</v>
      </c>
      <c r="C393" s="18" t="s">
        <v>878</v>
      </c>
      <c r="D393" s="20" t="s">
        <v>591</v>
      </c>
      <c r="E393" s="18" t="s">
        <v>109</v>
      </c>
      <c r="F393" s="20" t="s">
        <v>78</v>
      </c>
      <c r="G393" s="18" t="s">
        <v>236</v>
      </c>
      <c r="H393" s="20" t="str">
        <f aca="false">VLOOKUP(G393,'Product Master'!$A$5:$K$104,2,FALSE())</f>
        <v>Compact Home Item 042</v>
      </c>
      <c r="I393" s="20" t="str">
        <f aca="false">VLOOKUP(G393,'Product Master'!$A$5:$K$104,3,FALSE())</f>
        <v>Home &amp; Kitchen</v>
      </c>
      <c r="J393" s="17" t="n">
        <v>9</v>
      </c>
      <c r="K393" s="16" t="n">
        <v>5892.15</v>
      </c>
      <c r="L393" s="16" t="n">
        <f aca="false">J393*K393</f>
        <v>53029.35</v>
      </c>
      <c r="M393" s="18" t="s">
        <v>37</v>
      </c>
      <c r="N393" s="25"/>
      <c r="O393" s="25" t="n">
        <v>46216</v>
      </c>
      <c r="P393" s="25"/>
      <c r="Q393" s="17" t="n">
        <f aca="false">IF(P393&lt;&gt;"",MAX(1,P393-B393),IF(M393="Dispatched",MAX(1,O393-B393),0))</f>
        <v>0</v>
      </c>
      <c r="R393" s="17" t="n">
        <f aca="false">IF(M393="Cancelled",0,IF(P393&lt;&gt;"",MAX(0,P393-O393),IF(T393&lt;&gt;"None",MAX(1,O393-B393-2),0)))</f>
        <v>0</v>
      </c>
      <c r="S393" s="18" t="s">
        <v>310</v>
      </c>
      <c r="T393" s="20" t="s">
        <v>317</v>
      </c>
    </row>
    <row r="394" customFormat="false" ht="15" hidden="false" customHeight="false" outlineLevel="0" collapsed="false">
      <c r="A394" s="26" t="s">
        <v>1068</v>
      </c>
      <c r="B394" s="34" t="n">
        <v>46001</v>
      </c>
      <c r="C394" s="26" t="s">
        <v>844</v>
      </c>
      <c r="D394" s="27" t="s">
        <v>1069</v>
      </c>
      <c r="E394" s="26" t="s">
        <v>109</v>
      </c>
      <c r="F394" s="27" t="s">
        <v>78</v>
      </c>
      <c r="G394" s="26" t="s">
        <v>261</v>
      </c>
      <c r="H394" s="27" t="str">
        <f aca="false">VLOOKUP(G394,'Product Master'!$A$5:$K$104,2,FALSE())</f>
        <v>Premium Office Item 067</v>
      </c>
      <c r="I394" s="27" t="str">
        <f aca="false">VLOOKUP(G394,'Product Master'!$A$5:$K$104,3,FALSE())</f>
        <v>Office Supplies</v>
      </c>
      <c r="J394" s="28" t="n">
        <v>25</v>
      </c>
      <c r="K394" s="29" t="n">
        <v>3543.72</v>
      </c>
      <c r="L394" s="29" t="n">
        <f aca="false">J394*K394</f>
        <v>88593</v>
      </c>
      <c r="M394" s="26" t="s">
        <v>35</v>
      </c>
      <c r="N394" s="34" t="n">
        <v>46002</v>
      </c>
      <c r="O394" s="34" t="n">
        <v>46008</v>
      </c>
      <c r="P394" s="34" t="n">
        <v>46006</v>
      </c>
      <c r="Q394" s="28" t="n">
        <f aca="false">IF(P394&lt;&gt;"",MAX(1,P394-B394),IF(M394="Dispatched",MAX(1,O394-B394),0))</f>
        <v>5</v>
      </c>
      <c r="R394" s="28" t="n">
        <f aca="false">IF(M394="Cancelled",0,IF(P394&lt;&gt;"",MAX(0,P394-O394),IF(T394&lt;&gt;"None",MAX(1,O394-B394-2),0)))</f>
        <v>0</v>
      </c>
      <c r="S394" s="26" t="s">
        <v>310</v>
      </c>
      <c r="T394" s="27" t="s">
        <v>317</v>
      </c>
    </row>
    <row r="395" customFormat="false" ht="15" hidden="false" customHeight="false" outlineLevel="0" collapsed="false">
      <c r="A395" s="18" t="s">
        <v>1070</v>
      </c>
      <c r="B395" s="25" t="n">
        <v>46027</v>
      </c>
      <c r="C395" s="18" t="s">
        <v>328</v>
      </c>
      <c r="D395" s="20" t="s">
        <v>872</v>
      </c>
      <c r="E395" s="18" t="s">
        <v>113</v>
      </c>
      <c r="F395" s="20" t="s">
        <v>80</v>
      </c>
      <c r="G395" s="18" t="s">
        <v>266</v>
      </c>
      <c r="H395" s="20" t="str">
        <f aca="false">VLOOKUP(G395,'Product Master'!$A$5:$K$104,2,FALSE())</f>
        <v>Premium Automotive Item 072</v>
      </c>
      <c r="I395" s="20" t="str">
        <f aca="false">VLOOKUP(G395,'Product Master'!$A$5:$K$104,3,FALSE())</f>
        <v>Automotive</v>
      </c>
      <c r="J395" s="17" t="n">
        <v>18</v>
      </c>
      <c r="K395" s="16" t="n">
        <v>1811.97</v>
      </c>
      <c r="L395" s="16" t="n">
        <f aca="false">J395*K395</f>
        <v>32615.46</v>
      </c>
      <c r="M395" s="18" t="s">
        <v>39</v>
      </c>
      <c r="N395" s="25"/>
      <c r="O395" s="25" t="n">
        <v>46030</v>
      </c>
      <c r="P395" s="25"/>
      <c r="Q395" s="17" t="n">
        <f aca="false">IF(P395&lt;&gt;"",MAX(1,P395-B395),IF(M395="Dispatched",MAX(1,O395-B395),0))</f>
        <v>0</v>
      </c>
      <c r="R395" s="17" t="n">
        <f aca="false">IF(M395="Cancelled",0,IF(P395&lt;&gt;"",MAX(0,P395-O395),IF(T395&lt;&gt;"None",MAX(1,O395-B395-2),0)))</f>
        <v>0</v>
      </c>
      <c r="S395" s="18" t="s">
        <v>37</v>
      </c>
      <c r="T395" s="20" t="s">
        <v>317</v>
      </c>
    </row>
    <row r="396" customFormat="false" ht="15" hidden="false" customHeight="false" outlineLevel="0" collapsed="false">
      <c r="A396" s="26" t="s">
        <v>1071</v>
      </c>
      <c r="B396" s="34" t="n">
        <v>45939</v>
      </c>
      <c r="C396" s="26" t="s">
        <v>1029</v>
      </c>
      <c r="D396" s="27" t="s">
        <v>402</v>
      </c>
      <c r="E396" s="26" t="s">
        <v>109</v>
      </c>
      <c r="F396" s="27" t="s">
        <v>78</v>
      </c>
      <c r="G396" s="26" t="s">
        <v>256</v>
      </c>
      <c r="H396" s="27" t="str">
        <f aca="false">VLOOKUP(G396,'Product Master'!$A$5:$K$104,2,FALSE())</f>
        <v>Compact Packaging Item 062</v>
      </c>
      <c r="I396" s="27" t="str">
        <f aca="false">VLOOKUP(G396,'Product Master'!$A$5:$K$104,3,FALSE())</f>
        <v>Packaging</v>
      </c>
      <c r="J396" s="28" t="n">
        <v>23</v>
      </c>
      <c r="K396" s="29" t="n">
        <v>10323.31</v>
      </c>
      <c r="L396" s="29" t="n">
        <f aca="false">J396*K396</f>
        <v>237436.13</v>
      </c>
      <c r="M396" s="26" t="s">
        <v>35</v>
      </c>
      <c r="N396" s="34" t="n">
        <v>45941</v>
      </c>
      <c r="O396" s="34" t="n">
        <v>45948</v>
      </c>
      <c r="P396" s="34" t="n">
        <v>45947</v>
      </c>
      <c r="Q396" s="28" t="n">
        <f aca="false">IF(P396&lt;&gt;"",MAX(1,P396-B396),IF(M396="Dispatched",MAX(1,O396-B396),0))</f>
        <v>8</v>
      </c>
      <c r="R396" s="28" t="n">
        <f aca="false">IF(M396="Cancelled",0,IF(P396&lt;&gt;"",MAX(0,P396-O396),IF(T396&lt;&gt;"None",MAX(1,O396-B396-2),0)))</f>
        <v>0</v>
      </c>
      <c r="S396" s="26" t="s">
        <v>37</v>
      </c>
      <c r="T396" s="27" t="s">
        <v>317</v>
      </c>
    </row>
    <row r="397" customFormat="false" ht="15" hidden="false" customHeight="false" outlineLevel="0" collapsed="false">
      <c r="A397" s="18" t="s">
        <v>1072</v>
      </c>
      <c r="B397" s="25" t="n">
        <v>45991</v>
      </c>
      <c r="C397" s="18" t="s">
        <v>565</v>
      </c>
      <c r="D397" s="20" t="s">
        <v>846</v>
      </c>
      <c r="E397" s="18" t="s">
        <v>107</v>
      </c>
      <c r="F397" s="20" t="s">
        <v>77</v>
      </c>
      <c r="G397" s="18" t="s">
        <v>223</v>
      </c>
      <c r="H397" s="20" t="str">
        <f aca="false">VLOOKUP(G397,'Product Master'!$A$5:$K$104,2,FALSE())</f>
        <v>Eco Industrial Item 029</v>
      </c>
      <c r="I397" s="20" t="str">
        <f aca="false">VLOOKUP(G397,'Product Master'!$A$5:$K$104,3,FALSE())</f>
        <v>Industrial</v>
      </c>
      <c r="J397" s="17" t="n">
        <v>23</v>
      </c>
      <c r="K397" s="16" t="n">
        <v>10945.72</v>
      </c>
      <c r="L397" s="16" t="n">
        <f aca="false">J397*K397</f>
        <v>251751.56</v>
      </c>
      <c r="M397" s="18" t="s">
        <v>35</v>
      </c>
      <c r="N397" s="25" t="n">
        <v>45992</v>
      </c>
      <c r="O397" s="25" t="n">
        <v>45995</v>
      </c>
      <c r="P397" s="25" t="n">
        <v>45994</v>
      </c>
      <c r="Q397" s="17" t="n">
        <f aca="false">IF(P397&lt;&gt;"",MAX(1,P397-B397),IF(M397="Dispatched",MAX(1,O397-B397),0))</f>
        <v>3</v>
      </c>
      <c r="R397" s="17" t="n">
        <f aca="false">IF(M397="Cancelled",0,IF(P397&lt;&gt;"",MAX(0,P397-O397),IF(T397&lt;&gt;"None",MAX(1,O397-B397-2),0)))</f>
        <v>0</v>
      </c>
      <c r="S397" s="18" t="s">
        <v>37</v>
      </c>
      <c r="T397" s="20" t="s">
        <v>317</v>
      </c>
    </row>
    <row r="398" customFormat="false" ht="15" hidden="false" customHeight="false" outlineLevel="0" collapsed="false">
      <c r="A398" s="26" t="s">
        <v>1073</v>
      </c>
      <c r="B398" s="34" t="n">
        <v>45988</v>
      </c>
      <c r="C398" s="26" t="s">
        <v>697</v>
      </c>
      <c r="D398" s="27" t="s">
        <v>427</v>
      </c>
      <c r="E398" s="26" t="s">
        <v>105</v>
      </c>
      <c r="F398" s="27" t="s">
        <v>79</v>
      </c>
      <c r="G398" s="26" t="s">
        <v>204</v>
      </c>
      <c r="H398" s="27" t="str">
        <f aca="false">VLOOKUP(G398,'Product Master'!$A$5:$K$104,2,FALSE())</f>
        <v>Essential Home Item 010</v>
      </c>
      <c r="I398" s="27" t="str">
        <f aca="false">VLOOKUP(G398,'Product Master'!$A$5:$K$104,3,FALSE())</f>
        <v>Home &amp; Kitchen</v>
      </c>
      <c r="J398" s="28" t="n">
        <v>25</v>
      </c>
      <c r="K398" s="29" t="n">
        <v>7388.75</v>
      </c>
      <c r="L398" s="29" t="n">
        <f aca="false">J398*K398</f>
        <v>184718.75</v>
      </c>
      <c r="M398" s="26" t="s">
        <v>35</v>
      </c>
      <c r="N398" s="34" t="n">
        <v>45988</v>
      </c>
      <c r="O398" s="34" t="n">
        <v>45993</v>
      </c>
      <c r="P398" s="34" t="n">
        <v>45989</v>
      </c>
      <c r="Q398" s="28" t="n">
        <f aca="false">IF(P398&lt;&gt;"",MAX(1,P398-B398),IF(M398="Dispatched",MAX(1,O398-B398),0))</f>
        <v>1</v>
      </c>
      <c r="R398" s="28" t="n">
        <f aca="false">IF(M398="Cancelled",0,IF(P398&lt;&gt;"",MAX(0,P398-O398),IF(T398&lt;&gt;"None",MAX(1,O398-B398-2),0)))</f>
        <v>0</v>
      </c>
      <c r="S398" s="26" t="s">
        <v>310</v>
      </c>
      <c r="T398" s="27" t="s">
        <v>317</v>
      </c>
    </row>
    <row r="399" customFormat="false" ht="15" hidden="false" customHeight="false" outlineLevel="0" collapsed="false">
      <c r="A399" s="18" t="s">
        <v>1074</v>
      </c>
      <c r="B399" s="25" t="n">
        <v>46060</v>
      </c>
      <c r="C399" s="18" t="s">
        <v>543</v>
      </c>
      <c r="D399" s="20" t="s">
        <v>1008</v>
      </c>
      <c r="E399" s="18" t="s">
        <v>105</v>
      </c>
      <c r="F399" s="20" t="s">
        <v>78</v>
      </c>
      <c r="G399" s="18" t="s">
        <v>200</v>
      </c>
      <c r="H399" s="20" t="str">
        <f aca="false">VLOOKUP(G399,'Product Master'!$A$5:$K$104,2,FALSE())</f>
        <v>Pro Packaging Item 006</v>
      </c>
      <c r="I399" s="20" t="str">
        <f aca="false">VLOOKUP(G399,'Product Master'!$A$5:$K$104,3,FALSE())</f>
        <v>Packaging</v>
      </c>
      <c r="J399" s="17" t="n">
        <v>22</v>
      </c>
      <c r="K399" s="16" t="n">
        <v>1867.12</v>
      </c>
      <c r="L399" s="16" t="n">
        <f aca="false">J399*K399</f>
        <v>41076.64</v>
      </c>
      <c r="M399" s="18" t="s">
        <v>35</v>
      </c>
      <c r="N399" s="25" t="n">
        <v>46060</v>
      </c>
      <c r="O399" s="25" t="n">
        <v>46063</v>
      </c>
      <c r="P399" s="25" t="n">
        <v>46063</v>
      </c>
      <c r="Q399" s="17" t="n">
        <f aca="false">IF(P399&lt;&gt;"",MAX(1,P399-B399),IF(M399="Dispatched",MAX(1,O399-B399),0))</f>
        <v>3</v>
      </c>
      <c r="R399" s="17" t="n">
        <f aca="false">IF(M399="Cancelled",0,IF(P399&lt;&gt;"",MAX(0,P399-O399),IF(T399&lt;&gt;"None",MAX(1,O399-B399-2),0)))</f>
        <v>0</v>
      </c>
      <c r="S399" s="18" t="s">
        <v>310</v>
      </c>
      <c r="T399" s="20" t="s">
        <v>317</v>
      </c>
    </row>
    <row r="400" customFormat="false" ht="15" hidden="false" customHeight="false" outlineLevel="0" collapsed="false">
      <c r="A400" s="26" t="s">
        <v>1075</v>
      </c>
      <c r="B400" s="34" t="n">
        <v>45945</v>
      </c>
      <c r="C400" s="26" t="s">
        <v>401</v>
      </c>
      <c r="D400" s="27" t="s">
        <v>924</v>
      </c>
      <c r="E400" s="26" t="s">
        <v>107</v>
      </c>
      <c r="F400" s="27" t="s">
        <v>78</v>
      </c>
      <c r="G400" s="26" t="s">
        <v>206</v>
      </c>
      <c r="H400" s="27" t="str">
        <f aca="false">VLOOKUP(G400,'Product Master'!$A$5:$K$104,2,FALSE())</f>
        <v>Eco Personal Item 012</v>
      </c>
      <c r="I400" s="27" t="str">
        <f aca="false">VLOOKUP(G400,'Product Master'!$A$5:$K$104,3,FALSE())</f>
        <v>Personal Care</v>
      </c>
      <c r="J400" s="28" t="n">
        <v>19</v>
      </c>
      <c r="K400" s="29" t="n">
        <v>7685.49</v>
      </c>
      <c r="L400" s="29" t="n">
        <f aca="false">J400*K400</f>
        <v>146024.31</v>
      </c>
      <c r="M400" s="26" t="s">
        <v>35</v>
      </c>
      <c r="N400" s="34" t="n">
        <v>45946</v>
      </c>
      <c r="O400" s="34" t="n">
        <v>45949</v>
      </c>
      <c r="P400" s="34" t="n">
        <v>45957</v>
      </c>
      <c r="Q400" s="28" t="n">
        <f aca="false">IF(P400&lt;&gt;"",MAX(1,P400-B400),IF(M400="Dispatched",MAX(1,O400-B400),0))</f>
        <v>12</v>
      </c>
      <c r="R400" s="28" t="n">
        <f aca="false">IF(M400="Cancelled",0,IF(P400&lt;&gt;"",MAX(0,P400-O400),IF(T400&lt;&gt;"None",MAX(1,O400-B400-2),0)))</f>
        <v>8</v>
      </c>
      <c r="S400" s="26" t="s">
        <v>310</v>
      </c>
      <c r="T400" s="27" t="s">
        <v>110</v>
      </c>
    </row>
    <row r="401" customFormat="false" ht="15" hidden="false" customHeight="false" outlineLevel="0" collapsed="false">
      <c r="A401" s="18" t="s">
        <v>1076</v>
      </c>
      <c r="B401" s="25" t="n">
        <v>45938</v>
      </c>
      <c r="C401" s="18" t="s">
        <v>334</v>
      </c>
      <c r="D401" s="20" t="s">
        <v>626</v>
      </c>
      <c r="E401" s="18" t="s">
        <v>107</v>
      </c>
      <c r="F401" s="20" t="s">
        <v>77</v>
      </c>
      <c r="G401" s="18" t="s">
        <v>262</v>
      </c>
      <c r="H401" s="20" t="str">
        <f aca="false">VLOOKUP(G401,'Product Master'!$A$5:$K$104,2,FALSE())</f>
        <v>Compact Personal Item 068</v>
      </c>
      <c r="I401" s="20" t="str">
        <f aca="false">VLOOKUP(G401,'Product Master'!$A$5:$K$104,3,FALSE())</f>
        <v>Personal Care</v>
      </c>
      <c r="J401" s="17" t="n">
        <v>10</v>
      </c>
      <c r="K401" s="16" t="n">
        <v>7446.2</v>
      </c>
      <c r="L401" s="16" t="n">
        <f aca="false">J401*K401</f>
        <v>74462</v>
      </c>
      <c r="M401" s="18" t="s">
        <v>35</v>
      </c>
      <c r="N401" s="25" t="n">
        <v>45938</v>
      </c>
      <c r="O401" s="25" t="n">
        <v>45940</v>
      </c>
      <c r="P401" s="25" t="n">
        <v>45940</v>
      </c>
      <c r="Q401" s="17" t="n">
        <f aca="false">IF(P401&lt;&gt;"",MAX(1,P401-B401),IF(M401="Dispatched",MAX(1,O401-B401),0))</f>
        <v>2</v>
      </c>
      <c r="R401" s="17" t="n">
        <f aca="false">IF(M401="Cancelled",0,IF(P401&lt;&gt;"",MAX(0,P401-O401),IF(T401&lt;&gt;"None",MAX(1,O401-B401-2),0)))</f>
        <v>0</v>
      </c>
      <c r="S401" s="18" t="s">
        <v>310</v>
      </c>
      <c r="T401" s="20" t="s">
        <v>317</v>
      </c>
    </row>
    <row r="402" customFormat="false" ht="15" hidden="false" customHeight="false" outlineLevel="0" collapsed="false">
      <c r="A402" s="26" t="s">
        <v>1077</v>
      </c>
      <c r="B402" s="34" t="n">
        <v>46025</v>
      </c>
      <c r="C402" s="26" t="s">
        <v>315</v>
      </c>
      <c r="D402" s="27" t="s">
        <v>823</v>
      </c>
      <c r="E402" s="26" t="s">
        <v>105</v>
      </c>
      <c r="F402" s="27" t="s">
        <v>77</v>
      </c>
      <c r="G402" s="26" t="s">
        <v>251</v>
      </c>
      <c r="H402" s="27" t="str">
        <f aca="false">VLOOKUP(G402,'Product Master'!$A$5:$K$104,2,FALSE())</f>
        <v>Essential Electronics Item 057</v>
      </c>
      <c r="I402" s="27" t="str">
        <f aca="false">VLOOKUP(G402,'Product Master'!$A$5:$K$104,3,FALSE())</f>
        <v>Electronics</v>
      </c>
      <c r="J402" s="28" t="n">
        <v>12</v>
      </c>
      <c r="K402" s="29" t="n">
        <v>8152.77</v>
      </c>
      <c r="L402" s="29" t="n">
        <f aca="false">J402*K402</f>
        <v>97833.24</v>
      </c>
      <c r="M402" s="26" t="s">
        <v>43</v>
      </c>
      <c r="N402" s="34"/>
      <c r="O402" s="34" t="n">
        <v>46033</v>
      </c>
      <c r="P402" s="34"/>
      <c r="Q402" s="28" t="n">
        <f aca="false">IF(P402&lt;&gt;"",MAX(1,P402-B402),IF(M402="Dispatched",MAX(1,O402-B402),0))</f>
        <v>0</v>
      </c>
      <c r="R402" s="28" t="n">
        <f aca="false">IF(M402="Cancelled",0,IF(P402&lt;&gt;"",MAX(0,P402-O402),IF(T402&lt;&gt;"None",MAX(1,O402-B402-2),0)))</f>
        <v>0</v>
      </c>
      <c r="S402" s="26" t="s">
        <v>310</v>
      </c>
      <c r="T402" s="27" t="s">
        <v>411</v>
      </c>
    </row>
    <row r="403" customFormat="false" ht="15" hidden="false" customHeight="false" outlineLevel="0" collapsed="false">
      <c r="A403" s="18" t="s">
        <v>1078</v>
      </c>
      <c r="B403" s="25" t="n">
        <v>46091</v>
      </c>
      <c r="C403" s="18" t="s">
        <v>421</v>
      </c>
      <c r="D403" s="20" t="s">
        <v>787</v>
      </c>
      <c r="E403" s="18" t="s">
        <v>111</v>
      </c>
      <c r="F403" s="20" t="s">
        <v>76</v>
      </c>
      <c r="G403" s="18" t="s">
        <v>210</v>
      </c>
      <c r="H403" s="20" t="str">
        <f aca="false">VLOOKUP(G403,'Product Master'!$A$5:$K$104,2,FALSE())</f>
        <v>Pro Automotive Item 016</v>
      </c>
      <c r="I403" s="20" t="str">
        <f aca="false">VLOOKUP(G403,'Product Master'!$A$5:$K$104,3,FALSE())</f>
        <v>Automotive</v>
      </c>
      <c r="J403" s="17" t="n">
        <v>17</v>
      </c>
      <c r="K403" s="16" t="n">
        <v>5263.77</v>
      </c>
      <c r="L403" s="16" t="n">
        <f aca="false">J403*K403</f>
        <v>89484.09</v>
      </c>
      <c r="M403" s="18" t="s">
        <v>35</v>
      </c>
      <c r="N403" s="25" t="n">
        <v>46093</v>
      </c>
      <c r="O403" s="25" t="n">
        <v>46098</v>
      </c>
      <c r="P403" s="25" t="n">
        <v>46106</v>
      </c>
      <c r="Q403" s="17" t="n">
        <f aca="false">IF(P403&lt;&gt;"",MAX(1,P403-B403),IF(M403="Dispatched",MAX(1,O403-B403),0))</f>
        <v>15</v>
      </c>
      <c r="R403" s="17" t="n">
        <f aca="false">IF(M403="Cancelled",0,IF(P403&lt;&gt;"",MAX(0,P403-O403),IF(T403&lt;&gt;"None",MAX(1,O403-B403-2),0)))</f>
        <v>8</v>
      </c>
      <c r="S403" s="18" t="s">
        <v>310</v>
      </c>
      <c r="T403" s="20" t="s">
        <v>115</v>
      </c>
    </row>
    <row r="404" customFormat="false" ht="15" hidden="false" customHeight="false" outlineLevel="0" collapsed="false">
      <c r="A404" s="26" t="s">
        <v>1079</v>
      </c>
      <c r="B404" s="34" t="n">
        <v>46076</v>
      </c>
      <c r="C404" s="26" t="s">
        <v>959</v>
      </c>
      <c r="D404" s="27" t="s">
        <v>755</v>
      </c>
      <c r="E404" s="26" t="s">
        <v>113</v>
      </c>
      <c r="F404" s="27" t="s">
        <v>78</v>
      </c>
      <c r="G404" s="26" t="s">
        <v>253</v>
      </c>
      <c r="H404" s="27" t="str">
        <f aca="false">VLOOKUP(G404,'Product Master'!$A$5:$K$104,2,FALSE())</f>
        <v>Eco Office Item 059</v>
      </c>
      <c r="I404" s="27" t="str">
        <f aca="false">VLOOKUP(G404,'Product Master'!$A$5:$K$104,3,FALSE())</f>
        <v>Office Supplies</v>
      </c>
      <c r="J404" s="28" t="n">
        <v>22</v>
      </c>
      <c r="K404" s="29" t="n">
        <v>348.69</v>
      </c>
      <c r="L404" s="29" t="n">
        <f aca="false">J404*K404</f>
        <v>7671.18</v>
      </c>
      <c r="M404" s="26" t="s">
        <v>43</v>
      </c>
      <c r="N404" s="34"/>
      <c r="O404" s="34" t="n">
        <v>46085</v>
      </c>
      <c r="P404" s="34"/>
      <c r="Q404" s="28" t="n">
        <f aca="false">IF(P404&lt;&gt;"",MAX(1,P404-B404),IF(M404="Dispatched",MAX(1,O404-B404),0))</f>
        <v>0</v>
      </c>
      <c r="R404" s="28" t="n">
        <f aca="false">IF(M404="Cancelled",0,IF(P404&lt;&gt;"",MAX(0,P404-O404),IF(T404&lt;&gt;"None",MAX(1,O404-B404-2),0)))</f>
        <v>0</v>
      </c>
      <c r="S404" s="26" t="s">
        <v>339</v>
      </c>
      <c r="T404" s="27" t="s">
        <v>411</v>
      </c>
    </row>
    <row r="405" customFormat="false" ht="15" hidden="false" customHeight="false" outlineLevel="0" collapsed="false">
      <c r="A405" s="18" t="s">
        <v>1080</v>
      </c>
      <c r="B405" s="25" t="n">
        <v>46150</v>
      </c>
      <c r="C405" s="18" t="s">
        <v>710</v>
      </c>
      <c r="D405" s="20" t="s">
        <v>320</v>
      </c>
      <c r="E405" s="18" t="s">
        <v>105</v>
      </c>
      <c r="F405" s="20" t="s">
        <v>79</v>
      </c>
      <c r="G405" s="18" t="s">
        <v>219</v>
      </c>
      <c r="H405" s="20" t="str">
        <f aca="false">VLOOKUP(G405,'Product Master'!$A$5:$K$104,2,FALSE())</f>
        <v>Pro Electronics Item 025</v>
      </c>
      <c r="I405" s="20" t="str">
        <f aca="false">VLOOKUP(G405,'Product Master'!$A$5:$K$104,3,FALSE())</f>
        <v>Electronics</v>
      </c>
      <c r="J405" s="17" t="n">
        <v>22</v>
      </c>
      <c r="K405" s="16" t="n">
        <v>9400.79</v>
      </c>
      <c r="L405" s="16" t="n">
        <f aca="false">J405*K405</f>
        <v>206817.38</v>
      </c>
      <c r="M405" s="18" t="s">
        <v>35</v>
      </c>
      <c r="N405" s="25" t="n">
        <v>46153</v>
      </c>
      <c r="O405" s="25" t="n">
        <v>46157</v>
      </c>
      <c r="P405" s="25" t="n">
        <v>46155</v>
      </c>
      <c r="Q405" s="17" t="n">
        <f aca="false">IF(P405&lt;&gt;"",MAX(1,P405-B405),IF(M405="Dispatched",MAX(1,O405-B405),0))</f>
        <v>5</v>
      </c>
      <c r="R405" s="17" t="n">
        <f aca="false">IF(M405="Cancelled",0,IF(P405&lt;&gt;"",MAX(0,P405-O405),IF(T405&lt;&gt;"None",MAX(1,O405-B405-2),0)))</f>
        <v>0</v>
      </c>
      <c r="S405" s="18" t="s">
        <v>310</v>
      </c>
      <c r="T405" s="20" t="s">
        <v>317</v>
      </c>
    </row>
    <row r="406" customFormat="false" ht="15" hidden="false" customHeight="false" outlineLevel="0" collapsed="false">
      <c r="A406" s="26" t="s">
        <v>1081</v>
      </c>
      <c r="B406" s="34" t="n">
        <v>45974</v>
      </c>
      <c r="C406" s="26" t="s">
        <v>520</v>
      </c>
      <c r="D406" s="27" t="s">
        <v>376</v>
      </c>
      <c r="E406" s="26" t="s">
        <v>107</v>
      </c>
      <c r="F406" s="27" t="s">
        <v>79</v>
      </c>
      <c r="G406" s="26" t="s">
        <v>210</v>
      </c>
      <c r="H406" s="27" t="str">
        <f aca="false">VLOOKUP(G406,'Product Master'!$A$5:$K$104,2,FALSE())</f>
        <v>Pro Automotive Item 016</v>
      </c>
      <c r="I406" s="27" t="str">
        <f aca="false">VLOOKUP(G406,'Product Master'!$A$5:$K$104,3,FALSE())</f>
        <v>Automotive</v>
      </c>
      <c r="J406" s="28" t="n">
        <v>13</v>
      </c>
      <c r="K406" s="29" t="n">
        <v>5263.77</v>
      </c>
      <c r="L406" s="29" t="n">
        <f aca="false">J406*K406</f>
        <v>68429.01</v>
      </c>
      <c r="M406" s="26" t="s">
        <v>37</v>
      </c>
      <c r="N406" s="34"/>
      <c r="O406" s="34" t="n">
        <v>45977</v>
      </c>
      <c r="P406" s="34"/>
      <c r="Q406" s="28" t="n">
        <f aca="false">IF(P406&lt;&gt;"",MAX(1,P406-B406),IF(M406="Dispatched",MAX(1,O406-B406),0))</f>
        <v>0</v>
      </c>
      <c r="R406" s="28" t="n">
        <f aca="false">IF(M406="Cancelled",0,IF(P406&lt;&gt;"",MAX(0,P406-O406),IF(T406&lt;&gt;"None",MAX(1,O406-B406-2),0)))</f>
        <v>1</v>
      </c>
      <c r="S406" s="26" t="s">
        <v>339</v>
      </c>
      <c r="T406" s="27" t="s">
        <v>106</v>
      </c>
    </row>
    <row r="407" customFormat="false" ht="15" hidden="false" customHeight="false" outlineLevel="0" collapsed="false">
      <c r="A407" s="18" t="s">
        <v>1082</v>
      </c>
      <c r="B407" s="25" t="n">
        <v>46104</v>
      </c>
      <c r="C407" s="18" t="s">
        <v>468</v>
      </c>
      <c r="D407" s="20" t="s">
        <v>361</v>
      </c>
      <c r="E407" s="18" t="s">
        <v>113</v>
      </c>
      <c r="F407" s="20" t="s">
        <v>79</v>
      </c>
      <c r="G407" s="18" t="s">
        <v>220</v>
      </c>
      <c r="H407" s="20" t="str">
        <f aca="false">VLOOKUP(G407,'Product Master'!$A$5:$K$104,2,FALSE())</f>
        <v>Classic Home Item 026</v>
      </c>
      <c r="I407" s="20" t="str">
        <f aca="false">VLOOKUP(G407,'Product Master'!$A$5:$K$104,3,FALSE())</f>
        <v>Home &amp; Kitchen</v>
      </c>
      <c r="J407" s="17" t="n">
        <v>4</v>
      </c>
      <c r="K407" s="16" t="n">
        <v>4898.07</v>
      </c>
      <c r="L407" s="16" t="n">
        <f aca="false">J407*K407</f>
        <v>19592.28</v>
      </c>
      <c r="M407" s="18" t="s">
        <v>35</v>
      </c>
      <c r="N407" s="25" t="n">
        <v>46107</v>
      </c>
      <c r="O407" s="25" t="n">
        <v>46112</v>
      </c>
      <c r="P407" s="25" t="n">
        <v>46112</v>
      </c>
      <c r="Q407" s="17" t="n">
        <f aca="false">IF(P407&lt;&gt;"",MAX(1,P407-B407),IF(M407="Dispatched",MAX(1,O407-B407),0))</f>
        <v>8</v>
      </c>
      <c r="R407" s="17" t="n">
        <f aca="false">IF(M407="Cancelled",0,IF(P407&lt;&gt;"",MAX(0,P407-O407),IF(T407&lt;&gt;"None",MAX(1,O407-B407-2),0)))</f>
        <v>0</v>
      </c>
      <c r="S407" s="18" t="s">
        <v>37</v>
      </c>
      <c r="T407" s="20" t="s">
        <v>317</v>
      </c>
    </row>
    <row r="408" customFormat="false" ht="15" hidden="false" customHeight="false" outlineLevel="0" collapsed="false">
      <c r="A408" s="26" t="s">
        <v>1083</v>
      </c>
      <c r="B408" s="34" t="n">
        <v>46260</v>
      </c>
      <c r="C408" s="26" t="s">
        <v>472</v>
      </c>
      <c r="D408" s="27" t="s">
        <v>683</v>
      </c>
      <c r="E408" s="26" t="s">
        <v>109</v>
      </c>
      <c r="F408" s="27" t="s">
        <v>79</v>
      </c>
      <c r="G408" s="26" t="s">
        <v>246</v>
      </c>
      <c r="H408" s="27" t="str">
        <f aca="false">VLOOKUP(G408,'Product Master'!$A$5:$K$104,2,FALSE())</f>
        <v>Compact Personal Item 052</v>
      </c>
      <c r="I408" s="27" t="str">
        <f aca="false">VLOOKUP(G408,'Product Master'!$A$5:$K$104,3,FALSE())</f>
        <v>Personal Care</v>
      </c>
      <c r="J408" s="28" t="n">
        <v>22</v>
      </c>
      <c r="K408" s="29" t="n">
        <v>8547.77</v>
      </c>
      <c r="L408" s="29" t="n">
        <f aca="false">J408*K408</f>
        <v>188050.94</v>
      </c>
      <c r="M408" s="26" t="s">
        <v>37</v>
      </c>
      <c r="N408" s="34"/>
      <c r="O408" s="34" t="n">
        <v>46268</v>
      </c>
      <c r="P408" s="34"/>
      <c r="Q408" s="28" t="n">
        <f aca="false">IF(P408&lt;&gt;"",MAX(1,P408-B408),IF(M408="Dispatched",MAX(1,O408-B408),0))</f>
        <v>0</v>
      </c>
      <c r="R408" s="28" t="n">
        <f aca="false">IF(M408="Cancelled",0,IF(P408&lt;&gt;"",MAX(0,P408-O408),IF(T408&lt;&gt;"None",MAX(1,O408-B408-2),0)))</f>
        <v>6</v>
      </c>
      <c r="S408" s="26" t="s">
        <v>37</v>
      </c>
      <c r="T408" s="27" t="s">
        <v>116</v>
      </c>
    </row>
    <row r="409" customFormat="false" ht="15" hidden="false" customHeight="false" outlineLevel="0" collapsed="false">
      <c r="A409" s="18" t="s">
        <v>1084</v>
      </c>
      <c r="B409" s="25" t="n">
        <v>45986</v>
      </c>
      <c r="C409" s="18" t="s">
        <v>1085</v>
      </c>
      <c r="D409" s="20" t="s">
        <v>313</v>
      </c>
      <c r="E409" s="18" t="s">
        <v>109</v>
      </c>
      <c r="F409" s="20" t="s">
        <v>79</v>
      </c>
      <c r="G409" s="18" t="s">
        <v>210</v>
      </c>
      <c r="H409" s="20" t="str">
        <f aca="false">VLOOKUP(G409,'Product Master'!$A$5:$K$104,2,FALSE())</f>
        <v>Pro Automotive Item 016</v>
      </c>
      <c r="I409" s="20" t="str">
        <f aca="false">VLOOKUP(G409,'Product Master'!$A$5:$K$104,3,FALSE())</f>
        <v>Automotive</v>
      </c>
      <c r="J409" s="17" t="n">
        <v>16</v>
      </c>
      <c r="K409" s="16" t="n">
        <v>5263.77</v>
      </c>
      <c r="L409" s="16" t="n">
        <f aca="false">J409*K409</f>
        <v>84220.32</v>
      </c>
      <c r="M409" s="18" t="s">
        <v>35</v>
      </c>
      <c r="N409" s="25" t="n">
        <v>45986</v>
      </c>
      <c r="O409" s="25" t="n">
        <v>45990</v>
      </c>
      <c r="P409" s="25" t="n">
        <v>45988</v>
      </c>
      <c r="Q409" s="17" t="n">
        <f aca="false">IF(P409&lt;&gt;"",MAX(1,P409-B409),IF(M409="Dispatched",MAX(1,O409-B409),0))</f>
        <v>2</v>
      </c>
      <c r="R409" s="17" t="n">
        <f aca="false">IF(M409="Cancelled",0,IF(P409&lt;&gt;"",MAX(0,P409-O409),IF(T409&lt;&gt;"None",MAX(1,O409-B409-2),0)))</f>
        <v>0</v>
      </c>
      <c r="S409" s="18" t="s">
        <v>310</v>
      </c>
      <c r="T409" s="20" t="s">
        <v>317</v>
      </c>
    </row>
    <row r="410" customFormat="false" ht="15" hidden="false" customHeight="false" outlineLevel="0" collapsed="false">
      <c r="A410" s="26" t="s">
        <v>1086</v>
      </c>
      <c r="B410" s="34" t="n">
        <v>46278</v>
      </c>
      <c r="C410" s="26" t="s">
        <v>934</v>
      </c>
      <c r="D410" s="27" t="s">
        <v>480</v>
      </c>
      <c r="E410" s="26" t="s">
        <v>107</v>
      </c>
      <c r="F410" s="27" t="s">
        <v>79</v>
      </c>
      <c r="G410" s="26" t="s">
        <v>198</v>
      </c>
      <c r="H410" s="27" t="str">
        <f aca="false">VLOOKUP(G410,'Product Master'!$A$5:$K$104,2,FALSE())</f>
        <v>Everyday Personal Item 004</v>
      </c>
      <c r="I410" s="27" t="str">
        <f aca="false">VLOOKUP(G410,'Product Master'!$A$5:$K$104,3,FALSE())</f>
        <v>Personal Care</v>
      </c>
      <c r="J410" s="28" t="n">
        <v>20</v>
      </c>
      <c r="K410" s="29" t="n">
        <v>5442.69</v>
      </c>
      <c r="L410" s="29" t="n">
        <f aca="false">J410*K410</f>
        <v>108853.8</v>
      </c>
      <c r="M410" s="26" t="s">
        <v>37</v>
      </c>
      <c r="N410" s="34"/>
      <c r="O410" s="34" t="n">
        <v>46282</v>
      </c>
      <c r="P410" s="34"/>
      <c r="Q410" s="28" t="n">
        <f aca="false">IF(P410&lt;&gt;"",MAX(1,P410-B410),IF(M410="Dispatched",MAX(1,O410-B410),0))</f>
        <v>0</v>
      </c>
      <c r="R410" s="28" t="n">
        <f aca="false">IF(M410="Cancelled",0,IF(P410&lt;&gt;"",MAX(0,P410-O410),IF(T410&lt;&gt;"None",MAX(1,O410-B410-2),0)))</f>
        <v>2</v>
      </c>
      <c r="S410" s="26" t="s">
        <v>310</v>
      </c>
      <c r="T410" s="27" t="s">
        <v>116</v>
      </c>
    </row>
    <row r="411" customFormat="false" ht="15" hidden="false" customHeight="false" outlineLevel="0" collapsed="false">
      <c r="A411" s="18" t="s">
        <v>1087</v>
      </c>
      <c r="B411" s="25" t="n">
        <v>46197</v>
      </c>
      <c r="C411" s="18" t="s">
        <v>1088</v>
      </c>
      <c r="D411" s="20" t="s">
        <v>460</v>
      </c>
      <c r="E411" s="18" t="s">
        <v>111</v>
      </c>
      <c r="F411" s="20" t="s">
        <v>79</v>
      </c>
      <c r="G411" s="18" t="s">
        <v>293</v>
      </c>
      <c r="H411" s="20" t="str">
        <f aca="false">VLOOKUP(G411,'Product Master'!$A$5:$K$104,2,FALSE())</f>
        <v>Eco Office Item 099</v>
      </c>
      <c r="I411" s="20" t="str">
        <f aca="false">VLOOKUP(G411,'Product Master'!$A$5:$K$104,3,FALSE())</f>
        <v>Office Supplies</v>
      </c>
      <c r="J411" s="17" t="n">
        <v>7</v>
      </c>
      <c r="K411" s="16" t="n">
        <v>8700.35</v>
      </c>
      <c r="L411" s="16" t="n">
        <f aca="false">J411*K411</f>
        <v>60902.45</v>
      </c>
      <c r="M411" s="18" t="s">
        <v>35</v>
      </c>
      <c r="N411" s="25" t="n">
        <v>46200</v>
      </c>
      <c r="O411" s="25" t="n">
        <v>46206</v>
      </c>
      <c r="P411" s="25" t="n">
        <v>46214</v>
      </c>
      <c r="Q411" s="17" t="n">
        <f aca="false">IF(P411&lt;&gt;"",MAX(1,P411-B411),IF(M411="Dispatched",MAX(1,O411-B411),0))</f>
        <v>17</v>
      </c>
      <c r="R411" s="17" t="n">
        <f aca="false">IF(M411="Cancelled",0,IF(P411&lt;&gt;"",MAX(0,P411-O411),IF(T411&lt;&gt;"None",MAX(1,O411-B411-2),0)))</f>
        <v>8</v>
      </c>
      <c r="S411" s="18" t="s">
        <v>352</v>
      </c>
      <c r="T411" s="20" t="s">
        <v>112</v>
      </c>
    </row>
    <row r="412" customFormat="false" ht="15" hidden="false" customHeight="false" outlineLevel="0" collapsed="false">
      <c r="A412" s="26" t="s">
        <v>1089</v>
      </c>
      <c r="B412" s="34" t="n">
        <v>46210</v>
      </c>
      <c r="C412" s="26" t="s">
        <v>390</v>
      </c>
      <c r="D412" s="27" t="s">
        <v>740</v>
      </c>
      <c r="E412" s="26" t="s">
        <v>105</v>
      </c>
      <c r="F412" s="27" t="s">
        <v>79</v>
      </c>
      <c r="G412" s="26" t="s">
        <v>197</v>
      </c>
      <c r="H412" s="27" t="str">
        <f aca="false">VLOOKUP(G412,'Product Master'!$A$5:$K$104,2,FALSE())</f>
        <v>Premium Office Item 003</v>
      </c>
      <c r="I412" s="27" t="str">
        <f aca="false">VLOOKUP(G412,'Product Master'!$A$5:$K$104,3,FALSE())</f>
        <v>Office Supplies</v>
      </c>
      <c r="J412" s="28" t="n">
        <v>4</v>
      </c>
      <c r="K412" s="29" t="n">
        <v>1653.15</v>
      </c>
      <c r="L412" s="29" t="n">
        <f aca="false">J412*K412</f>
        <v>6612.6</v>
      </c>
      <c r="M412" s="26" t="s">
        <v>35</v>
      </c>
      <c r="N412" s="34" t="n">
        <v>46213</v>
      </c>
      <c r="O412" s="34" t="n">
        <v>46217</v>
      </c>
      <c r="P412" s="34" t="n">
        <v>46221</v>
      </c>
      <c r="Q412" s="28" t="n">
        <f aca="false">IF(P412&lt;&gt;"",MAX(1,P412-B412),IF(M412="Dispatched",MAX(1,O412-B412),0))</f>
        <v>11</v>
      </c>
      <c r="R412" s="28" t="n">
        <f aca="false">IF(M412="Cancelled",0,IF(P412&lt;&gt;"",MAX(0,P412-O412),IF(T412&lt;&gt;"None",MAX(1,O412-B412-2),0)))</f>
        <v>4</v>
      </c>
      <c r="S412" s="26" t="s">
        <v>310</v>
      </c>
      <c r="T412" s="27" t="s">
        <v>114</v>
      </c>
    </row>
    <row r="413" customFormat="false" ht="15" hidden="false" customHeight="false" outlineLevel="0" collapsed="false">
      <c r="A413" s="18" t="s">
        <v>1090</v>
      </c>
      <c r="B413" s="25" t="n">
        <v>46086</v>
      </c>
      <c r="C413" s="18" t="s">
        <v>858</v>
      </c>
      <c r="D413" s="20" t="s">
        <v>466</v>
      </c>
      <c r="E413" s="18" t="s">
        <v>107</v>
      </c>
      <c r="F413" s="20" t="s">
        <v>79</v>
      </c>
      <c r="G413" s="18" t="s">
        <v>285</v>
      </c>
      <c r="H413" s="20" t="str">
        <f aca="false">VLOOKUP(G413,'Product Master'!$A$5:$K$104,2,FALSE())</f>
        <v>Premium Office Item 091</v>
      </c>
      <c r="I413" s="20" t="str">
        <f aca="false">VLOOKUP(G413,'Product Master'!$A$5:$K$104,3,FALSE())</f>
        <v>Office Supplies</v>
      </c>
      <c r="J413" s="17" t="n">
        <v>14</v>
      </c>
      <c r="K413" s="16" t="n">
        <v>6977.08</v>
      </c>
      <c r="L413" s="16" t="n">
        <f aca="false">J413*K413</f>
        <v>97679.12</v>
      </c>
      <c r="M413" s="18" t="s">
        <v>35</v>
      </c>
      <c r="N413" s="25" t="n">
        <v>46089</v>
      </c>
      <c r="O413" s="25" t="n">
        <v>46094</v>
      </c>
      <c r="P413" s="25" t="n">
        <v>46092</v>
      </c>
      <c r="Q413" s="17" t="n">
        <f aca="false">IF(P413&lt;&gt;"",MAX(1,P413-B413),IF(M413="Dispatched",MAX(1,O413-B413),0))</f>
        <v>6</v>
      </c>
      <c r="R413" s="17" t="n">
        <f aca="false">IF(M413="Cancelled",0,IF(P413&lt;&gt;"",MAX(0,P413-O413),IF(T413&lt;&gt;"None",MAX(1,O413-B413-2),0)))</f>
        <v>0</v>
      </c>
      <c r="S413" s="18" t="s">
        <v>310</v>
      </c>
      <c r="T413" s="20" t="s">
        <v>317</v>
      </c>
    </row>
    <row r="414" customFormat="false" ht="15" hidden="false" customHeight="false" outlineLevel="0" collapsed="false">
      <c r="A414" s="26" t="s">
        <v>1091</v>
      </c>
      <c r="B414" s="34" t="n">
        <v>46207</v>
      </c>
      <c r="C414" s="26" t="s">
        <v>723</v>
      </c>
      <c r="D414" s="27" t="s">
        <v>1010</v>
      </c>
      <c r="E414" s="26" t="s">
        <v>111</v>
      </c>
      <c r="F414" s="27" t="s">
        <v>79</v>
      </c>
      <c r="G414" s="26" t="s">
        <v>268</v>
      </c>
      <c r="H414" s="27" t="str">
        <f aca="false">VLOOKUP(G414,'Product Master'!$A$5:$K$104,2,FALSE())</f>
        <v>Pro Home Item 074</v>
      </c>
      <c r="I414" s="27" t="str">
        <f aca="false">VLOOKUP(G414,'Product Master'!$A$5:$K$104,3,FALSE())</f>
        <v>Home &amp; Kitchen</v>
      </c>
      <c r="J414" s="28" t="n">
        <v>18</v>
      </c>
      <c r="K414" s="29" t="n">
        <v>8375.75</v>
      </c>
      <c r="L414" s="29" t="n">
        <f aca="false">J414*K414</f>
        <v>150763.5</v>
      </c>
      <c r="M414" s="26" t="s">
        <v>41</v>
      </c>
      <c r="N414" s="34" t="n">
        <v>46210</v>
      </c>
      <c r="O414" s="34" t="n">
        <v>46214</v>
      </c>
      <c r="P414" s="34"/>
      <c r="Q414" s="28" t="n">
        <f aca="false">IF(P414&lt;&gt;"",MAX(1,P414-B414),IF(M414="Dispatched",MAX(1,O414-B414),0))</f>
        <v>7</v>
      </c>
      <c r="R414" s="28" t="n">
        <f aca="false">IF(M414="Cancelled",0,IF(P414&lt;&gt;"",MAX(0,P414-O414),IF(T414&lt;&gt;"None",MAX(1,O414-B414-2),0)))</f>
        <v>5</v>
      </c>
      <c r="S414" s="26" t="s">
        <v>339</v>
      </c>
      <c r="T414" s="27" t="s">
        <v>115</v>
      </c>
    </row>
    <row r="415" customFormat="false" ht="15" hidden="false" customHeight="false" outlineLevel="0" collapsed="false">
      <c r="A415" s="18" t="s">
        <v>1092</v>
      </c>
      <c r="B415" s="25" t="n">
        <v>46246</v>
      </c>
      <c r="C415" s="18" t="s">
        <v>1093</v>
      </c>
      <c r="D415" s="20" t="s">
        <v>422</v>
      </c>
      <c r="E415" s="18" t="s">
        <v>109</v>
      </c>
      <c r="F415" s="20" t="s">
        <v>78</v>
      </c>
      <c r="G415" s="18" t="s">
        <v>281</v>
      </c>
      <c r="H415" s="20" t="str">
        <f aca="false">VLOOKUP(G415,'Product Master'!$A$5:$K$104,2,FALSE())</f>
        <v>Compact Apparel Item 087</v>
      </c>
      <c r="I415" s="20" t="str">
        <f aca="false">VLOOKUP(G415,'Product Master'!$A$5:$K$104,3,FALSE())</f>
        <v>Apparel</v>
      </c>
      <c r="J415" s="17" t="n">
        <v>11</v>
      </c>
      <c r="K415" s="16" t="n">
        <v>8400.02</v>
      </c>
      <c r="L415" s="16" t="n">
        <f aca="false">J415*K415</f>
        <v>92400.22</v>
      </c>
      <c r="M415" s="18" t="s">
        <v>35</v>
      </c>
      <c r="N415" s="25" t="n">
        <v>46247</v>
      </c>
      <c r="O415" s="25" t="n">
        <v>46248</v>
      </c>
      <c r="P415" s="25" t="n">
        <v>46249</v>
      </c>
      <c r="Q415" s="17" t="n">
        <f aca="false">IF(P415&lt;&gt;"",MAX(1,P415-B415),IF(M415="Dispatched",MAX(1,O415-B415),0))</f>
        <v>3</v>
      </c>
      <c r="R415" s="17" t="n">
        <f aca="false">IF(M415="Cancelled",0,IF(P415&lt;&gt;"",MAX(0,P415-O415),IF(T415&lt;&gt;"None",MAX(1,O415-B415-2),0)))</f>
        <v>1</v>
      </c>
      <c r="S415" s="18" t="s">
        <v>352</v>
      </c>
      <c r="T415" s="20" t="s">
        <v>112</v>
      </c>
    </row>
    <row r="416" customFormat="false" ht="15" hidden="false" customHeight="false" outlineLevel="0" collapsed="false">
      <c r="A416" s="26" t="s">
        <v>1094</v>
      </c>
      <c r="B416" s="34" t="n">
        <v>46105</v>
      </c>
      <c r="C416" s="26" t="s">
        <v>1095</v>
      </c>
      <c r="D416" s="27" t="s">
        <v>808</v>
      </c>
      <c r="E416" s="26" t="s">
        <v>105</v>
      </c>
      <c r="F416" s="27" t="s">
        <v>79</v>
      </c>
      <c r="G416" s="26" t="s">
        <v>243</v>
      </c>
      <c r="H416" s="27" t="str">
        <f aca="false">VLOOKUP(G416,'Product Master'!$A$5:$K$104,2,FALSE())</f>
        <v>Premium Electronics Item 049</v>
      </c>
      <c r="I416" s="27" t="str">
        <f aca="false">VLOOKUP(G416,'Product Master'!$A$5:$K$104,3,FALSE())</f>
        <v>Electronics</v>
      </c>
      <c r="J416" s="28" t="n">
        <v>12</v>
      </c>
      <c r="K416" s="29" t="n">
        <v>8712.18</v>
      </c>
      <c r="L416" s="29" t="n">
        <f aca="false">J416*K416</f>
        <v>104546.16</v>
      </c>
      <c r="M416" s="26" t="s">
        <v>43</v>
      </c>
      <c r="N416" s="34"/>
      <c r="O416" s="34" t="n">
        <v>46113</v>
      </c>
      <c r="P416" s="34"/>
      <c r="Q416" s="28" t="n">
        <f aca="false">IF(P416&lt;&gt;"",MAX(1,P416-B416),IF(M416="Dispatched",MAX(1,O416-B416),0))</f>
        <v>0</v>
      </c>
      <c r="R416" s="28" t="n">
        <f aca="false">IF(M416="Cancelled",0,IF(P416&lt;&gt;"",MAX(0,P416-O416),IF(T416&lt;&gt;"None",MAX(1,O416-B416-2),0)))</f>
        <v>0</v>
      </c>
      <c r="S416" s="26" t="s">
        <v>310</v>
      </c>
      <c r="T416" s="27" t="s">
        <v>411</v>
      </c>
    </row>
    <row r="417" customFormat="false" ht="15" hidden="false" customHeight="false" outlineLevel="0" collapsed="false">
      <c r="A417" s="18" t="s">
        <v>1096</v>
      </c>
      <c r="B417" s="25" t="n">
        <v>46051</v>
      </c>
      <c r="C417" s="18" t="s">
        <v>635</v>
      </c>
      <c r="D417" s="20" t="s">
        <v>1097</v>
      </c>
      <c r="E417" s="18" t="s">
        <v>109</v>
      </c>
      <c r="F417" s="20" t="s">
        <v>80</v>
      </c>
      <c r="G417" s="18" t="s">
        <v>277</v>
      </c>
      <c r="H417" s="20" t="str">
        <f aca="false">VLOOKUP(G417,'Product Master'!$A$5:$K$104,2,FALSE())</f>
        <v>Essential Office Item 083</v>
      </c>
      <c r="I417" s="20" t="str">
        <f aca="false">VLOOKUP(G417,'Product Master'!$A$5:$K$104,3,FALSE())</f>
        <v>Office Supplies</v>
      </c>
      <c r="J417" s="17" t="n">
        <v>3</v>
      </c>
      <c r="K417" s="16" t="n">
        <v>4117.89</v>
      </c>
      <c r="L417" s="16" t="n">
        <f aca="false">J417*K417</f>
        <v>12353.67</v>
      </c>
      <c r="M417" s="18" t="s">
        <v>41</v>
      </c>
      <c r="N417" s="25" t="n">
        <v>46053</v>
      </c>
      <c r="O417" s="25" t="n">
        <v>46054</v>
      </c>
      <c r="P417" s="25"/>
      <c r="Q417" s="17" t="n">
        <f aca="false">IF(P417&lt;&gt;"",MAX(1,P417-B417),IF(M417="Dispatched",MAX(1,O417-B417),0))</f>
        <v>3</v>
      </c>
      <c r="R417" s="17" t="n">
        <f aca="false">IF(M417="Cancelled",0,IF(P417&lt;&gt;"",MAX(0,P417-O417),IF(T417&lt;&gt;"None",MAX(1,O417-B417-2),0)))</f>
        <v>1</v>
      </c>
      <c r="S417" s="18" t="s">
        <v>310</v>
      </c>
      <c r="T417" s="20" t="s">
        <v>115</v>
      </c>
    </row>
    <row r="418" customFormat="false" ht="15" hidden="false" customHeight="false" outlineLevel="0" collapsed="false">
      <c r="A418" s="26" t="s">
        <v>1098</v>
      </c>
      <c r="B418" s="34" t="n">
        <v>46097</v>
      </c>
      <c r="C418" s="26" t="s">
        <v>452</v>
      </c>
      <c r="D418" s="27" t="s">
        <v>1010</v>
      </c>
      <c r="E418" s="26" t="s">
        <v>111</v>
      </c>
      <c r="F418" s="27" t="s">
        <v>79</v>
      </c>
      <c r="G418" s="26" t="s">
        <v>199</v>
      </c>
      <c r="H418" s="27" t="str">
        <f aca="false">VLOOKUP(G418,'Product Master'!$A$5:$K$104,2,FALSE())</f>
        <v>Everyday Industrial Item 005</v>
      </c>
      <c r="I418" s="27" t="str">
        <f aca="false">VLOOKUP(G418,'Product Master'!$A$5:$K$104,3,FALSE())</f>
        <v>Industrial</v>
      </c>
      <c r="J418" s="28" t="n">
        <v>19</v>
      </c>
      <c r="K418" s="29" t="n">
        <v>1573.69</v>
      </c>
      <c r="L418" s="29" t="n">
        <f aca="false">J418*K418</f>
        <v>29900.11</v>
      </c>
      <c r="M418" s="26" t="s">
        <v>35</v>
      </c>
      <c r="N418" s="34" t="n">
        <v>46099</v>
      </c>
      <c r="O418" s="34" t="n">
        <v>46105</v>
      </c>
      <c r="P418" s="34" t="n">
        <v>46101</v>
      </c>
      <c r="Q418" s="28" t="n">
        <f aca="false">IF(P418&lt;&gt;"",MAX(1,P418-B418),IF(M418="Dispatched",MAX(1,O418-B418),0))</f>
        <v>4</v>
      </c>
      <c r="R418" s="28" t="n">
        <f aca="false">IF(M418="Cancelled",0,IF(P418&lt;&gt;"",MAX(0,P418-O418),IF(T418&lt;&gt;"None",MAX(1,O418-B418-2),0)))</f>
        <v>0</v>
      </c>
      <c r="S418" s="26" t="s">
        <v>310</v>
      </c>
      <c r="T418" s="27" t="s">
        <v>317</v>
      </c>
    </row>
    <row r="419" customFormat="false" ht="15" hidden="false" customHeight="false" outlineLevel="0" collapsed="false">
      <c r="A419" s="18" t="s">
        <v>1099</v>
      </c>
      <c r="B419" s="25" t="n">
        <v>46093</v>
      </c>
      <c r="C419" s="18" t="s">
        <v>557</v>
      </c>
      <c r="D419" s="20" t="s">
        <v>914</v>
      </c>
      <c r="E419" s="18" t="s">
        <v>113</v>
      </c>
      <c r="F419" s="20" t="s">
        <v>79</v>
      </c>
      <c r="G419" s="18" t="s">
        <v>243</v>
      </c>
      <c r="H419" s="20" t="str">
        <f aca="false">VLOOKUP(G419,'Product Master'!$A$5:$K$104,2,FALSE())</f>
        <v>Premium Electronics Item 049</v>
      </c>
      <c r="I419" s="20" t="str">
        <f aca="false">VLOOKUP(G419,'Product Master'!$A$5:$K$104,3,FALSE())</f>
        <v>Electronics</v>
      </c>
      <c r="J419" s="17" t="n">
        <v>11</v>
      </c>
      <c r="K419" s="16" t="n">
        <v>8712.18</v>
      </c>
      <c r="L419" s="16" t="n">
        <f aca="false">J419*K419</f>
        <v>95833.98</v>
      </c>
      <c r="M419" s="18" t="s">
        <v>35</v>
      </c>
      <c r="N419" s="25" t="n">
        <v>46093</v>
      </c>
      <c r="O419" s="25" t="n">
        <v>46102</v>
      </c>
      <c r="P419" s="25" t="n">
        <v>46102</v>
      </c>
      <c r="Q419" s="17" t="n">
        <f aca="false">IF(P419&lt;&gt;"",MAX(1,P419-B419),IF(M419="Dispatched",MAX(1,O419-B419),0))</f>
        <v>9</v>
      </c>
      <c r="R419" s="17" t="n">
        <f aca="false">IF(M419="Cancelled",0,IF(P419&lt;&gt;"",MAX(0,P419-O419),IF(T419&lt;&gt;"None",MAX(1,O419-B419-2),0)))</f>
        <v>0</v>
      </c>
      <c r="S419" s="18" t="s">
        <v>37</v>
      </c>
      <c r="T419" s="20" t="s">
        <v>317</v>
      </c>
    </row>
    <row r="420" customFormat="false" ht="15" hidden="false" customHeight="false" outlineLevel="0" collapsed="false">
      <c r="A420" s="26" t="s">
        <v>1100</v>
      </c>
      <c r="B420" s="34" t="n">
        <v>46272</v>
      </c>
      <c r="C420" s="26" t="s">
        <v>1048</v>
      </c>
      <c r="D420" s="27" t="s">
        <v>932</v>
      </c>
      <c r="E420" s="26" t="s">
        <v>107</v>
      </c>
      <c r="F420" s="27" t="s">
        <v>80</v>
      </c>
      <c r="G420" s="26" t="s">
        <v>238</v>
      </c>
      <c r="H420" s="27" t="str">
        <f aca="false">VLOOKUP(G420,'Product Master'!$A$5:$K$104,2,FALSE())</f>
        <v>Essential Personal Item 044</v>
      </c>
      <c r="I420" s="27" t="str">
        <f aca="false">VLOOKUP(G420,'Product Master'!$A$5:$K$104,3,FALSE())</f>
        <v>Personal Care</v>
      </c>
      <c r="J420" s="28" t="n">
        <v>10</v>
      </c>
      <c r="K420" s="29" t="n">
        <v>958.86</v>
      </c>
      <c r="L420" s="29" t="n">
        <f aca="false">J420*K420</f>
        <v>9588.6</v>
      </c>
      <c r="M420" s="26" t="s">
        <v>35</v>
      </c>
      <c r="N420" s="34" t="n">
        <v>46273</v>
      </c>
      <c r="O420" s="34" t="n">
        <v>46280</v>
      </c>
      <c r="P420" s="34" t="n">
        <v>46284</v>
      </c>
      <c r="Q420" s="28" t="n">
        <f aca="false">IF(P420&lt;&gt;"",MAX(1,P420-B420),IF(M420="Dispatched",MAX(1,O420-B420),0))</f>
        <v>12</v>
      </c>
      <c r="R420" s="28" t="n">
        <f aca="false">IF(M420="Cancelled",0,IF(P420&lt;&gt;"",MAX(0,P420-O420),IF(T420&lt;&gt;"None",MAX(1,O420-B420-2),0)))</f>
        <v>4</v>
      </c>
      <c r="S420" s="26" t="s">
        <v>310</v>
      </c>
      <c r="T420" s="27" t="s">
        <v>115</v>
      </c>
    </row>
    <row r="421" customFormat="false" ht="15" hidden="false" customHeight="false" outlineLevel="0" collapsed="false">
      <c r="A421" s="18" t="s">
        <v>1101</v>
      </c>
      <c r="B421" s="25" t="n">
        <v>46083</v>
      </c>
      <c r="C421" s="18" t="s">
        <v>501</v>
      </c>
      <c r="D421" s="20" t="s">
        <v>487</v>
      </c>
      <c r="E421" s="18" t="s">
        <v>111</v>
      </c>
      <c r="F421" s="20" t="s">
        <v>77</v>
      </c>
      <c r="G421" s="18" t="s">
        <v>268</v>
      </c>
      <c r="H421" s="20" t="str">
        <f aca="false">VLOOKUP(G421,'Product Master'!$A$5:$K$104,2,FALSE())</f>
        <v>Pro Home Item 074</v>
      </c>
      <c r="I421" s="20" t="str">
        <f aca="false">VLOOKUP(G421,'Product Master'!$A$5:$K$104,3,FALSE())</f>
        <v>Home &amp; Kitchen</v>
      </c>
      <c r="J421" s="17" t="n">
        <v>20</v>
      </c>
      <c r="K421" s="16" t="n">
        <v>8375.75</v>
      </c>
      <c r="L421" s="16" t="n">
        <f aca="false">J421*K421</f>
        <v>167515</v>
      </c>
      <c r="M421" s="18" t="s">
        <v>39</v>
      </c>
      <c r="N421" s="25"/>
      <c r="O421" s="25" t="n">
        <v>46086</v>
      </c>
      <c r="P421" s="25"/>
      <c r="Q421" s="17" t="n">
        <f aca="false">IF(P421&lt;&gt;"",MAX(1,P421-B421),IF(M421="Dispatched",MAX(1,O421-B421),0))</f>
        <v>0</v>
      </c>
      <c r="R421" s="17" t="n">
        <f aca="false">IF(M421="Cancelled",0,IF(P421&lt;&gt;"",MAX(0,P421-O421),IF(T421&lt;&gt;"None",MAX(1,O421-B421-2),0)))</f>
        <v>0</v>
      </c>
      <c r="S421" s="18" t="s">
        <v>310</v>
      </c>
      <c r="T421" s="20" t="s">
        <v>317</v>
      </c>
    </row>
    <row r="422" customFormat="false" ht="15" hidden="false" customHeight="false" outlineLevel="0" collapsed="false">
      <c r="A422" s="26" t="s">
        <v>1102</v>
      </c>
      <c r="B422" s="34" t="n">
        <v>46202</v>
      </c>
      <c r="C422" s="26" t="s">
        <v>954</v>
      </c>
      <c r="D422" s="27" t="s">
        <v>326</v>
      </c>
      <c r="E422" s="26" t="s">
        <v>111</v>
      </c>
      <c r="F422" s="27" t="s">
        <v>77</v>
      </c>
      <c r="G422" s="26" t="s">
        <v>255</v>
      </c>
      <c r="H422" s="27" t="str">
        <f aca="false">VLOOKUP(G422,'Product Master'!$A$5:$K$104,2,FALSE())</f>
        <v>Pro Industrial Item 061</v>
      </c>
      <c r="I422" s="27" t="str">
        <f aca="false">VLOOKUP(G422,'Product Master'!$A$5:$K$104,3,FALSE())</f>
        <v>Industrial</v>
      </c>
      <c r="J422" s="28" t="n">
        <v>12</v>
      </c>
      <c r="K422" s="29" t="n">
        <v>5193.69</v>
      </c>
      <c r="L422" s="29" t="n">
        <f aca="false">J422*K422</f>
        <v>62324.28</v>
      </c>
      <c r="M422" s="26" t="s">
        <v>39</v>
      </c>
      <c r="N422" s="34"/>
      <c r="O422" s="34" t="n">
        <v>46208</v>
      </c>
      <c r="P422" s="34"/>
      <c r="Q422" s="28" t="n">
        <f aca="false">IF(P422&lt;&gt;"",MAX(1,P422-B422),IF(M422="Dispatched",MAX(1,O422-B422),0))</f>
        <v>0</v>
      </c>
      <c r="R422" s="28" t="n">
        <f aca="false">IF(M422="Cancelled",0,IF(P422&lt;&gt;"",MAX(0,P422-O422),IF(T422&lt;&gt;"None",MAX(1,O422-B422-2),0)))</f>
        <v>4</v>
      </c>
      <c r="S422" s="26" t="s">
        <v>310</v>
      </c>
      <c r="T422" s="27" t="s">
        <v>108</v>
      </c>
    </row>
    <row r="423" customFormat="false" ht="15" hidden="false" customHeight="false" outlineLevel="0" collapsed="false">
      <c r="A423" s="18" t="s">
        <v>1103</v>
      </c>
      <c r="B423" s="25" t="n">
        <v>46059</v>
      </c>
      <c r="C423" s="18" t="s">
        <v>456</v>
      </c>
      <c r="D423" s="20" t="s">
        <v>355</v>
      </c>
      <c r="E423" s="18" t="s">
        <v>113</v>
      </c>
      <c r="F423" s="20" t="s">
        <v>79</v>
      </c>
      <c r="G423" s="18" t="s">
        <v>274</v>
      </c>
      <c r="H423" s="20" t="str">
        <f aca="false">VLOOKUP(G423,'Product Master'!$A$5:$K$104,2,FALSE())</f>
        <v>Classic Automotive Item 080</v>
      </c>
      <c r="I423" s="20" t="str">
        <f aca="false">VLOOKUP(G423,'Product Master'!$A$5:$K$104,3,FALSE())</f>
        <v>Automotive</v>
      </c>
      <c r="J423" s="17" t="n">
        <v>22</v>
      </c>
      <c r="K423" s="16" t="n">
        <v>2261.32</v>
      </c>
      <c r="L423" s="16" t="n">
        <f aca="false">J423*K423</f>
        <v>49749.04</v>
      </c>
      <c r="M423" s="18" t="s">
        <v>39</v>
      </c>
      <c r="N423" s="25"/>
      <c r="O423" s="25" t="n">
        <v>46063</v>
      </c>
      <c r="P423" s="25"/>
      <c r="Q423" s="17" t="n">
        <f aca="false">IF(P423&lt;&gt;"",MAX(1,P423-B423),IF(M423="Dispatched",MAX(1,O423-B423),0))</f>
        <v>0</v>
      </c>
      <c r="R423" s="17" t="n">
        <f aca="false">IF(M423="Cancelled",0,IF(P423&lt;&gt;"",MAX(0,P423-O423),IF(T423&lt;&gt;"None",MAX(1,O423-B423-2),0)))</f>
        <v>0</v>
      </c>
      <c r="S423" s="18" t="s">
        <v>310</v>
      </c>
      <c r="T423" s="20" t="s">
        <v>317</v>
      </c>
    </row>
    <row r="424" customFormat="false" ht="15" hidden="false" customHeight="false" outlineLevel="0" collapsed="false">
      <c r="A424" s="26" t="s">
        <v>1104</v>
      </c>
      <c r="B424" s="34" t="n">
        <v>46269</v>
      </c>
      <c r="C424" s="26" t="s">
        <v>840</v>
      </c>
      <c r="D424" s="27" t="s">
        <v>575</v>
      </c>
      <c r="E424" s="26" t="s">
        <v>111</v>
      </c>
      <c r="F424" s="27" t="s">
        <v>78</v>
      </c>
      <c r="G424" s="26" t="s">
        <v>290</v>
      </c>
      <c r="H424" s="27" t="str">
        <f aca="false">VLOOKUP(G424,'Product Master'!$A$5:$K$104,2,FALSE())</f>
        <v>Eco Automotive Item 096</v>
      </c>
      <c r="I424" s="27" t="str">
        <f aca="false">VLOOKUP(G424,'Product Master'!$A$5:$K$104,3,FALSE())</f>
        <v>Automotive</v>
      </c>
      <c r="J424" s="28" t="n">
        <v>21</v>
      </c>
      <c r="K424" s="29" t="n">
        <v>9414.72</v>
      </c>
      <c r="L424" s="29" t="n">
        <f aca="false">J424*K424</f>
        <v>197709.12</v>
      </c>
      <c r="M424" s="26" t="s">
        <v>35</v>
      </c>
      <c r="N424" s="34" t="n">
        <v>46269</v>
      </c>
      <c r="O424" s="34" t="n">
        <v>46277</v>
      </c>
      <c r="P424" s="34" t="n">
        <v>46285</v>
      </c>
      <c r="Q424" s="28" t="n">
        <f aca="false">IF(P424&lt;&gt;"",MAX(1,P424-B424),IF(M424="Dispatched",MAX(1,O424-B424),0))</f>
        <v>16</v>
      </c>
      <c r="R424" s="28" t="n">
        <f aca="false">IF(M424="Cancelled",0,IF(P424&lt;&gt;"",MAX(0,P424-O424),IF(T424&lt;&gt;"None",MAX(1,O424-B424-2),0)))</f>
        <v>8</v>
      </c>
      <c r="S424" s="26" t="s">
        <v>310</v>
      </c>
      <c r="T424" s="27" t="s">
        <v>106</v>
      </c>
    </row>
    <row r="425" customFormat="false" ht="15" hidden="false" customHeight="false" outlineLevel="0" collapsed="false">
      <c r="A425" s="18" t="s">
        <v>1105</v>
      </c>
      <c r="B425" s="25" t="n">
        <v>46314</v>
      </c>
      <c r="C425" s="18" t="s">
        <v>1106</v>
      </c>
      <c r="D425" s="20" t="s">
        <v>677</v>
      </c>
      <c r="E425" s="18" t="s">
        <v>109</v>
      </c>
      <c r="F425" s="20" t="s">
        <v>79</v>
      </c>
      <c r="G425" s="18" t="s">
        <v>282</v>
      </c>
      <c r="H425" s="20" t="str">
        <f aca="false">VLOOKUP(G425,'Product Master'!$A$5:$K$104,2,FALSE())</f>
        <v>Premium Automotive Item 088</v>
      </c>
      <c r="I425" s="20" t="str">
        <f aca="false">VLOOKUP(G425,'Product Master'!$A$5:$K$104,3,FALSE())</f>
        <v>Automotive</v>
      </c>
      <c r="J425" s="17" t="n">
        <v>14</v>
      </c>
      <c r="K425" s="16" t="n">
        <v>1483.52</v>
      </c>
      <c r="L425" s="16" t="n">
        <f aca="false">J425*K425</f>
        <v>20769.28</v>
      </c>
      <c r="M425" s="18" t="s">
        <v>37</v>
      </c>
      <c r="N425" s="25"/>
      <c r="O425" s="25" t="n">
        <v>46319</v>
      </c>
      <c r="P425" s="25"/>
      <c r="Q425" s="17" t="n">
        <f aca="false">IF(P425&lt;&gt;"",MAX(1,P425-B425),IF(M425="Dispatched",MAX(1,O425-B425),0))</f>
        <v>0</v>
      </c>
      <c r="R425" s="17" t="n">
        <f aca="false">IF(M425="Cancelled",0,IF(P425&lt;&gt;"",MAX(0,P425-O425),IF(T425&lt;&gt;"None",MAX(1,O425-B425-2),0)))</f>
        <v>3</v>
      </c>
      <c r="S425" s="18" t="s">
        <v>310</v>
      </c>
      <c r="T425" s="20" t="s">
        <v>108</v>
      </c>
    </row>
    <row r="426" customFormat="false" ht="15" hidden="false" customHeight="false" outlineLevel="0" collapsed="false">
      <c r="A426" s="26" t="s">
        <v>1107</v>
      </c>
      <c r="B426" s="34" t="n">
        <v>46282</v>
      </c>
      <c r="C426" s="26" t="s">
        <v>363</v>
      </c>
      <c r="D426" s="27" t="s">
        <v>367</v>
      </c>
      <c r="E426" s="26" t="s">
        <v>107</v>
      </c>
      <c r="F426" s="27" t="s">
        <v>79</v>
      </c>
      <c r="G426" s="26" t="s">
        <v>271</v>
      </c>
      <c r="H426" s="27" t="str">
        <f aca="false">VLOOKUP(G426,'Product Master'!$A$5:$K$104,2,FALSE())</f>
        <v>Everyday Industrial Item 077</v>
      </c>
      <c r="I426" s="27" t="str">
        <f aca="false">VLOOKUP(G426,'Product Master'!$A$5:$K$104,3,FALSE())</f>
        <v>Industrial</v>
      </c>
      <c r="J426" s="28" t="n">
        <v>8</v>
      </c>
      <c r="K426" s="29" t="n">
        <v>3653.35</v>
      </c>
      <c r="L426" s="29" t="n">
        <f aca="false">J426*K426</f>
        <v>29226.8</v>
      </c>
      <c r="M426" s="26" t="s">
        <v>35</v>
      </c>
      <c r="N426" s="34" t="n">
        <v>46282</v>
      </c>
      <c r="O426" s="34" t="n">
        <v>46287</v>
      </c>
      <c r="P426" s="34" t="n">
        <v>46287</v>
      </c>
      <c r="Q426" s="28" t="n">
        <f aca="false">IF(P426&lt;&gt;"",MAX(1,P426-B426),IF(M426="Dispatched",MAX(1,O426-B426),0))</f>
        <v>5</v>
      </c>
      <c r="R426" s="28" t="n">
        <f aca="false">IF(M426="Cancelled",0,IF(P426&lt;&gt;"",MAX(0,P426-O426),IF(T426&lt;&gt;"None",MAX(1,O426-B426-2),0)))</f>
        <v>0</v>
      </c>
      <c r="S426" s="26" t="s">
        <v>310</v>
      </c>
      <c r="T426" s="27" t="s">
        <v>317</v>
      </c>
    </row>
    <row r="427" customFormat="false" ht="15" hidden="false" customHeight="false" outlineLevel="0" collapsed="false">
      <c r="A427" s="18" t="s">
        <v>1108</v>
      </c>
      <c r="B427" s="25" t="n">
        <v>46154</v>
      </c>
      <c r="C427" s="18" t="s">
        <v>387</v>
      </c>
      <c r="D427" s="20" t="s">
        <v>798</v>
      </c>
      <c r="E427" s="18" t="s">
        <v>105</v>
      </c>
      <c r="F427" s="20" t="s">
        <v>77</v>
      </c>
      <c r="G427" s="18" t="s">
        <v>249</v>
      </c>
      <c r="H427" s="20" t="str">
        <f aca="false">VLOOKUP(G427,'Product Master'!$A$5:$K$104,2,FALSE())</f>
        <v>Eco Apparel Item 055</v>
      </c>
      <c r="I427" s="20" t="str">
        <f aca="false">VLOOKUP(G427,'Product Master'!$A$5:$K$104,3,FALSE())</f>
        <v>Apparel</v>
      </c>
      <c r="J427" s="17" t="n">
        <v>6</v>
      </c>
      <c r="K427" s="16" t="n">
        <v>3025.58</v>
      </c>
      <c r="L427" s="16" t="n">
        <f aca="false">J427*K427</f>
        <v>18153.48</v>
      </c>
      <c r="M427" s="18" t="s">
        <v>35</v>
      </c>
      <c r="N427" s="25" t="n">
        <v>46156</v>
      </c>
      <c r="O427" s="25" t="n">
        <v>46156</v>
      </c>
      <c r="P427" s="25" t="n">
        <v>46156</v>
      </c>
      <c r="Q427" s="17" t="n">
        <f aca="false">IF(P427&lt;&gt;"",MAX(1,P427-B427),IF(M427="Dispatched",MAX(1,O427-B427),0))</f>
        <v>2</v>
      </c>
      <c r="R427" s="17" t="n">
        <f aca="false">IF(M427="Cancelled",0,IF(P427&lt;&gt;"",MAX(0,P427-O427),IF(T427&lt;&gt;"None",MAX(1,O427-B427-2),0)))</f>
        <v>0</v>
      </c>
      <c r="S427" s="18" t="s">
        <v>352</v>
      </c>
      <c r="T427" s="20" t="s">
        <v>317</v>
      </c>
    </row>
    <row r="428" customFormat="false" ht="15" hidden="false" customHeight="false" outlineLevel="0" collapsed="false">
      <c r="A428" s="26" t="s">
        <v>1109</v>
      </c>
      <c r="B428" s="34" t="n">
        <v>46314</v>
      </c>
      <c r="C428" s="26" t="s">
        <v>609</v>
      </c>
      <c r="D428" s="27" t="s">
        <v>437</v>
      </c>
      <c r="E428" s="26" t="s">
        <v>105</v>
      </c>
      <c r="F428" s="27" t="s">
        <v>76</v>
      </c>
      <c r="G428" s="26" t="s">
        <v>257</v>
      </c>
      <c r="H428" s="27" t="str">
        <f aca="false">VLOOKUP(G428,'Product Master'!$A$5:$K$104,2,FALSE())</f>
        <v>Everyday Apparel Item 063</v>
      </c>
      <c r="I428" s="27" t="str">
        <f aca="false">VLOOKUP(G428,'Product Master'!$A$5:$K$104,3,FALSE())</f>
        <v>Apparel</v>
      </c>
      <c r="J428" s="28" t="n">
        <v>3</v>
      </c>
      <c r="K428" s="29" t="n">
        <v>3551.07</v>
      </c>
      <c r="L428" s="29" t="n">
        <f aca="false">J428*K428</f>
        <v>10653.21</v>
      </c>
      <c r="M428" s="26" t="s">
        <v>37</v>
      </c>
      <c r="N428" s="34"/>
      <c r="O428" s="34" t="n">
        <v>46319</v>
      </c>
      <c r="P428" s="34"/>
      <c r="Q428" s="28" t="n">
        <f aca="false">IF(P428&lt;&gt;"",MAX(1,P428-B428),IF(M428="Dispatched",MAX(1,O428-B428),0))</f>
        <v>0</v>
      </c>
      <c r="R428" s="28" t="n">
        <f aca="false">IF(M428="Cancelled",0,IF(P428&lt;&gt;"",MAX(0,P428-O428),IF(T428&lt;&gt;"None",MAX(1,O428-B428-2),0)))</f>
        <v>3</v>
      </c>
      <c r="S428" s="26" t="s">
        <v>352</v>
      </c>
      <c r="T428" s="27" t="s">
        <v>108</v>
      </c>
    </row>
    <row r="429" customFormat="false" ht="15" hidden="false" customHeight="false" outlineLevel="0" collapsed="false">
      <c r="A429" s="18" t="s">
        <v>1110</v>
      </c>
      <c r="B429" s="25" t="n">
        <v>46314</v>
      </c>
      <c r="C429" s="18" t="s">
        <v>669</v>
      </c>
      <c r="D429" s="20" t="s">
        <v>746</v>
      </c>
      <c r="E429" s="18" t="s">
        <v>107</v>
      </c>
      <c r="F429" s="20" t="s">
        <v>76</v>
      </c>
      <c r="G429" s="18" t="s">
        <v>212</v>
      </c>
      <c r="H429" s="20" t="str">
        <f aca="false">VLOOKUP(G429,'Product Master'!$A$5:$K$104,2,FALSE())</f>
        <v>Smart Home Item 018</v>
      </c>
      <c r="I429" s="20" t="str">
        <f aca="false">VLOOKUP(G429,'Product Master'!$A$5:$K$104,3,FALSE())</f>
        <v>Home &amp; Kitchen</v>
      </c>
      <c r="J429" s="17" t="n">
        <v>19</v>
      </c>
      <c r="K429" s="16" t="n">
        <v>5693.61</v>
      </c>
      <c r="L429" s="16" t="n">
        <f aca="false">J429*K429</f>
        <v>108178.59</v>
      </c>
      <c r="M429" s="18" t="s">
        <v>39</v>
      </c>
      <c r="N429" s="25"/>
      <c r="O429" s="25" t="n">
        <v>46318</v>
      </c>
      <c r="P429" s="25"/>
      <c r="Q429" s="17" t="n">
        <f aca="false">IF(P429&lt;&gt;"",MAX(1,P429-B429),IF(M429="Dispatched",MAX(1,O429-B429),0))</f>
        <v>0</v>
      </c>
      <c r="R429" s="17" t="n">
        <f aca="false">IF(M429="Cancelled",0,IF(P429&lt;&gt;"",MAX(0,P429-O429),IF(T429&lt;&gt;"None",MAX(1,O429-B429-2),0)))</f>
        <v>0</v>
      </c>
      <c r="S429" s="18" t="s">
        <v>310</v>
      </c>
      <c r="T429" s="20" t="s">
        <v>317</v>
      </c>
    </row>
    <row r="430" customFormat="false" ht="15" hidden="false" customHeight="false" outlineLevel="0" collapsed="false">
      <c r="A430" s="26" t="s">
        <v>1111</v>
      </c>
      <c r="B430" s="34" t="n">
        <v>46091</v>
      </c>
      <c r="C430" s="26" t="s">
        <v>1055</v>
      </c>
      <c r="D430" s="27" t="s">
        <v>749</v>
      </c>
      <c r="E430" s="26" t="s">
        <v>113</v>
      </c>
      <c r="F430" s="27" t="s">
        <v>79</v>
      </c>
      <c r="G430" s="26" t="s">
        <v>237</v>
      </c>
      <c r="H430" s="27" t="str">
        <f aca="false">VLOOKUP(G430,'Product Master'!$A$5:$K$104,2,FALSE())</f>
        <v>Eco Office Item 043</v>
      </c>
      <c r="I430" s="27" t="str">
        <f aca="false">VLOOKUP(G430,'Product Master'!$A$5:$K$104,3,FALSE())</f>
        <v>Office Supplies</v>
      </c>
      <c r="J430" s="28" t="n">
        <v>24</v>
      </c>
      <c r="K430" s="29" t="n">
        <v>2525.48</v>
      </c>
      <c r="L430" s="29" t="n">
        <f aca="false">J430*K430</f>
        <v>60611.52</v>
      </c>
      <c r="M430" s="26" t="s">
        <v>39</v>
      </c>
      <c r="N430" s="34"/>
      <c r="O430" s="34" t="n">
        <v>46099</v>
      </c>
      <c r="P430" s="34"/>
      <c r="Q430" s="28" t="n">
        <f aca="false">IF(P430&lt;&gt;"",MAX(1,P430-B430),IF(M430="Dispatched",MAX(1,O430-B430),0))</f>
        <v>0</v>
      </c>
      <c r="R430" s="28" t="n">
        <f aca="false">IF(M430="Cancelled",0,IF(P430&lt;&gt;"",MAX(0,P430-O430),IF(T430&lt;&gt;"None",MAX(1,O430-B430-2),0)))</f>
        <v>6</v>
      </c>
      <c r="S430" s="26" t="s">
        <v>310</v>
      </c>
      <c r="T430" s="27" t="s">
        <v>106</v>
      </c>
    </row>
    <row r="431" customFormat="false" ht="15" hidden="false" customHeight="false" outlineLevel="0" collapsed="false">
      <c r="A431" s="18" t="s">
        <v>1112</v>
      </c>
      <c r="B431" s="25" t="n">
        <v>46071</v>
      </c>
      <c r="C431" s="18" t="s">
        <v>1113</v>
      </c>
      <c r="D431" s="20" t="s">
        <v>466</v>
      </c>
      <c r="E431" s="18" t="s">
        <v>111</v>
      </c>
      <c r="F431" s="20" t="s">
        <v>78</v>
      </c>
      <c r="G431" s="18" t="s">
        <v>251</v>
      </c>
      <c r="H431" s="20" t="str">
        <f aca="false">VLOOKUP(G431,'Product Master'!$A$5:$K$104,2,FALSE())</f>
        <v>Essential Electronics Item 057</v>
      </c>
      <c r="I431" s="20" t="str">
        <f aca="false">VLOOKUP(G431,'Product Master'!$A$5:$K$104,3,FALSE())</f>
        <v>Electronics</v>
      </c>
      <c r="J431" s="17" t="n">
        <v>19</v>
      </c>
      <c r="K431" s="16" t="n">
        <v>8152.77</v>
      </c>
      <c r="L431" s="16" t="n">
        <f aca="false">J431*K431</f>
        <v>154902.63</v>
      </c>
      <c r="M431" s="18" t="s">
        <v>35</v>
      </c>
      <c r="N431" s="25" t="n">
        <v>46071</v>
      </c>
      <c r="O431" s="25" t="n">
        <v>46078</v>
      </c>
      <c r="P431" s="25" t="n">
        <v>46079</v>
      </c>
      <c r="Q431" s="17" t="n">
        <f aca="false">IF(P431&lt;&gt;"",MAX(1,P431-B431),IF(M431="Dispatched",MAX(1,O431-B431),0))</f>
        <v>8</v>
      </c>
      <c r="R431" s="17" t="n">
        <f aca="false">IF(M431="Cancelled",0,IF(P431&lt;&gt;"",MAX(0,P431-O431),IF(T431&lt;&gt;"None",MAX(1,O431-B431-2),0)))</f>
        <v>1</v>
      </c>
      <c r="S431" s="18" t="s">
        <v>310</v>
      </c>
      <c r="T431" s="20" t="s">
        <v>110</v>
      </c>
    </row>
    <row r="432" customFormat="false" ht="15" hidden="false" customHeight="false" outlineLevel="0" collapsed="false">
      <c r="A432" s="26" t="s">
        <v>1114</v>
      </c>
      <c r="B432" s="34" t="n">
        <v>46073</v>
      </c>
      <c r="C432" s="26" t="s">
        <v>1048</v>
      </c>
      <c r="D432" s="27" t="s">
        <v>708</v>
      </c>
      <c r="E432" s="26" t="s">
        <v>109</v>
      </c>
      <c r="F432" s="27" t="s">
        <v>79</v>
      </c>
      <c r="G432" s="26" t="s">
        <v>213</v>
      </c>
      <c r="H432" s="27" t="str">
        <f aca="false">VLOOKUP(G432,'Product Master'!$A$5:$K$104,2,FALSE())</f>
        <v>Everyday Office Item 019</v>
      </c>
      <c r="I432" s="27" t="str">
        <f aca="false">VLOOKUP(G432,'Product Master'!$A$5:$K$104,3,FALSE())</f>
        <v>Office Supplies</v>
      </c>
      <c r="J432" s="28" t="n">
        <v>23</v>
      </c>
      <c r="K432" s="29" t="n">
        <v>3354.66</v>
      </c>
      <c r="L432" s="29" t="n">
        <f aca="false">J432*K432</f>
        <v>77157.18</v>
      </c>
      <c r="M432" s="26" t="s">
        <v>35</v>
      </c>
      <c r="N432" s="34" t="n">
        <v>46073</v>
      </c>
      <c r="O432" s="34" t="n">
        <v>46079</v>
      </c>
      <c r="P432" s="34" t="n">
        <v>46075</v>
      </c>
      <c r="Q432" s="28" t="n">
        <f aca="false">IF(P432&lt;&gt;"",MAX(1,P432-B432),IF(M432="Dispatched",MAX(1,O432-B432),0))</f>
        <v>2</v>
      </c>
      <c r="R432" s="28" t="n">
        <f aca="false">IF(M432="Cancelled",0,IF(P432&lt;&gt;"",MAX(0,P432-O432),IF(T432&lt;&gt;"None",MAX(1,O432-B432-2),0)))</f>
        <v>0</v>
      </c>
      <c r="S432" s="26" t="s">
        <v>352</v>
      </c>
      <c r="T432" s="27" t="s">
        <v>317</v>
      </c>
    </row>
    <row r="433" customFormat="false" ht="15" hidden="false" customHeight="false" outlineLevel="0" collapsed="false">
      <c r="A433" s="18" t="s">
        <v>1115</v>
      </c>
      <c r="B433" s="25" t="n">
        <v>46274</v>
      </c>
      <c r="C433" s="18" t="s">
        <v>1116</v>
      </c>
      <c r="D433" s="20" t="s">
        <v>1117</v>
      </c>
      <c r="E433" s="18" t="s">
        <v>109</v>
      </c>
      <c r="F433" s="20" t="s">
        <v>80</v>
      </c>
      <c r="G433" s="18" t="s">
        <v>225</v>
      </c>
      <c r="H433" s="20" t="str">
        <f aca="false">VLOOKUP(G433,'Product Master'!$A$5:$K$104,2,FALSE())</f>
        <v>Essential Apparel Item 031</v>
      </c>
      <c r="I433" s="20" t="str">
        <f aca="false">VLOOKUP(G433,'Product Master'!$A$5:$K$104,3,FALSE())</f>
        <v>Apparel</v>
      </c>
      <c r="J433" s="17" t="n">
        <v>13</v>
      </c>
      <c r="K433" s="16" t="n">
        <v>11597.85</v>
      </c>
      <c r="L433" s="16" t="n">
        <f aca="false">J433*K433</f>
        <v>150772.05</v>
      </c>
      <c r="M433" s="18" t="s">
        <v>35</v>
      </c>
      <c r="N433" s="25" t="n">
        <v>46274</v>
      </c>
      <c r="O433" s="25" t="n">
        <v>46281</v>
      </c>
      <c r="P433" s="25" t="n">
        <v>46289</v>
      </c>
      <c r="Q433" s="17" t="n">
        <f aca="false">IF(P433&lt;&gt;"",MAX(1,P433-B433),IF(M433="Dispatched",MAX(1,O433-B433),0))</f>
        <v>15</v>
      </c>
      <c r="R433" s="17" t="n">
        <f aca="false">IF(M433="Cancelled",0,IF(P433&lt;&gt;"",MAX(0,P433-O433),IF(T433&lt;&gt;"None",MAX(1,O433-B433-2),0)))</f>
        <v>8</v>
      </c>
      <c r="S433" s="18" t="s">
        <v>310</v>
      </c>
      <c r="T433" s="20" t="s">
        <v>106</v>
      </c>
    </row>
    <row r="434" customFormat="false" ht="15" hidden="false" customHeight="false" outlineLevel="0" collapsed="false">
      <c r="A434" s="26" t="s">
        <v>1118</v>
      </c>
      <c r="B434" s="34" t="n">
        <v>46132</v>
      </c>
      <c r="C434" s="26" t="s">
        <v>1093</v>
      </c>
      <c r="D434" s="27" t="s">
        <v>738</v>
      </c>
      <c r="E434" s="26" t="s">
        <v>109</v>
      </c>
      <c r="F434" s="27" t="s">
        <v>76</v>
      </c>
      <c r="G434" s="26" t="s">
        <v>227</v>
      </c>
      <c r="H434" s="27" t="str">
        <f aca="false">VLOOKUP(G434,'Product Master'!$A$5:$K$104,2,FALSE())</f>
        <v>Compact Electronics Item 033</v>
      </c>
      <c r="I434" s="27" t="str">
        <f aca="false">VLOOKUP(G434,'Product Master'!$A$5:$K$104,3,FALSE())</f>
        <v>Electronics</v>
      </c>
      <c r="J434" s="28" t="n">
        <v>25</v>
      </c>
      <c r="K434" s="29" t="n">
        <v>10726.77</v>
      </c>
      <c r="L434" s="29" t="n">
        <f aca="false">J434*K434</f>
        <v>268169.25</v>
      </c>
      <c r="M434" s="26" t="s">
        <v>35</v>
      </c>
      <c r="N434" s="34" t="n">
        <v>46133</v>
      </c>
      <c r="O434" s="34" t="n">
        <v>46137</v>
      </c>
      <c r="P434" s="34" t="n">
        <v>46141</v>
      </c>
      <c r="Q434" s="28" t="n">
        <f aca="false">IF(P434&lt;&gt;"",MAX(1,P434-B434),IF(M434="Dispatched",MAX(1,O434-B434),0))</f>
        <v>9</v>
      </c>
      <c r="R434" s="28" t="n">
        <f aca="false">IF(M434="Cancelled",0,IF(P434&lt;&gt;"",MAX(0,P434-O434),IF(T434&lt;&gt;"None",MAX(1,O434-B434-2),0)))</f>
        <v>4</v>
      </c>
      <c r="S434" s="26" t="s">
        <v>310</v>
      </c>
      <c r="T434" s="27" t="s">
        <v>112</v>
      </c>
    </row>
    <row r="435" customFormat="false" ht="15" hidden="false" customHeight="false" outlineLevel="0" collapsed="false">
      <c r="A435" s="18" t="s">
        <v>1119</v>
      </c>
      <c r="B435" s="25" t="n">
        <v>45972</v>
      </c>
      <c r="C435" s="18" t="s">
        <v>660</v>
      </c>
      <c r="D435" s="20" t="s">
        <v>329</v>
      </c>
      <c r="E435" s="18" t="s">
        <v>111</v>
      </c>
      <c r="F435" s="20" t="s">
        <v>79</v>
      </c>
      <c r="G435" s="18" t="s">
        <v>294</v>
      </c>
      <c r="H435" s="20" t="str">
        <f aca="false">VLOOKUP(G435,'Product Master'!$A$5:$K$104,2,FALSE())</f>
        <v>Smart Personal Item 100</v>
      </c>
      <c r="I435" s="20" t="str">
        <f aca="false">VLOOKUP(G435,'Product Master'!$A$5:$K$104,3,FALSE())</f>
        <v>Personal Care</v>
      </c>
      <c r="J435" s="17" t="n">
        <v>24</v>
      </c>
      <c r="K435" s="16" t="n">
        <v>9946.74</v>
      </c>
      <c r="L435" s="16" t="n">
        <f aca="false">J435*K435</f>
        <v>238721.76</v>
      </c>
      <c r="M435" s="18" t="s">
        <v>35</v>
      </c>
      <c r="N435" s="25" t="n">
        <v>45975</v>
      </c>
      <c r="O435" s="25" t="n">
        <v>45979</v>
      </c>
      <c r="P435" s="25" t="n">
        <v>45977</v>
      </c>
      <c r="Q435" s="17" t="n">
        <f aca="false">IF(P435&lt;&gt;"",MAX(1,P435-B435),IF(M435="Dispatched",MAX(1,O435-B435),0))</f>
        <v>5</v>
      </c>
      <c r="R435" s="17" t="n">
        <f aca="false">IF(M435="Cancelled",0,IF(P435&lt;&gt;"",MAX(0,P435-O435),IF(T435&lt;&gt;"None",MAX(1,O435-B435-2),0)))</f>
        <v>0</v>
      </c>
      <c r="S435" s="18" t="s">
        <v>310</v>
      </c>
      <c r="T435" s="20" t="s">
        <v>317</v>
      </c>
    </row>
    <row r="436" customFormat="false" ht="15" hidden="false" customHeight="false" outlineLevel="0" collapsed="false">
      <c r="A436" s="26" t="s">
        <v>1120</v>
      </c>
      <c r="B436" s="34" t="n">
        <v>45964</v>
      </c>
      <c r="C436" s="26" t="s">
        <v>1121</v>
      </c>
      <c r="D436" s="27" t="s">
        <v>422</v>
      </c>
      <c r="E436" s="26" t="s">
        <v>111</v>
      </c>
      <c r="F436" s="27" t="s">
        <v>80</v>
      </c>
      <c r="G436" s="26" t="s">
        <v>240</v>
      </c>
      <c r="H436" s="27" t="str">
        <f aca="false">VLOOKUP(G436,'Product Master'!$A$5:$K$104,2,FALSE())</f>
        <v>Classic Packaging Item 046</v>
      </c>
      <c r="I436" s="27" t="str">
        <f aca="false">VLOOKUP(G436,'Product Master'!$A$5:$K$104,3,FALSE())</f>
        <v>Packaging</v>
      </c>
      <c r="J436" s="28" t="n">
        <v>24</v>
      </c>
      <c r="K436" s="29" t="n">
        <v>6882.83</v>
      </c>
      <c r="L436" s="29" t="n">
        <f aca="false">J436*K436</f>
        <v>165187.92</v>
      </c>
      <c r="M436" s="26" t="s">
        <v>39</v>
      </c>
      <c r="N436" s="34"/>
      <c r="O436" s="34" t="n">
        <v>45971</v>
      </c>
      <c r="P436" s="34"/>
      <c r="Q436" s="28" t="n">
        <f aca="false">IF(P436&lt;&gt;"",MAX(1,P436-B436),IF(M436="Dispatched",MAX(1,O436-B436),0))</f>
        <v>0</v>
      </c>
      <c r="R436" s="28" t="n">
        <f aca="false">IF(M436="Cancelled",0,IF(P436&lt;&gt;"",MAX(0,P436-O436),IF(T436&lt;&gt;"None",MAX(1,O436-B436-2),0)))</f>
        <v>5</v>
      </c>
      <c r="S436" s="26" t="s">
        <v>310</v>
      </c>
      <c r="T436" s="27" t="s">
        <v>108</v>
      </c>
    </row>
    <row r="437" customFormat="false" ht="15" hidden="false" customHeight="false" outlineLevel="0" collapsed="false">
      <c r="A437" s="18" t="s">
        <v>1122</v>
      </c>
      <c r="B437" s="25" t="n">
        <v>46259</v>
      </c>
      <c r="C437" s="18" t="s">
        <v>424</v>
      </c>
      <c r="D437" s="20" t="s">
        <v>1123</v>
      </c>
      <c r="E437" s="18" t="s">
        <v>111</v>
      </c>
      <c r="F437" s="20" t="s">
        <v>77</v>
      </c>
      <c r="G437" s="18" t="s">
        <v>218</v>
      </c>
      <c r="H437" s="20" t="str">
        <f aca="false">VLOOKUP(G437,'Product Master'!$A$5:$K$104,2,FALSE())</f>
        <v>Eco Automotive Item 024</v>
      </c>
      <c r="I437" s="20" t="str">
        <f aca="false">VLOOKUP(G437,'Product Master'!$A$5:$K$104,3,FALSE())</f>
        <v>Automotive</v>
      </c>
      <c r="J437" s="17" t="n">
        <v>1</v>
      </c>
      <c r="K437" s="16" t="n">
        <v>6053.58</v>
      </c>
      <c r="L437" s="16" t="n">
        <f aca="false">J437*K437</f>
        <v>6053.58</v>
      </c>
      <c r="M437" s="18" t="s">
        <v>35</v>
      </c>
      <c r="N437" s="25" t="n">
        <v>46261</v>
      </c>
      <c r="O437" s="25" t="n">
        <v>46265</v>
      </c>
      <c r="P437" s="25" t="n">
        <v>46263</v>
      </c>
      <c r="Q437" s="17" t="n">
        <f aca="false">IF(P437&lt;&gt;"",MAX(1,P437-B437),IF(M437="Dispatched",MAX(1,O437-B437),0))</f>
        <v>4</v>
      </c>
      <c r="R437" s="17" t="n">
        <f aca="false">IF(M437="Cancelled",0,IF(P437&lt;&gt;"",MAX(0,P437-O437),IF(T437&lt;&gt;"None",MAX(1,O437-B437-2),0)))</f>
        <v>0</v>
      </c>
      <c r="S437" s="18" t="s">
        <v>310</v>
      </c>
      <c r="T437" s="20" t="s">
        <v>317</v>
      </c>
    </row>
    <row r="438" customFormat="false" ht="15" hidden="false" customHeight="false" outlineLevel="0" collapsed="false">
      <c r="A438" s="26" t="s">
        <v>1124</v>
      </c>
      <c r="B438" s="34" t="n">
        <v>46263</v>
      </c>
      <c r="C438" s="26" t="s">
        <v>606</v>
      </c>
      <c r="D438" s="27" t="s">
        <v>798</v>
      </c>
      <c r="E438" s="26" t="s">
        <v>107</v>
      </c>
      <c r="F438" s="27" t="s">
        <v>80</v>
      </c>
      <c r="G438" s="26" t="s">
        <v>292</v>
      </c>
      <c r="H438" s="27" t="str">
        <f aca="false">VLOOKUP(G438,'Product Master'!$A$5:$K$104,2,FALSE())</f>
        <v>Compact Home Item 098</v>
      </c>
      <c r="I438" s="27" t="str">
        <f aca="false">VLOOKUP(G438,'Product Master'!$A$5:$K$104,3,FALSE())</f>
        <v>Home &amp; Kitchen</v>
      </c>
      <c r="J438" s="28" t="n">
        <v>22</v>
      </c>
      <c r="K438" s="29" t="n">
        <v>9200.31</v>
      </c>
      <c r="L438" s="29" t="n">
        <f aca="false">J438*K438</f>
        <v>202406.82</v>
      </c>
      <c r="M438" s="26" t="s">
        <v>35</v>
      </c>
      <c r="N438" s="34" t="n">
        <v>46266</v>
      </c>
      <c r="O438" s="34" t="n">
        <v>46270</v>
      </c>
      <c r="P438" s="34" t="n">
        <v>46274</v>
      </c>
      <c r="Q438" s="28" t="n">
        <f aca="false">IF(P438&lt;&gt;"",MAX(1,P438-B438),IF(M438="Dispatched",MAX(1,O438-B438),0))</f>
        <v>11</v>
      </c>
      <c r="R438" s="28" t="n">
        <f aca="false">IF(M438="Cancelled",0,IF(P438&lt;&gt;"",MAX(0,P438-O438),IF(T438&lt;&gt;"None",MAX(1,O438-B438-2),0)))</f>
        <v>4</v>
      </c>
      <c r="S438" s="26" t="s">
        <v>310</v>
      </c>
      <c r="T438" s="27" t="s">
        <v>106</v>
      </c>
    </row>
    <row r="439" customFormat="false" ht="15" hidden="false" customHeight="false" outlineLevel="0" collapsed="false">
      <c r="A439" s="18" t="s">
        <v>1125</v>
      </c>
      <c r="B439" s="25" t="n">
        <v>46098</v>
      </c>
      <c r="C439" s="18" t="s">
        <v>538</v>
      </c>
      <c r="D439" s="20" t="s">
        <v>670</v>
      </c>
      <c r="E439" s="18" t="s">
        <v>107</v>
      </c>
      <c r="F439" s="20" t="s">
        <v>76</v>
      </c>
      <c r="G439" s="18" t="s">
        <v>231</v>
      </c>
      <c r="H439" s="20" t="str">
        <f aca="false">VLOOKUP(G439,'Product Master'!$A$5:$K$104,2,FALSE())</f>
        <v>Pro Industrial Item 037</v>
      </c>
      <c r="I439" s="20" t="str">
        <f aca="false">VLOOKUP(G439,'Product Master'!$A$5:$K$104,3,FALSE())</f>
        <v>Industrial</v>
      </c>
      <c r="J439" s="17" t="n">
        <v>14</v>
      </c>
      <c r="K439" s="16" t="n">
        <v>6419.17</v>
      </c>
      <c r="L439" s="16" t="n">
        <f aca="false">J439*K439</f>
        <v>89868.38</v>
      </c>
      <c r="M439" s="18" t="s">
        <v>35</v>
      </c>
      <c r="N439" s="25" t="n">
        <v>46101</v>
      </c>
      <c r="O439" s="25" t="n">
        <v>46106</v>
      </c>
      <c r="P439" s="25" t="n">
        <v>46106</v>
      </c>
      <c r="Q439" s="17" t="n">
        <f aca="false">IF(P439&lt;&gt;"",MAX(1,P439-B439),IF(M439="Dispatched",MAX(1,O439-B439),0))</f>
        <v>8</v>
      </c>
      <c r="R439" s="17" t="n">
        <f aca="false">IF(M439="Cancelled",0,IF(P439&lt;&gt;"",MAX(0,P439-O439),IF(T439&lt;&gt;"None",MAX(1,O439-B439-2),0)))</f>
        <v>0</v>
      </c>
      <c r="S439" s="18" t="s">
        <v>310</v>
      </c>
      <c r="T439" s="20" t="s">
        <v>317</v>
      </c>
    </row>
    <row r="440" customFormat="false" ht="15" hidden="false" customHeight="false" outlineLevel="0" collapsed="false">
      <c r="A440" s="26" t="s">
        <v>1126</v>
      </c>
      <c r="B440" s="34" t="n">
        <v>46251</v>
      </c>
      <c r="C440" s="26" t="s">
        <v>459</v>
      </c>
      <c r="D440" s="27" t="s">
        <v>683</v>
      </c>
      <c r="E440" s="26" t="s">
        <v>105</v>
      </c>
      <c r="F440" s="27" t="s">
        <v>79</v>
      </c>
      <c r="G440" s="26" t="s">
        <v>224</v>
      </c>
      <c r="H440" s="27" t="str">
        <f aca="false">VLOOKUP(G440,'Product Master'!$A$5:$K$104,2,FALSE())</f>
        <v>Premium Packaging Item 030</v>
      </c>
      <c r="I440" s="27" t="str">
        <f aca="false">VLOOKUP(G440,'Product Master'!$A$5:$K$104,3,FALSE())</f>
        <v>Packaging</v>
      </c>
      <c r="J440" s="28" t="n">
        <v>7</v>
      </c>
      <c r="K440" s="29" t="n">
        <v>6643.61</v>
      </c>
      <c r="L440" s="29" t="n">
        <f aca="false">J440*K440</f>
        <v>46505.27</v>
      </c>
      <c r="M440" s="26" t="s">
        <v>35</v>
      </c>
      <c r="N440" s="34" t="n">
        <v>46251</v>
      </c>
      <c r="O440" s="34" t="n">
        <v>46255</v>
      </c>
      <c r="P440" s="34" t="n">
        <v>46257</v>
      </c>
      <c r="Q440" s="28" t="n">
        <f aca="false">IF(P440&lt;&gt;"",MAX(1,P440-B440),IF(M440="Dispatched",MAX(1,O440-B440),0))</f>
        <v>6</v>
      </c>
      <c r="R440" s="28" t="n">
        <f aca="false">IF(M440="Cancelled",0,IF(P440&lt;&gt;"",MAX(0,P440-O440),IF(T440&lt;&gt;"None",MAX(1,O440-B440-2),0)))</f>
        <v>2</v>
      </c>
      <c r="S440" s="26" t="s">
        <v>310</v>
      </c>
      <c r="T440" s="27" t="s">
        <v>110</v>
      </c>
    </row>
    <row r="441" customFormat="false" ht="15" hidden="false" customHeight="false" outlineLevel="0" collapsed="false">
      <c r="A441" s="18" t="s">
        <v>1127</v>
      </c>
      <c r="B441" s="25" t="n">
        <v>46119</v>
      </c>
      <c r="C441" s="18" t="s">
        <v>660</v>
      </c>
      <c r="D441" s="20" t="s">
        <v>1060</v>
      </c>
      <c r="E441" s="18" t="s">
        <v>113</v>
      </c>
      <c r="F441" s="20" t="s">
        <v>76</v>
      </c>
      <c r="G441" s="18" t="s">
        <v>216</v>
      </c>
      <c r="H441" s="20" t="str">
        <f aca="false">VLOOKUP(G441,'Product Master'!$A$5:$K$104,2,FALSE())</f>
        <v>Smart Packaging Item 022</v>
      </c>
      <c r="I441" s="20" t="str">
        <f aca="false">VLOOKUP(G441,'Product Master'!$A$5:$K$104,3,FALSE())</f>
        <v>Packaging</v>
      </c>
      <c r="J441" s="17" t="n">
        <v>1</v>
      </c>
      <c r="K441" s="16" t="n">
        <v>1054.05</v>
      </c>
      <c r="L441" s="16" t="n">
        <f aca="false">J441*K441</f>
        <v>1054.05</v>
      </c>
      <c r="M441" s="18" t="s">
        <v>39</v>
      </c>
      <c r="N441" s="25"/>
      <c r="O441" s="25" t="n">
        <v>46127</v>
      </c>
      <c r="P441" s="25"/>
      <c r="Q441" s="17" t="n">
        <f aca="false">IF(P441&lt;&gt;"",MAX(1,P441-B441),IF(M441="Dispatched",MAX(1,O441-B441),0))</f>
        <v>0</v>
      </c>
      <c r="R441" s="17" t="n">
        <f aca="false">IF(M441="Cancelled",0,IF(P441&lt;&gt;"",MAX(0,P441-O441),IF(T441&lt;&gt;"None",MAX(1,O441-B441-2),0)))</f>
        <v>0</v>
      </c>
      <c r="S441" s="18" t="s">
        <v>310</v>
      </c>
      <c r="T441" s="20" t="s">
        <v>317</v>
      </c>
    </row>
    <row r="442" customFormat="false" ht="15" hidden="false" customHeight="false" outlineLevel="0" collapsed="false">
      <c r="A442" s="26" t="s">
        <v>1128</v>
      </c>
      <c r="B442" s="34" t="n">
        <v>46035</v>
      </c>
      <c r="C442" s="26" t="s">
        <v>1129</v>
      </c>
      <c r="D442" s="27" t="s">
        <v>536</v>
      </c>
      <c r="E442" s="26" t="s">
        <v>109</v>
      </c>
      <c r="F442" s="27" t="s">
        <v>78</v>
      </c>
      <c r="G442" s="26" t="s">
        <v>219</v>
      </c>
      <c r="H442" s="27" t="str">
        <f aca="false">VLOOKUP(G442,'Product Master'!$A$5:$K$104,2,FALSE())</f>
        <v>Pro Electronics Item 025</v>
      </c>
      <c r="I442" s="27" t="str">
        <f aca="false">VLOOKUP(G442,'Product Master'!$A$5:$K$104,3,FALSE())</f>
        <v>Electronics</v>
      </c>
      <c r="J442" s="28" t="n">
        <v>24</v>
      </c>
      <c r="K442" s="29" t="n">
        <v>9400.79</v>
      </c>
      <c r="L442" s="29" t="n">
        <f aca="false">J442*K442</f>
        <v>225618.96</v>
      </c>
      <c r="M442" s="26" t="s">
        <v>35</v>
      </c>
      <c r="N442" s="34" t="n">
        <v>46038</v>
      </c>
      <c r="O442" s="34" t="n">
        <v>46039</v>
      </c>
      <c r="P442" s="34" t="n">
        <v>46039</v>
      </c>
      <c r="Q442" s="28" t="n">
        <f aca="false">IF(P442&lt;&gt;"",MAX(1,P442-B442),IF(M442="Dispatched",MAX(1,O442-B442),0))</f>
        <v>4</v>
      </c>
      <c r="R442" s="28" t="n">
        <f aca="false">IF(M442="Cancelled",0,IF(P442&lt;&gt;"",MAX(0,P442-O442),IF(T442&lt;&gt;"None",MAX(1,O442-B442-2),0)))</f>
        <v>0</v>
      </c>
      <c r="S442" s="26" t="s">
        <v>310</v>
      </c>
      <c r="T442" s="27" t="s">
        <v>317</v>
      </c>
    </row>
    <row r="443" customFormat="false" ht="15" hidden="false" customHeight="false" outlineLevel="0" collapsed="false">
      <c r="A443" s="18" t="s">
        <v>1130</v>
      </c>
      <c r="B443" s="25" t="n">
        <v>46277</v>
      </c>
      <c r="C443" s="18" t="s">
        <v>723</v>
      </c>
      <c r="D443" s="20" t="s">
        <v>769</v>
      </c>
      <c r="E443" s="18" t="s">
        <v>111</v>
      </c>
      <c r="F443" s="20" t="s">
        <v>77</v>
      </c>
      <c r="G443" s="18" t="s">
        <v>219</v>
      </c>
      <c r="H443" s="20" t="str">
        <f aca="false">VLOOKUP(G443,'Product Master'!$A$5:$K$104,2,FALSE())</f>
        <v>Pro Electronics Item 025</v>
      </c>
      <c r="I443" s="20" t="str">
        <f aca="false">VLOOKUP(G443,'Product Master'!$A$5:$K$104,3,FALSE())</f>
        <v>Electronics</v>
      </c>
      <c r="J443" s="17" t="n">
        <v>14</v>
      </c>
      <c r="K443" s="16" t="n">
        <v>9400.79</v>
      </c>
      <c r="L443" s="16" t="n">
        <f aca="false">J443*K443</f>
        <v>131611.06</v>
      </c>
      <c r="M443" s="18" t="s">
        <v>39</v>
      </c>
      <c r="N443" s="25"/>
      <c r="O443" s="25" t="n">
        <v>46279</v>
      </c>
      <c r="P443" s="25"/>
      <c r="Q443" s="17" t="n">
        <f aca="false">IF(P443&lt;&gt;"",MAX(1,P443-B443),IF(M443="Dispatched",MAX(1,O443-B443),0))</f>
        <v>0</v>
      </c>
      <c r="R443" s="17" t="n">
        <f aca="false">IF(M443="Cancelled",0,IF(P443&lt;&gt;"",MAX(0,P443-O443),IF(T443&lt;&gt;"None",MAX(1,O443-B443-2),0)))</f>
        <v>0</v>
      </c>
      <c r="S443" s="18" t="s">
        <v>310</v>
      </c>
      <c r="T443" s="20" t="s">
        <v>317</v>
      </c>
    </row>
    <row r="444" customFormat="false" ht="15" hidden="false" customHeight="false" outlineLevel="0" collapsed="false">
      <c r="A444" s="26" t="s">
        <v>1131</v>
      </c>
      <c r="B444" s="34" t="n">
        <v>46058</v>
      </c>
      <c r="C444" s="26" t="s">
        <v>900</v>
      </c>
      <c r="D444" s="27" t="s">
        <v>903</v>
      </c>
      <c r="E444" s="26" t="s">
        <v>113</v>
      </c>
      <c r="F444" s="27" t="s">
        <v>79</v>
      </c>
      <c r="G444" s="26" t="s">
        <v>242</v>
      </c>
      <c r="H444" s="27" t="str">
        <f aca="false">VLOOKUP(G444,'Product Master'!$A$5:$K$104,2,FALSE())</f>
        <v>Eco Automotive Item 048</v>
      </c>
      <c r="I444" s="27" t="str">
        <f aca="false">VLOOKUP(G444,'Product Master'!$A$5:$K$104,3,FALSE())</f>
        <v>Automotive</v>
      </c>
      <c r="J444" s="28" t="n">
        <v>3</v>
      </c>
      <c r="K444" s="29" t="n">
        <v>444.67</v>
      </c>
      <c r="L444" s="29" t="n">
        <f aca="false">J444*K444</f>
        <v>1334.01</v>
      </c>
      <c r="M444" s="26" t="s">
        <v>35</v>
      </c>
      <c r="N444" s="34" t="n">
        <v>46060</v>
      </c>
      <c r="O444" s="34" t="n">
        <v>46062</v>
      </c>
      <c r="P444" s="34" t="n">
        <v>46064</v>
      </c>
      <c r="Q444" s="28" t="n">
        <f aca="false">IF(P444&lt;&gt;"",MAX(1,P444-B444),IF(M444="Dispatched",MAX(1,O444-B444),0))</f>
        <v>6</v>
      </c>
      <c r="R444" s="28" t="n">
        <f aca="false">IF(M444="Cancelled",0,IF(P444&lt;&gt;"",MAX(0,P444-O444),IF(T444&lt;&gt;"None",MAX(1,O444-B444-2),0)))</f>
        <v>2</v>
      </c>
      <c r="S444" s="26" t="s">
        <v>310</v>
      </c>
      <c r="T444" s="27" t="s">
        <v>106</v>
      </c>
    </row>
    <row r="445" customFormat="false" ht="15" hidden="false" customHeight="false" outlineLevel="0" collapsed="false">
      <c r="A445" s="18" t="s">
        <v>1132</v>
      </c>
      <c r="B445" s="25" t="n">
        <v>46236</v>
      </c>
      <c r="C445" s="18" t="s">
        <v>748</v>
      </c>
      <c r="D445" s="20" t="s">
        <v>1133</v>
      </c>
      <c r="E445" s="18" t="s">
        <v>105</v>
      </c>
      <c r="F445" s="20" t="s">
        <v>76</v>
      </c>
      <c r="G445" s="18" t="s">
        <v>227</v>
      </c>
      <c r="H445" s="20" t="str">
        <f aca="false">VLOOKUP(G445,'Product Master'!$A$5:$K$104,2,FALSE())</f>
        <v>Compact Electronics Item 033</v>
      </c>
      <c r="I445" s="20" t="str">
        <f aca="false">VLOOKUP(G445,'Product Master'!$A$5:$K$104,3,FALSE())</f>
        <v>Electronics</v>
      </c>
      <c r="J445" s="17" t="n">
        <v>18</v>
      </c>
      <c r="K445" s="16" t="n">
        <v>10726.77</v>
      </c>
      <c r="L445" s="16" t="n">
        <f aca="false">J445*K445</f>
        <v>193081.86</v>
      </c>
      <c r="M445" s="18" t="s">
        <v>35</v>
      </c>
      <c r="N445" s="25" t="n">
        <v>46237</v>
      </c>
      <c r="O445" s="25" t="n">
        <v>46243</v>
      </c>
      <c r="P445" s="25" t="n">
        <v>46247</v>
      </c>
      <c r="Q445" s="17" t="n">
        <f aca="false">IF(P445&lt;&gt;"",MAX(1,P445-B445),IF(M445="Dispatched",MAX(1,O445-B445),0))</f>
        <v>11</v>
      </c>
      <c r="R445" s="17" t="n">
        <f aca="false">IF(M445="Cancelled",0,IF(P445&lt;&gt;"",MAX(0,P445-O445),IF(T445&lt;&gt;"None",MAX(1,O445-B445-2),0)))</f>
        <v>4</v>
      </c>
      <c r="S445" s="18" t="s">
        <v>310</v>
      </c>
      <c r="T445" s="20" t="s">
        <v>112</v>
      </c>
    </row>
    <row r="446" customFormat="false" ht="15" hidden="false" customHeight="false" outlineLevel="0" collapsed="false">
      <c r="A446" s="26" t="s">
        <v>1134</v>
      </c>
      <c r="B446" s="34" t="n">
        <v>46248</v>
      </c>
      <c r="C446" s="26" t="s">
        <v>520</v>
      </c>
      <c r="D446" s="27" t="s">
        <v>626</v>
      </c>
      <c r="E446" s="26" t="s">
        <v>109</v>
      </c>
      <c r="F446" s="27" t="s">
        <v>79</v>
      </c>
      <c r="G446" s="26" t="s">
        <v>243</v>
      </c>
      <c r="H446" s="27" t="str">
        <f aca="false">VLOOKUP(G446,'Product Master'!$A$5:$K$104,2,FALSE())</f>
        <v>Premium Electronics Item 049</v>
      </c>
      <c r="I446" s="27" t="str">
        <f aca="false">VLOOKUP(G446,'Product Master'!$A$5:$K$104,3,FALSE())</f>
        <v>Electronics</v>
      </c>
      <c r="J446" s="28" t="n">
        <v>22</v>
      </c>
      <c r="K446" s="29" t="n">
        <v>8712.18</v>
      </c>
      <c r="L446" s="29" t="n">
        <f aca="false">J446*K446</f>
        <v>191667.96</v>
      </c>
      <c r="M446" s="26" t="s">
        <v>35</v>
      </c>
      <c r="N446" s="34" t="n">
        <v>46249</v>
      </c>
      <c r="O446" s="34" t="n">
        <v>46250</v>
      </c>
      <c r="P446" s="34" t="n">
        <v>46250</v>
      </c>
      <c r="Q446" s="28" t="n">
        <f aca="false">IF(P446&lt;&gt;"",MAX(1,P446-B446),IF(M446="Dispatched",MAX(1,O446-B446),0))</f>
        <v>2</v>
      </c>
      <c r="R446" s="28" t="n">
        <f aca="false">IF(M446="Cancelled",0,IF(P446&lt;&gt;"",MAX(0,P446-O446),IF(T446&lt;&gt;"None",MAX(1,O446-B446-2),0)))</f>
        <v>0</v>
      </c>
      <c r="S446" s="26" t="s">
        <v>352</v>
      </c>
      <c r="T446" s="27" t="s">
        <v>317</v>
      </c>
    </row>
    <row r="447" customFormat="false" ht="15" hidden="false" customHeight="false" outlineLevel="0" collapsed="false">
      <c r="A447" s="18" t="s">
        <v>1135</v>
      </c>
      <c r="B447" s="25" t="n">
        <v>45998</v>
      </c>
      <c r="C447" s="18" t="s">
        <v>1007</v>
      </c>
      <c r="D447" s="20" t="s">
        <v>566</v>
      </c>
      <c r="E447" s="18" t="s">
        <v>109</v>
      </c>
      <c r="F447" s="20" t="s">
        <v>80</v>
      </c>
      <c r="G447" s="18" t="s">
        <v>206</v>
      </c>
      <c r="H447" s="20" t="str">
        <f aca="false">VLOOKUP(G447,'Product Master'!$A$5:$K$104,2,FALSE())</f>
        <v>Eco Personal Item 012</v>
      </c>
      <c r="I447" s="20" t="str">
        <f aca="false">VLOOKUP(G447,'Product Master'!$A$5:$K$104,3,FALSE())</f>
        <v>Personal Care</v>
      </c>
      <c r="J447" s="17" t="n">
        <v>14</v>
      </c>
      <c r="K447" s="16" t="n">
        <v>7685.49</v>
      </c>
      <c r="L447" s="16" t="n">
        <f aca="false">J447*K447</f>
        <v>107596.86</v>
      </c>
      <c r="M447" s="18" t="s">
        <v>35</v>
      </c>
      <c r="N447" s="25" t="n">
        <v>46000</v>
      </c>
      <c r="O447" s="25" t="n">
        <v>46001</v>
      </c>
      <c r="P447" s="25" t="n">
        <v>46001</v>
      </c>
      <c r="Q447" s="17" t="n">
        <f aca="false">IF(P447&lt;&gt;"",MAX(1,P447-B447),IF(M447="Dispatched",MAX(1,O447-B447),0))</f>
        <v>3</v>
      </c>
      <c r="R447" s="17" t="n">
        <f aca="false">IF(M447="Cancelled",0,IF(P447&lt;&gt;"",MAX(0,P447-O447),IF(T447&lt;&gt;"None",MAX(1,O447-B447-2),0)))</f>
        <v>0</v>
      </c>
      <c r="S447" s="18" t="s">
        <v>339</v>
      </c>
      <c r="T447" s="20" t="s">
        <v>317</v>
      </c>
    </row>
    <row r="448" customFormat="false" ht="15" hidden="false" customHeight="false" outlineLevel="0" collapsed="false">
      <c r="A448" s="26" t="s">
        <v>1136</v>
      </c>
      <c r="B448" s="34" t="n">
        <v>46074</v>
      </c>
      <c r="C448" s="26" t="s">
        <v>742</v>
      </c>
      <c r="D448" s="27" t="s">
        <v>323</v>
      </c>
      <c r="E448" s="26" t="s">
        <v>109</v>
      </c>
      <c r="F448" s="27" t="s">
        <v>79</v>
      </c>
      <c r="G448" s="26" t="s">
        <v>290</v>
      </c>
      <c r="H448" s="27" t="str">
        <f aca="false">VLOOKUP(G448,'Product Master'!$A$5:$K$104,2,FALSE())</f>
        <v>Eco Automotive Item 096</v>
      </c>
      <c r="I448" s="27" t="str">
        <f aca="false">VLOOKUP(G448,'Product Master'!$A$5:$K$104,3,FALSE())</f>
        <v>Automotive</v>
      </c>
      <c r="J448" s="28" t="n">
        <v>10</v>
      </c>
      <c r="K448" s="29" t="n">
        <v>9414.72</v>
      </c>
      <c r="L448" s="29" t="n">
        <f aca="false">J448*K448</f>
        <v>94147.2</v>
      </c>
      <c r="M448" s="26" t="s">
        <v>41</v>
      </c>
      <c r="N448" s="34" t="n">
        <v>46076</v>
      </c>
      <c r="O448" s="34" t="n">
        <v>46080</v>
      </c>
      <c r="P448" s="34"/>
      <c r="Q448" s="28" t="n">
        <f aca="false">IF(P448&lt;&gt;"",MAX(1,P448-B448),IF(M448="Dispatched",MAX(1,O448-B448),0))</f>
        <v>6</v>
      </c>
      <c r="R448" s="28" t="n">
        <f aca="false">IF(M448="Cancelled",0,IF(P448&lt;&gt;"",MAX(0,P448-O448),IF(T448&lt;&gt;"None",MAX(1,O448-B448-2),0)))</f>
        <v>0</v>
      </c>
      <c r="S448" s="26" t="s">
        <v>352</v>
      </c>
      <c r="T448" s="27" t="s">
        <v>317</v>
      </c>
    </row>
    <row r="449" customFormat="false" ht="15" hidden="false" customHeight="false" outlineLevel="0" collapsed="false">
      <c r="A449" s="18" t="s">
        <v>1137</v>
      </c>
      <c r="B449" s="25" t="n">
        <v>46092</v>
      </c>
      <c r="C449" s="18" t="s">
        <v>816</v>
      </c>
      <c r="D449" s="20" t="s">
        <v>524</v>
      </c>
      <c r="E449" s="18" t="s">
        <v>111</v>
      </c>
      <c r="F449" s="20" t="s">
        <v>77</v>
      </c>
      <c r="G449" s="18" t="s">
        <v>289</v>
      </c>
      <c r="H449" s="20" t="str">
        <f aca="false">VLOOKUP(G449,'Product Master'!$A$5:$K$104,2,FALSE())</f>
        <v>Eco Apparel Item 095</v>
      </c>
      <c r="I449" s="20" t="str">
        <f aca="false">VLOOKUP(G449,'Product Master'!$A$5:$K$104,3,FALSE())</f>
        <v>Apparel</v>
      </c>
      <c r="J449" s="17" t="n">
        <v>18</v>
      </c>
      <c r="K449" s="16" t="n">
        <v>2884.81</v>
      </c>
      <c r="L449" s="16" t="n">
        <f aca="false">J449*K449</f>
        <v>51926.58</v>
      </c>
      <c r="M449" s="18" t="s">
        <v>41</v>
      </c>
      <c r="N449" s="25" t="n">
        <v>46092</v>
      </c>
      <c r="O449" s="25" t="n">
        <v>46101</v>
      </c>
      <c r="P449" s="25"/>
      <c r="Q449" s="17" t="n">
        <f aca="false">IF(P449&lt;&gt;"",MAX(1,P449-B449),IF(M449="Dispatched",MAX(1,O449-B449),0))</f>
        <v>9</v>
      </c>
      <c r="R449" s="17" t="n">
        <f aca="false">IF(M449="Cancelled",0,IF(P449&lt;&gt;"",MAX(0,P449-O449),IF(T449&lt;&gt;"None",MAX(1,O449-B449-2),0)))</f>
        <v>0</v>
      </c>
      <c r="S449" s="18" t="s">
        <v>310</v>
      </c>
      <c r="T449" s="20" t="s">
        <v>317</v>
      </c>
    </row>
    <row r="450" customFormat="false" ht="15" hidden="false" customHeight="false" outlineLevel="0" collapsed="false">
      <c r="A450" s="26" t="s">
        <v>1138</v>
      </c>
      <c r="B450" s="34" t="n">
        <v>45949</v>
      </c>
      <c r="C450" s="26" t="s">
        <v>1037</v>
      </c>
      <c r="D450" s="27" t="s">
        <v>391</v>
      </c>
      <c r="E450" s="26" t="s">
        <v>109</v>
      </c>
      <c r="F450" s="27" t="s">
        <v>77</v>
      </c>
      <c r="G450" s="26" t="s">
        <v>255</v>
      </c>
      <c r="H450" s="27" t="str">
        <f aca="false">VLOOKUP(G450,'Product Master'!$A$5:$K$104,2,FALSE())</f>
        <v>Pro Industrial Item 061</v>
      </c>
      <c r="I450" s="27" t="str">
        <f aca="false">VLOOKUP(G450,'Product Master'!$A$5:$K$104,3,FALSE())</f>
        <v>Industrial</v>
      </c>
      <c r="J450" s="28" t="n">
        <v>23</v>
      </c>
      <c r="K450" s="29" t="n">
        <v>5193.69</v>
      </c>
      <c r="L450" s="29" t="n">
        <f aca="false">J450*K450</f>
        <v>119454.87</v>
      </c>
      <c r="M450" s="26" t="s">
        <v>35</v>
      </c>
      <c r="N450" s="34" t="n">
        <v>45952</v>
      </c>
      <c r="O450" s="34" t="n">
        <v>45952</v>
      </c>
      <c r="P450" s="34" t="n">
        <v>45952</v>
      </c>
      <c r="Q450" s="28" t="n">
        <f aca="false">IF(P450&lt;&gt;"",MAX(1,P450-B450),IF(M450="Dispatched",MAX(1,O450-B450),0))</f>
        <v>3</v>
      </c>
      <c r="R450" s="28" t="n">
        <f aca="false">IF(M450="Cancelled",0,IF(P450&lt;&gt;"",MAX(0,P450-O450),IF(T450&lt;&gt;"None",MAX(1,O450-B450-2),0)))</f>
        <v>0</v>
      </c>
      <c r="S450" s="26" t="s">
        <v>310</v>
      </c>
      <c r="T450" s="27" t="s">
        <v>317</v>
      </c>
    </row>
    <row r="451" customFormat="false" ht="15" hidden="false" customHeight="false" outlineLevel="0" collapsed="false">
      <c r="A451" s="18" t="s">
        <v>1139</v>
      </c>
      <c r="B451" s="25" t="n">
        <v>46165</v>
      </c>
      <c r="C451" s="18" t="s">
        <v>577</v>
      </c>
      <c r="D451" s="20" t="s">
        <v>329</v>
      </c>
      <c r="E451" s="18" t="s">
        <v>105</v>
      </c>
      <c r="F451" s="20" t="s">
        <v>77</v>
      </c>
      <c r="G451" s="18" t="s">
        <v>258</v>
      </c>
      <c r="H451" s="20" t="str">
        <f aca="false">VLOOKUP(G451,'Product Master'!$A$5:$K$104,2,FALSE())</f>
        <v>Compact Automotive Item 064</v>
      </c>
      <c r="I451" s="20" t="str">
        <f aca="false">VLOOKUP(G451,'Product Master'!$A$5:$K$104,3,FALSE())</f>
        <v>Automotive</v>
      </c>
      <c r="J451" s="17" t="n">
        <v>4</v>
      </c>
      <c r="K451" s="16" t="n">
        <v>4156.81</v>
      </c>
      <c r="L451" s="16" t="n">
        <f aca="false">J451*K451</f>
        <v>16627.24</v>
      </c>
      <c r="M451" s="18" t="s">
        <v>35</v>
      </c>
      <c r="N451" s="25" t="n">
        <v>46167</v>
      </c>
      <c r="O451" s="25" t="n">
        <v>46170</v>
      </c>
      <c r="P451" s="25" t="n">
        <v>46169</v>
      </c>
      <c r="Q451" s="17" t="n">
        <f aca="false">IF(P451&lt;&gt;"",MAX(1,P451-B451),IF(M451="Dispatched",MAX(1,O451-B451),0))</f>
        <v>4</v>
      </c>
      <c r="R451" s="17" t="n">
        <f aca="false">IF(M451="Cancelled",0,IF(P451&lt;&gt;"",MAX(0,P451-O451),IF(T451&lt;&gt;"None",MAX(1,O451-B451-2),0)))</f>
        <v>0</v>
      </c>
      <c r="S451" s="18" t="s">
        <v>310</v>
      </c>
      <c r="T451" s="20" t="s">
        <v>317</v>
      </c>
    </row>
    <row r="452" customFormat="false" ht="15" hidden="false" customHeight="false" outlineLevel="0" collapsed="false">
      <c r="A452" s="26" t="s">
        <v>1140</v>
      </c>
      <c r="B452" s="34" t="n">
        <v>46070</v>
      </c>
      <c r="C452" s="26" t="s">
        <v>902</v>
      </c>
      <c r="D452" s="27" t="s">
        <v>960</v>
      </c>
      <c r="E452" s="26" t="s">
        <v>113</v>
      </c>
      <c r="F452" s="27" t="s">
        <v>77</v>
      </c>
      <c r="G452" s="26" t="s">
        <v>267</v>
      </c>
      <c r="H452" s="27" t="str">
        <f aca="false">VLOOKUP(G452,'Product Master'!$A$5:$K$104,2,FALSE())</f>
        <v>Essential Electronics Item 073</v>
      </c>
      <c r="I452" s="27" t="str">
        <f aca="false">VLOOKUP(G452,'Product Master'!$A$5:$K$104,3,FALSE())</f>
        <v>Electronics</v>
      </c>
      <c r="J452" s="28" t="n">
        <v>19</v>
      </c>
      <c r="K452" s="29" t="n">
        <v>8260.77</v>
      </c>
      <c r="L452" s="29" t="n">
        <f aca="false">J452*K452</f>
        <v>156954.63</v>
      </c>
      <c r="M452" s="26" t="s">
        <v>43</v>
      </c>
      <c r="N452" s="34"/>
      <c r="O452" s="34" t="n">
        <v>46072</v>
      </c>
      <c r="P452" s="34"/>
      <c r="Q452" s="28" t="n">
        <f aca="false">IF(P452&lt;&gt;"",MAX(1,P452-B452),IF(M452="Dispatched",MAX(1,O452-B452),0))</f>
        <v>0</v>
      </c>
      <c r="R452" s="28" t="n">
        <f aca="false">IF(M452="Cancelled",0,IF(P452&lt;&gt;"",MAX(0,P452-O452),IF(T452&lt;&gt;"None",MAX(1,O452-B452-2),0)))</f>
        <v>0</v>
      </c>
      <c r="S452" s="26" t="s">
        <v>352</v>
      </c>
      <c r="T452" s="27" t="s">
        <v>411</v>
      </c>
    </row>
    <row r="453" customFormat="false" ht="15" hidden="false" customHeight="false" outlineLevel="0" collapsed="false">
      <c r="A453" s="18" t="s">
        <v>1141</v>
      </c>
      <c r="B453" s="25" t="n">
        <v>46057</v>
      </c>
      <c r="C453" s="18" t="s">
        <v>505</v>
      </c>
      <c r="D453" s="20" t="s">
        <v>1097</v>
      </c>
      <c r="E453" s="18" t="s">
        <v>111</v>
      </c>
      <c r="F453" s="20" t="s">
        <v>76</v>
      </c>
      <c r="G453" s="18" t="s">
        <v>293</v>
      </c>
      <c r="H453" s="20" t="str">
        <f aca="false">VLOOKUP(G453,'Product Master'!$A$5:$K$104,2,FALSE())</f>
        <v>Eco Office Item 099</v>
      </c>
      <c r="I453" s="20" t="str">
        <f aca="false">VLOOKUP(G453,'Product Master'!$A$5:$K$104,3,FALSE())</f>
        <v>Office Supplies</v>
      </c>
      <c r="J453" s="17" t="n">
        <v>11</v>
      </c>
      <c r="K453" s="16" t="n">
        <v>8700.35</v>
      </c>
      <c r="L453" s="16" t="n">
        <f aca="false">J453*K453</f>
        <v>95703.85</v>
      </c>
      <c r="M453" s="18" t="s">
        <v>35</v>
      </c>
      <c r="N453" s="25" t="n">
        <v>46060</v>
      </c>
      <c r="O453" s="25" t="n">
        <v>46060</v>
      </c>
      <c r="P453" s="25" t="n">
        <v>46061</v>
      </c>
      <c r="Q453" s="17" t="n">
        <f aca="false">IF(P453&lt;&gt;"",MAX(1,P453-B453),IF(M453="Dispatched",MAX(1,O453-B453),0))</f>
        <v>4</v>
      </c>
      <c r="R453" s="17" t="n">
        <f aca="false">IF(M453="Cancelled",0,IF(P453&lt;&gt;"",MAX(0,P453-O453),IF(T453&lt;&gt;"None",MAX(1,O453-B453-2),0)))</f>
        <v>1</v>
      </c>
      <c r="S453" s="18" t="s">
        <v>310</v>
      </c>
      <c r="T453" s="20" t="s">
        <v>110</v>
      </c>
    </row>
    <row r="454" customFormat="false" ht="15" hidden="false" customHeight="false" outlineLevel="0" collapsed="false">
      <c r="A454" s="26" t="s">
        <v>1142</v>
      </c>
      <c r="B454" s="34" t="n">
        <v>46166</v>
      </c>
      <c r="C454" s="26" t="s">
        <v>1143</v>
      </c>
      <c r="D454" s="27" t="s">
        <v>808</v>
      </c>
      <c r="E454" s="26" t="s">
        <v>111</v>
      </c>
      <c r="F454" s="27" t="s">
        <v>79</v>
      </c>
      <c r="G454" s="26" t="s">
        <v>285</v>
      </c>
      <c r="H454" s="27" t="str">
        <f aca="false">VLOOKUP(G454,'Product Master'!$A$5:$K$104,2,FALSE())</f>
        <v>Premium Office Item 091</v>
      </c>
      <c r="I454" s="27" t="str">
        <f aca="false">VLOOKUP(G454,'Product Master'!$A$5:$K$104,3,FALSE())</f>
        <v>Office Supplies</v>
      </c>
      <c r="J454" s="28" t="n">
        <v>21</v>
      </c>
      <c r="K454" s="29" t="n">
        <v>6977.08</v>
      </c>
      <c r="L454" s="29" t="n">
        <f aca="false">J454*K454</f>
        <v>146518.68</v>
      </c>
      <c r="M454" s="26" t="s">
        <v>43</v>
      </c>
      <c r="N454" s="34"/>
      <c r="O454" s="34" t="n">
        <v>46168</v>
      </c>
      <c r="P454" s="34"/>
      <c r="Q454" s="28" t="n">
        <f aca="false">IF(P454&lt;&gt;"",MAX(1,P454-B454),IF(M454="Dispatched",MAX(1,O454-B454),0))</f>
        <v>0</v>
      </c>
      <c r="R454" s="28" t="n">
        <f aca="false">IF(M454="Cancelled",0,IF(P454&lt;&gt;"",MAX(0,P454-O454),IF(T454&lt;&gt;"None",MAX(1,O454-B454-2),0)))</f>
        <v>0</v>
      </c>
      <c r="S454" s="26" t="s">
        <v>310</v>
      </c>
      <c r="T454" s="27" t="s">
        <v>411</v>
      </c>
    </row>
    <row r="455" customFormat="false" ht="15" hidden="false" customHeight="false" outlineLevel="0" collapsed="false">
      <c r="A455" s="18" t="s">
        <v>1144</v>
      </c>
      <c r="B455" s="25" t="n">
        <v>46162</v>
      </c>
      <c r="C455" s="18" t="s">
        <v>363</v>
      </c>
      <c r="D455" s="20" t="s">
        <v>708</v>
      </c>
      <c r="E455" s="18" t="s">
        <v>113</v>
      </c>
      <c r="F455" s="20" t="s">
        <v>77</v>
      </c>
      <c r="G455" s="18" t="s">
        <v>236</v>
      </c>
      <c r="H455" s="20" t="str">
        <f aca="false">VLOOKUP(G455,'Product Master'!$A$5:$K$104,2,FALSE())</f>
        <v>Compact Home Item 042</v>
      </c>
      <c r="I455" s="20" t="str">
        <f aca="false">VLOOKUP(G455,'Product Master'!$A$5:$K$104,3,FALSE())</f>
        <v>Home &amp; Kitchen</v>
      </c>
      <c r="J455" s="17" t="n">
        <v>7</v>
      </c>
      <c r="K455" s="16" t="n">
        <v>5892.15</v>
      </c>
      <c r="L455" s="16" t="n">
        <f aca="false">J455*K455</f>
        <v>41245.05</v>
      </c>
      <c r="M455" s="18" t="s">
        <v>41</v>
      </c>
      <c r="N455" s="25" t="n">
        <v>46164</v>
      </c>
      <c r="O455" s="25" t="n">
        <v>46168</v>
      </c>
      <c r="P455" s="25"/>
      <c r="Q455" s="17" t="n">
        <f aca="false">IF(P455&lt;&gt;"",MAX(1,P455-B455),IF(M455="Dispatched",MAX(1,O455-B455),0))</f>
        <v>6</v>
      </c>
      <c r="R455" s="17" t="n">
        <f aca="false">IF(M455="Cancelled",0,IF(P455&lt;&gt;"",MAX(0,P455-O455),IF(T455&lt;&gt;"None",MAX(1,O455-B455-2),0)))</f>
        <v>0</v>
      </c>
      <c r="S455" s="18" t="s">
        <v>310</v>
      </c>
      <c r="T455" s="20" t="s">
        <v>317</v>
      </c>
    </row>
    <row r="456" customFormat="false" ht="15" hidden="false" customHeight="false" outlineLevel="0" collapsed="false">
      <c r="A456" s="26" t="s">
        <v>1145</v>
      </c>
      <c r="B456" s="34" t="n">
        <v>46239</v>
      </c>
      <c r="C456" s="26" t="s">
        <v>507</v>
      </c>
      <c r="D456" s="27" t="s">
        <v>1008</v>
      </c>
      <c r="E456" s="26" t="s">
        <v>105</v>
      </c>
      <c r="F456" s="27" t="s">
        <v>79</v>
      </c>
      <c r="G456" s="26" t="s">
        <v>243</v>
      </c>
      <c r="H456" s="27" t="str">
        <f aca="false">VLOOKUP(G456,'Product Master'!$A$5:$K$104,2,FALSE())</f>
        <v>Premium Electronics Item 049</v>
      </c>
      <c r="I456" s="27" t="str">
        <f aca="false">VLOOKUP(G456,'Product Master'!$A$5:$K$104,3,FALSE())</f>
        <v>Electronics</v>
      </c>
      <c r="J456" s="28" t="n">
        <v>9</v>
      </c>
      <c r="K456" s="29" t="n">
        <v>8712.18</v>
      </c>
      <c r="L456" s="29" t="n">
        <f aca="false">J456*K456</f>
        <v>78409.62</v>
      </c>
      <c r="M456" s="26" t="s">
        <v>35</v>
      </c>
      <c r="N456" s="34" t="n">
        <v>46239</v>
      </c>
      <c r="O456" s="34" t="n">
        <v>46247</v>
      </c>
      <c r="P456" s="34" t="n">
        <v>46243</v>
      </c>
      <c r="Q456" s="28" t="n">
        <f aca="false">IF(P456&lt;&gt;"",MAX(1,P456-B456),IF(M456="Dispatched",MAX(1,O456-B456),0))</f>
        <v>4</v>
      </c>
      <c r="R456" s="28" t="n">
        <f aca="false">IF(M456="Cancelled",0,IF(P456&lt;&gt;"",MAX(0,P456-O456),IF(T456&lt;&gt;"None",MAX(1,O456-B456-2),0)))</f>
        <v>0</v>
      </c>
      <c r="S456" s="26" t="s">
        <v>310</v>
      </c>
      <c r="T456" s="27" t="s">
        <v>317</v>
      </c>
    </row>
    <row r="457" customFormat="false" ht="15" hidden="false" customHeight="false" outlineLevel="0" collapsed="false">
      <c r="A457" s="18" t="s">
        <v>1146</v>
      </c>
      <c r="B457" s="25" t="n">
        <v>46137</v>
      </c>
      <c r="C457" s="18" t="s">
        <v>721</v>
      </c>
      <c r="D457" s="20" t="s">
        <v>924</v>
      </c>
      <c r="E457" s="18" t="s">
        <v>107</v>
      </c>
      <c r="F457" s="20" t="s">
        <v>76</v>
      </c>
      <c r="G457" s="18" t="s">
        <v>231</v>
      </c>
      <c r="H457" s="20" t="str">
        <f aca="false">VLOOKUP(G457,'Product Master'!$A$5:$K$104,2,FALSE())</f>
        <v>Pro Industrial Item 037</v>
      </c>
      <c r="I457" s="20" t="str">
        <f aca="false">VLOOKUP(G457,'Product Master'!$A$5:$K$104,3,FALSE())</f>
        <v>Industrial</v>
      </c>
      <c r="J457" s="17" t="n">
        <v>10</v>
      </c>
      <c r="K457" s="16" t="n">
        <v>6419.17</v>
      </c>
      <c r="L457" s="16" t="n">
        <f aca="false">J457*K457</f>
        <v>64191.7</v>
      </c>
      <c r="M457" s="18" t="s">
        <v>35</v>
      </c>
      <c r="N457" s="25" t="n">
        <v>46139</v>
      </c>
      <c r="O457" s="25" t="n">
        <v>46145</v>
      </c>
      <c r="P457" s="25" t="n">
        <v>46144</v>
      </c>
      <c r="Q457" s="17" t="n">
        <f aca="false">IF(P457&lt;&gt;"",MAX(1,P457-B457),IF(M457="Dispatched",MAX(1,O457-B457),0))</f>
        <v>7</v>
      </c>
      <c r="R457" s="17" t="n">
        <f aca="false">IF(M457="Cancelled",0,IF(P457&lt;&gt;"",MAX(0,P457-O457),IF(T457&lt;&gt;"None",MAX(1,O457-B457-2),0)))</f>
        <v>0</v>
      </c>
      <c r="S457" s="18" t="s">
        <v>310</v>
      </c>
      <c r="T457" s="20" t="s">
        <v>317</v>
      </c>
    </row>
    <row r="458" customFormat="false" ht="15" hidden="false" customHeight="false" outlineLevel="0" collapsed="false">
      <c r="A458" s="26" t="s">
        <v>1147</v>
      </c>
      <c r="B458" s="34" t="n">
        <v>46033</v>
      </c>
      <c r="C458" s="26" t="s">
        <v>766</v>
      </c>
      <c r="D458" s="27" t="s">
        <v>960</v>
      </c>
      <c r="E458" s="26" t="s">
        <v>111</v>
      </c>
      <c r="F458" s="27" t="s">
        <v>79</v>
      </c>
      <c r="G458" s="26" t="s">
        <v>257</v>
      </c>
      <c r="H458" s="27" t="str">
        <f aca="false">VLOOKUP(G458,'Product Master'!$A$5:$K$104,2,FALSE())</f>
        <v>Everyday Apparel Item 063</v>
      </c>
      <c r="I458" s="27" t="str">
        <f aca="false">VLOOKUP(G458,'Product Master'!$A$5:$K$104,3,FALSE())</f>
        <v>Apparel</v>
      </c>
      <c r="J458" s="28" t="n">
        <v>16</v>
      </c>
      <c r="K458" s="29" t="n">
        <v>3551.07</v>
      </c>
      <c r="L458" s="29" t="n">
        <f aca="false">J458*K458</f>
        <v>56817.12</v>
      </c>
      <c r="M458" s="26" t="s">
        <v>35</v>
      </c>
      <c r="N458" s="34" t="n">
        <v>46033</v>
      </c>
      <c r="O458" s="34" t="n">
        <v>46041</v>
      </c>
      <c r="P458" s="34" t="n">
        <v>46043</v>
      </c>
      <c r="Q458" s="28" t="n">
        <f aca="false">IF(P458&lt;&gt;"",MAX(1,P458-B458),IF(M458="Dispatched",MAX(1,O458-B458),0))</f>
        <v>10</v>
      </c>
      <c r="R458" s="28" t="n">
        <f aca="false">IF(M458="Cancelled",0,IF(P458&lt;&gt;"",MAX(0,P458-O458),IF(T458&lt;&gt;"None",MAX(1,O458-B458-2),0)))</f>
        <v>2</v>
      </c>
      <c r="S458" s="26" t="s">
        <v>310</v>
      </c>
      <c r="T458" s="27" t="s">
        <v>112</v>
      </c>
    </row>
    <row r="459" customFormat="false" ht="15" hidden="false" customHeight="false" outlineLevel="0" collapsed="false">
      <c r="A459" s="18" t="s">
        <v>1148</v>
      </c>
      <c r="B459" s="25" t="n">
        <v>45978</v>
      </c>
      <c r="C459" s="18" t="s">
        <v>902</v>
      </c>
      <c r="D459" s="20" t="s">
        <v>985</v>
      </c>
      <c r="E459" s="18" t="s">
        <v>113</v>
      </c>
      <c r="F459" s="20" t="s">
        <v>78</v>
      </c>
      <c r="G459" s="18" t="s">
        <v>200</v>
      </c>
      <c r="H459" s="20" t="str">
        <f aca="false">VLOOKUP(G459,'Product Master'!$A$5:$K$104,2,FALSE())</f>
        <v>Pro Packaging Item 006</v>
      </c>
      <c r="I459" s="20" t="str">
        <f aca="false">VLOOKUP(G459,'Product Master'!$A$5:$K$104,3,FALSE())</f>
        <v>Packaging</v>
      </c>
      <c r="J459" s="17" t="n">
        <v>15</v>
      </c>
      <c r="K459" s="16" t="n">
        <v>1867.12</v>
      </c>
      <c r="L459" s="16" t="n">
        <f aca="false">J459*K459</f>
        <v>28006.8</v>
      </c>
      <c r="M459" s="18" t="s">
        <v>37</v>
      </c>
      <c r="N459" s="25"/>
      <c r="O459" s="25" t="n">
        <v>45982</v>
      </c>
      <c r="P459" s="25"/>
      <c r="Q459" s="17" t="n">
        <f aca="false">IF(P459&lt;&gt;"",MAX(1,P459-B459),IF(M459="Dispatched",MAX(1,O459-B459),0))</f>
        <v>0</v>
      </c>
      <c r="R459" s="17" t="n">
        <f aca="false">IF(M459="Cancelled",0,IF(P459&lt;&gt;"",MAX(0,P459-O459),IF(T459&lt;&gt;"None",MAX(1,O459-B459-2),0)))</f>
        <v>0</v>
      </c>
      <c r="S459" s="18" t="s">
        <v>310</v>
      </c>
      <c r="T459" s="20" t="s">
        <v>317</v>
      </c>
    </row>
    <row r="460" customFormat="false" ht="15" hidden="false" customHeight="false" outlineLevel="0" collapsed="false">
      <c r="A460" s="26" t="s">
        <v>1149</v>
      </c>
      <c r="B460" s="34" t="n">
        <v>45971</v>
      </c>
      <c r="C460" s="26" t="s">
        <v>680</v>
      </c>
      <c r="D460" s="27" t="s">
        <v>755</v>
      </c>
      <c r="E460" s="26" t="s">
        <v>109</v>
      </c>
      <c r="F460" s="27" t="s">
        <v>77</v>
      </c>
      <c r="G460" s="26" t="s">
        <v>256</v>
      </c>
      <c r="H460" s="27" t="str">
        <f aca="false">VLOOKUP(G460,'Product Master'!$A$5:$K$104,2,FALSE())</f>
        <v>Compact Packaging Item 062</v>
      </c>
      <c r="I460" s="27" t="str">
        <f aca="false">VLOOKUP(G460,'Product Master'!$A$5:$K$104,3,FALSE())</f>
        <v>Packaging</v>
      </c>
      <c r="J460" s="28" t="n">
        <v>5</v>
      </c>
      <c r="K460" s="29" t="n">
        <v>10323.31</v>
      </c>
      <c r="L460" s="29" t="n">
        <f aca="false">J460*K460</f>
        <v>51616.55</v>
      </c>
      <c r="M460" s="26" t="s">
        <v>37</v>
      </c>
      <c r="N460" s="34"/>
      <c r="O460" s="34" t="n">
        <v>45977</v>
      </c>
      <c r="P460" s="34"/>
      <c r="Q460" s="28" t="n">
        <f aca="false">IF(P460&lt;&gt;"",MAX(1,P460-B460),IF(M460="Dispatched",MAX(1,O460-B460),0))</f>
        <v>0</v>
      </c>
      <c r="R460" s="28" t="n">
        <f aca="false">IF(M460="Cancelled",0,IF(P460&lt;&gt;"",MAX(0,P460-O460),IF(T460&lt;&gt;"None",MAX(1,O460-B460-2),0)))</f>
        <v>4</v>
      </c>
      <c r="S460" s="26" t="s">
        <v>310</v>
      </c>
      <c r="T460" s="27" t="s">
        <v>108</v>
      </c>
    </row>
    <row r="461" customFormat="false" ht="15" hidden="false" customHeight="false" outlineLevel="0" collapsed="false">
      <c r="A461" s="18" t="s">
        <v>1150</v>
      </c>
      <c r="B461" s="25" t="n">
        <v>46213</v>
      </c>
      <c r="C461" s="18" t="s">
        <v>772</v>
      </c>
      <c r="D461" s="20" t="s">
        <v>578</v>
      </c>
      <c r="E461" s="18" t="s">
        <v>105</v>
      </c>
      <c r="F461" s="20" t="s">
        <v>80</v>
      </c>
      <c r="G461" s="18" t="s">
        <v>204</v>
      </c>
      <c r="H461" s="20" t="str">
        <f aca="false">VLOOKUP(G461,'Product Master'!$A$5:$K$104,2,FALSE())</f>
        <v>Essential Home Item 010</v>
      </c>
      <c r="I461" s="20" t="str">
        <f aca="false">VLOOKUP(G461,'Product Master'!$A$5:$K$104,3,FALSE())</f>
        <v>Home &amp; Kitchen</v>
      </c>
      <c r="J461" s="17" t="n">
        <v>4</v>
      </c>
      <c r="K461" s="16" t="n">
        <v>7388.75</v>
      </c>
      <c r="L461" s="16" t="n">
        <f aca="false">J461*K461</f>
        <v>29555</v>
      </c>
      <c r="M461" s="18" t="s">
        <v>35</v>
      </c>
      <c r="N461" s="25" t="n">
        <v>46213</v>
      </c>
      <c r="O461" s="25" t="n">
        <v>46221</v>
      </c>
      <c r="P461" s="25" t="n">
        <v>46225</v>
      </c>
      <c r="Q461" s="17" t="n">
        <f aca="false">IF(P461&lt;&gt;"",MAX(1,P461-B461),IF(M461="Dispatched",MAX(1,O461-B461),0))</f>
        <v>12</v>
      </c>
      <c r="R461" s="17" t="n">
        <f aca="false">IF(M461="Cancelled",0,IF(P461&lt;&gt;"",MAX(0,P461-O461),IF(T461&lt;&gt;"None",MAX(1,O461-B461-2),0)))</f>
        <v>4</v>
      </c>
      <c r="S461" s="18" t="s">
        <v>310</v>
      </c>
      <c r="T461" s="20" t="s">
        <v>110</v>
      </c>
    </row>
    <row r="462" customFormat="false" ht="15" hidden="false" customHeight="false" outlineLevel="0" collapsed="false">
      <c r="A462" s="26" t="s">
        <v>1151</v>
      </c>
      <c r="B462" s="34" t="n">
        <v>45972</v>
      </c>
      <c r="C462" s="26" t="s">
        <v>550</v>
      </c>
      <c r="D462" s="27" t="s">
        <v>642</v>
      </c>
      <c r="E462" s="26" t="s">
        <v>113</v>
      </c>
      <c r="F462" s="27" t="s">
        <v>76</v>
      </c>
      <c r="G462" s="26" t="s">
        <v>293</v>
      </c>
      <c r="H462" s="27" t="str">
        <f aca="false">VLOOKUP(G462,'Product Master'!$A$5:$K$104,2,FALSE())</f>
        <v>Eco Office Item 099</v>
      </c>
      <c r="I462" s="27" t="str">
        <f aca="false">VLOOKUP(G462,'Product Master'!$A$5:$K$104,3,FALSE())</f>
        <v>Office Supplies</v>
      </c>
      <c r="J462" s="28" t="n">
        <v>4</v>
      </c>
      <c r="K462" s="29" t="n">
        <v>8700.35</v>
      </c>
      <c r="L462" s="29" t="n">
        <f aca="false">J462*K462</f>
        <v>34801.4</v>
      </c>
      <c r="M462" s="26" t="s">
        <v>39</v>
      </c>
      <c r="N462" s="34"/>
      <c r="O462" s="34" t="n">
        <v>45981</v>
      </c>
      <c r="P462" s="34"/>
      <c r="Q462" s="28" t="n">
        <f aca="false">IF(P462&lt;&gt;"",MAX(1,P462-B462),IF(M462="Dispatched",MAX(1,O462-B462),0))</f>
        <v>0</v>
      </c>
      <c r="R462" s="28" t="n">
        <f aca="false">IF(M462="Cancelled",0,IF(P462&lt;&gt;"",MAX(0,P462-O462),IF(T462&lt;&gt;"None",MAX(1,O462-B462-2),0)))</f>
        <v>7</v>
      </c>
      <c r="S462" s="26" t="s">
        <v>310</v>
      </c>
      <c r="T462" s="27" t="s">
        <v>106</v>
      </c>
    </row>
    <row r="463" customFormat="false" ht="15" hidden="false" customHeight="false" outlineLevel="0" collapsed="false">
      <c r="A463" s="18" t="s">
        <v>1152</v>
      </c>
      <c r="B463" s="25" t="n">
        <v>45973</v>
      </c>
      <c r="C463" s="18" t="s">
        <v>398</v>
      </c>
      <c r="D463" s="20" t="s">
        <v>1123</v>
      </c>
      <c r="E463" s="18" t="s">
        <v>109</v>
      </c>
      <c r="F463" s="20" t="s">
        <v>78</v>
      </c>
      <c r="G463" s="18" t="s">
        <v>248</v>
      </c>
      <c r="H463" s="20" t="str">
        <f aca="false">VLOOKUP(G463,'Product Master'!$A$5:$K$104,2,FALSE())</f>
        <v>Pro Packaging Item 054</v>
      </c>
      <c r="I463" s="20" t="str">
        <f aca="false">VLOOKUP(G463,'Product Master'!$A$5:$K$104,3,FALSE())</f>
        <v>Packaging</v>
      </c>
      <c r="J463" s="17" t="n">
        <v>19</v>
      </c>
      <c r="K463" s="16" t="n">
        <v>6770.51</v>
      </c>
      <c r="L463" s="16" t="n">
        <f aca="false">J463*K463</f>
        <v>128639.69</v>
      </c>
      <c r="M463" s="18" t="s">
        <v>39</v>
      </c>
      <c r="N463" s="25"/>
      <c r="O463" s="25" t="n">
        <v>45982</v>
      </c>
      <c r="P463" s="25"/>
      <c r="Q463" s="17" t="n">
        <f aca="false">IF(P463&lt;&gt;"",MAX(1,P463-B463),IF(M463="Dispatched",MAX(1,O463-B463),0))</f>
        <v>0</v>
      </c>
      <c r="R463" s="17" t="n">
        <f aca="false">IF(M463="Cancelled",0,IF(P463&lt;&gt;"",MAX(0,P463-O463),IF(T463&lt;&gt;"None",MAX(1,O463-B463-2),0)))</f>
        <v>0</v>
      </c>
      <c r="S463" s="18" t="s">
        <v>310</v>
      </c>
      <c r="T463" s="20" t="s">
        <v>317</v>
      </c>
    </row>
    <row r="464" customFormat="false" ht="15" hidden="false" customHeight="false" outlineLevel="0" collapsed="false">
      <c r="A464" s="26" t="s">
        <v>1153</v>
      </c>
      <c r="B464" s="34" t="n">
        <v>46314</v>
      </c>
      <c r="C464" s="26" t="s">
        <v>477</v>
      </c>
      <c r="D464" s="27" t="s">
        <v>798</v>
      </c>
      <c r="E464" s="26" t="s">
        <v>109</v>
      </c>
      <c r="F464" s="27" t="s">
        <v>76</v>
      </c>
      <c r="G464" s="26" t="s">
        <v>272</v>
      </c>
      <c r="H464" s="27" t="str">
        <f aca="false">VLOOKUP(G464,'Product Master'!$A$5:$K$104,2,FALSE())</f>
        <v>Smart Packaging Item 078</v>
      </c>
      <c r="I464" s="27" t="str">
        <f aca="false">VLOOKUP(G464,'Product Master'!$A$5:$K$104,3,FALSE())</f>
        <v>Packaging</v>
      </c>
      <c r="J464" s="28" t="n">
        <v>14</v>
      </c>
      <c r="K464" s="29" t="n">
        <v>627.95</v>
      </c>
      <c r="L464" s="29" t="n">
        <f aca="false">J464*K464</f>
        <v>8791.3</v>
      </c>
      <c r="M464" s="26" t="s">
        <v>39</v>
      </c>
      <c r="N464" s="34"/>
      <c r="O464" s="34" t="n">
        <v>46318</v>
      </c>
      <c r="P464" s="34"/>
      <c r="Q464" s="28" t="n">
        <f aca="false">IF(P464&lt;&gt;"",MAX(1,P464-B464),IF(M464="Dispatched",MAX(1,O464-B464),0))</f>
        <v>0</v>
      </c>
      <c r="R464" s="28" t="n">
        <f aca="false">IF(M464="Cancelled",0,IF(P464&lt;&gt;"",MAX(0,P464-O464),IF(T464&lt;&gt;"None",MAX(1,O464-B464-2),0)))</f>
        <v>0</v>
      </c>
      <c r="S464" s="26" t="s">
        <v>310</v>
      </c>
      <c r="T464" s="27" t="s">
        <v>317</v>
      </c>
    </row>
    <row r="465" customFormat="false" ht="15" hidden="false" customHeight="false" outlineLevel="0" collapsed="false">
      <c r="A465" s="18" t="s">
        <v>1154</v>
      </c>
      <c r="B465" s="25" t="n">
        <v>46285</v>
      </c>
      <c r="C465" s="18" t="s">
        <v>863</v>
      </c>
      <c r="D465" s="20" t="s">
        <v>394</v>
      </c>
      <c r="E465" s="18" t="s">
        <v>113</v>
      </c>
      <c r="F465" s="20" t="s">
        <v>79</v>
      </c>
      <c r="G465" s="18" t="s">
        <v>246</v>
      </c>
      <c r="H465" s="20" t="str">
        <f aca="false">VLOOKUP(G465,'Product Master'!$A$5:$K$104,2,FALSE())</f>
        <v>Compact Personal Item 052</v>
      </c>
      <c r="I465" s="20" t="str">
        <f aca="false">VLOOKUP(G465,'Product Master'!$A$5:$K$104,3,FALSE())</f>
        <v>Personal Care</v>
      </c>
      <c r="J465" s="17" t="n">
        <v>10</v>
      </c>
      <c r="K465" s="16" t="n">
        <v>8547.77</v>
      </c>
      <c r="L465" s="16" t="n">
        <f aca="false">J465*K465</f>
        <v>85477.7</v>
      </c>
      <c r="M465" s="18" t="s">
        <v>37</v>
      </c>
      <c r="N465" s="25"/>
      <c r="O465" s="25" t="n">
        <v>46292</v>
      </c>
      <c r="P465" s="25"/>
      <c r="Q465" s="17" t="n">
        <f aca="false">IF(P465&lt;&gt;"",MAX(1,P465-B465),IF(M465="Dispatched",MAX(1,O465-B465),0))</f>
        <v>0</v>
      </c>
      <c r="R465" s="17" t="n">
        <f aca="false">IF(M465="Cancelled",0,IF(P465&lt;&gt;"",MAX(0,P465-O465),IF(T465&lt;&gt;"None",MAX(1,O465-B465-2),0)))</f>
        <v>0</v>
      </c>
      <c r="S465" s="18" t="s">
        <v>310</v>
      </c>
      <c r="T465" s="20" t="s">
        <v>317</v>
      </c>
    </row>
    <row r="466" customFormat="false" ht="15" hidden="false" customHeight="false" outlineLevel="0" collapsed="false">
      <c r="A466" s="26" t="s">
        <v>1155</v>
      </c>
      <c r="B466" s="34" t="n">
        <v>45995</v>
      </c>
      <c r="C466" s="26" t="s">
        <v>676</v>
      </c>
      <c r="D466" s="27" t="s">
        <v>466</v>
      </c>
      <c r="E466" s="26" t="s">
        <v>105</v>
      </c>
      <c r="F466" s="27" t="s">
        <v>77</v>
      </c>
      <c r="G466" s="26" t="s">
        <v>212</v>
      </c>
      <c r="H466" s="27" t="str">
        <f aca="false">VLOOKUP(G466,'Product Master'!$A$5:$K$104,2,FALSE())</f>
        <v>Smart Home Item 018</v>
      </c>
      <c r="I466" s="27" t="str">
        <f aca="false">VLOOKUP(G466,'Product Master'!$A$5:$K$104,3,FALSE())</f>
        <v>Home &amp; Kitchen</v>
      </c>
      <c r="J466" s="28" t="n">
        <v>4</v>
      </c>
      <c r="K466" s="29" t="n">
        <v>5693.61</v>
      </c>
      <c r="L466" s="29" t="n">
        <f aca="false">J466*K466</f>
        <v>22774.44</v>
      </c>
      <c r="M466" s="26" t="s">
        <v>39</v>
      </c>
      <c r="N466" s="34"/>
      <c r="O466" s="34" t="n">
        <v>46000</v>
      </c>
      <c r="P466" s="34"/>
      <c r="Q466" s="28" t="n">
        <f aca="false">IF(P466&lt;&gt;"",MAX(1,P466-B466),IF(M466="Dispatched",MAX(1,O466-B466),0))</f>
        <v>0</v>
      </c>
      <c r="R466" s="28" t="n">
        <f aca="false">IF(M466="Cancelled",0,IF(P466&lt;&gt;"",MAX(0,P466-O466),IF(T466&lt;&gt;"None",MAX(1,O466-B466-2),0)))</f>
        <v>3</v>
      </c>
      <c r="S466" s="26" t="s">
        <v>310</v>
      </c>
      <c r="T466" s="27" t="s">
        <v>106</v>
      </c>
    </row>
    <row r="467" customFormat="false" ht="15" hidden="false" customHeight="false" outlineLevel="0" collapsed="false">
      <c r="A467" s="18" t="s">
        <v>1156</v>
      </c>
      <c r="B467" s="25" t="n">
        <v>46054</v>
      </c>
      <c r="C467" s="18" t="s">
        <v>538</v>
      </c>
      <c r="D467" s="20" t="s">
        <v>749</v>
      </c>
      <c r="E467" s="18" t="s">
        <v>113</v>
      </c>
      <c r="F467" s="20" t="s">
        <v>77</v>
      </c>
      <c r="G467" s="18" t="s">
        <v>250</v>
      </c>
      <c r="H467" s="20" t="str">
        <f aca="false">VLOOKUP(G467,'Product Master'!$A$5:$K$104,2,FALSE())</f>
        <v>Smart Automotive Item 056</v>
      </c>
      <c r="I467" s="20" t="str">
        <f aca="false">VLOOKUP(G467,'Product Master'!$A$5:$K$104,3,FALSE())</f>
        <v>Automotive</v>
      </c>
      <c r="J467" s="17" t="n">
        <v>3</v>
      </c>
      <c r="K467" s="16" t="n">
        <v>4007.08</v>
      </c>
      <c r="L467" s="16" t="n">
        <f aca="false">J467*K467</f>
        <v>12021.24</v>
      </c>
      <c r="M467" s="18" t="s">
        <v>35</v>
      </c>
      <c r="N467" s="25" t="n">
        <v>46055</v>
      </c>
      <c r="O467" s="25" t="n">
        <v>46063</v>
      </c>
      <c r="P467" s="25" t="n">
        <v>46067</v>
      </c>
      <c r="Q467" s="17" t="n">
        <f aca="false">IF(P467&lt;&gt;"",MAX(1,P467-B467),IF(M467="Dispatched",MAX(1,O467-B467),0))</f>
        <v>13</v>
      </c>
      <c r="R467" s="17" t="n">
        <f aca="false">IF(M467="Cancelled",0,IF(P467&lt;&gt;"",MAX(0,P467-O467),IF(T467&lt;&gt;"None",MAX(1,O467-B467-2),0)))</f>
        <v>4</v>
      </c>
      <c r="S467" s="18" t="s">
        <v>352</v>
      </c>
      <c r="T467" s="20" t="s">
        <v>114</v>
      </c>
    </row>
    <row r="468" customFormat="false" ht="15" hidden="false" customHeight="false" outlineLevel="0" collapsed="false">
      <c r="A468" s="26" t="s">
        <v>1157</v>
      </c>
      <c r="B468" s="34" t="n">
        <v>46314</v>
      </c>
      <c r="C468" s="26" t="s">
        <v>674</v>
      </c>
      <c r="D468" s="27" t="s">
        <v>861</v>
      </c>
      <c r="E468" s="26" t="s">
        <v>111</v>
      </c>
      <c r="F468" s="27" t="s">
        <v>79</v>
      </c>
      <c r="G468" s="26" t="s">
        <v>284</v>
      </c>
      <c r="H468" s="27" t="str">
        <f aca="false">VLOOKUP(G468,'Product Master'!$A$5:$K$104,2,FALSE())</f>
        <v>Compact Home Item 090</v>
      </c>
      <c r="I468" s="27" t="str">
        <f aca="false">VLOOKUP(G468,'Product Master'!$A$5:$K$104,3,FALSE())</f>
        <v>Home &amp; Kitchen</v>
      </c>
      <c r="J468" s="28" t="n">
        <v>16</v>
      </c>
      <c r="K468" s="29" t="n">
        <v>10789.39</v>
      </c>
      <c r="L468" s="29" t="n">
        <f aca="false">J468*K468</f>
        <v>172630.24</v>
      </c>
      <c r="M468" s="26" t="s">
        <v>41</v>
      </c>
      <c r="N468" s="34" t="n">
        <v>46314</v>
      </c>
      <c r="O468" s="34" t="n">
        <v>46318</v>
      </c>
      <c r="P468" s="34"/>
      <c r="Q468" s="28" t="n">
        <f aca="false">IF(P468&lt;&gt;"",MAX(1,P468-B468),IF(M468="Dispatched",MAX(1,O468-B468),0))</f>
        <v>4</v>
      </c>
      <c r="R468" s="28" t="n">
        <f aca="false">IF(M468="Cancelled",0,IF(P468&lt;&gt;"",MAX(0,P468-O468),IF(T468&lt;&gt;"None",MAX(1,O468-B468-2),0)))</f>
        <v>0</v>
      </c>
      <c r="S468" s="26" t="s">
        <v>310</v>
      </c>
      <c r="T468" s="27" t="s">
        <v>317</v>
      </c>
    </row>
    <row r="469" customFormat="false" ht="15" hidden="false" customHeight="false" outlineLevel="0" collapsed="false">
      <c r="A469" s="18" t="s">
        <v>1158</v>
      </c>
      <c r="B469" s="25" t="n">
        <v>45983</v>
      </c>
      <c r="C469" s="18" t="s">
        <v>416</v>
      </c>
      <c r="D469" s="20" t="s">
        <v>646</v>
      </c>
      <c r="E469" s="18" t="s">
        <v>111</v>
      </c>
      <c r="F469" s="20" t="s">
        <v>79</v>
      </c>
      <c r="G469" s="18" t="s">
        <v>275</v>
      </c>
      <c r="H469" s="20" t="str">
        <f aca="false">VLOOKUP(G469,'Product Master'!$A$5:$K$104,2,FALSE())</f>
        <v>Premium Electronics Item 081</v>
      </c>
      <c r="I469" s="20" t="str">
        <f aca="false">VLOOKUP(G469,'Product Master'!$A$5:$K$104,3,FALSE())</f>
        <v>Electronics</v>
      </c>
      <c r="J469" s="17" t="n">
        <v>16</v>
      </c>
      <c r="K469" s="16" t="n">
        <v>5895.61</v>
      </c>
      <c r="L469" s="16" t="n">
        <f aca="false">J469*K469</f>
        <v>94329.76</v>
      </c>
      <c r="M469" s="18" t="s">
        <v>39</v>
      </c>
      <c r="N469" s="25"/>
      <c r="O469" s="25" t="n">
        <v>45989</v>
      </c>
      <c r="P469" s="25"/>
      <c r="Q469" s="17" t="n">
        <f aca="false">IF(P469&lt;&gt;"",MAX(1,P469-B469),IF(M469="Dispatched",MAX(1,O469-B469),0))</f>
        <v>0</v>
      </c>
      <c r="R469" s="17" t="n">
        <f aca="false">IF(M469="Cancelled",0,IF(P469&lt;&gt;"",MAX(0,P469-O469),IF(T469&lt;&gt;"None",MAX(1,O469-B469-2),0)))</f>
        <v>0</v>
      </c>
      <c r="S469" s="18" t="s">
        <v>310</v>
      </c>
      <c r="T469" s="20" t="s">
        <v>317</v>
      </c>
    </row>
    <row r="470" customFormat="false" ht="15" hidden="false" customHeight="false" outlineLevel="0" collapsed="false">
      <c r="A470" s="26" t="s">
        <v>1159</v>
      </c>
      <c r="B470" s="34" t="n">
        <v>46314</v>
      </c>
      <c r="C470" s="26" t="s">
        <v>517</v>
      </c>
      <c r="D470" s="27" t="s">
        <v>561</v>
      </c>
      <c r="E470" s="26" t="s">
        <v>111</v>
      </c>
      <c r="F470" s="27" t="s">
        <v>77</v>
      </c>
      <c r="G470" s="26" t="s">
        <v>273</v>
      </c>
      <c r="H470" s="27" t="str">
        <f aca="false">VLOOKUP(G470,'Product Master'!$A$5:$K$104,2,FALSE())</f>
        <v>Essential Apparel Item 079</v>
      </c>
      <c r="I470" s="27" t="str">
        <f aca="false">VLOOKUP(G470,'Product Master'!$A$5:$K$104,3,FALSE())</f>
        <v>Apparel</v>
      </c>
      <c r="J470" s="28" t="n">
        <v>23</v>
      </c>
      <c r="K470" s="29" t="n">
        <v>12867.62</v>
      </c>
      <c r="L470" s="29" t="n">
        <f aca="false">J470*K470</f>
        <v>295955.26</v>
      </c>
      <c r="M470" s="26" t="s">
        <v>41</v>
      </c>
      <c r="N470" s="34" t="n">
        <v>46314</v>
      </c>
      <c r="O470" s="34" t="n">
        <v>46318</v>
      </c>
      <c r="P470" s="34"/>
      <c r="Q470" s="28" t="n">
        <f aca="false">IF(P470&lt;&gt;"",MAX(1,P470-B470),IF(M470="Dispatched",MAX(1,O470-B470),0))</f>
        <v>4</v>
      </c>
      <c r="R470" s="28" t="n">
        <f aca="false">IF(M470="Cancelled",0,IF(P470&lt;&gt;"",MAX(0,P470-O470),IF(T470&lt;&gt;"None",MAX(1,O470-B470-2),0)))</f>
        <v>0</v>
      </c>
      <c r="S470" s="26" t="s">
        <v>310</v>
      </c>
      <c r="T470" s="27" t="s">
        <v>317</v>
      </c>
    </row>
    <row r="471" customFormat="false" ht="15" hidden="false" customHeight="false" outlineLevel="0" collapsed="false">
      <c r="A471" s="18" t="s">
        <v>1160</v>
      </c>
      <c r="B471" s="25" t="n">
        <v>46173</v>
      </c>
      <c r="C471" s="18" t="s">
        <v>1161</v>
      </c>
      <c r="D471" s="20" t="s">
        <v>381</v>
      </c>
      <c r="E471" s="18" t="s">
        <v>111</v>
      </c>
      <c r="F471" s="20" t="s">
        <v>80</v>
      </c>
      <c r="G471" s="18" t="s">
        <v>209</v>
      </c>
      <c r="H471" s="20" t="str">
        <f aca="false">VLOOKUP(G471,'Product Master'!$A$5:$K$104,2,FALSE())</f>
        <v>Classic Apparel Item 015</v>
      </c>
      <c r="I471" s="20" t="str">
        <f aca="false">VLOOKUP(G471,'Product Master'!$A$5:$K$104,3,FALSE())</f>
        <v>Apparel</v>
      </c>
      <c r="J471" s="17" t="n">
        <v>21</v>
      </c>
      <c r="K471" s="16" t="n">
        <v>1631</v>
      </c>
      <c r="L471" s="16" t="n">
        <f aca="false">J471*K471</f>
        <v>34251</v>
      </c>
      <c r="M471" s="18" t="s">
        <v>35</v>
      </c>
      <c r="N471" s="25" t="n">
        <v>46173</v>
      </c>
      <c r="O471" s="25" t="n">
        <v>46181</v>
      </c>
      <c r="P471" s="25" t="n">
        <v>46180</v>
      </c>
      <c r="Q471" s="17" t="n">
        <f aca="false">IF(P471&lt;&gt;"",MAX(1,P471-B471),IF(M471="Dispatched",MAX(1,O471-B471),0))</f>
        <v>7</v>
      </c>
      <c r="R471" s="17" t="n">
        <f aca="false">IF(M471="Cancelled",0,IF(P471&lt;&gt;"",MAX(0,P471-O471),IF(T471&lt;&gt;"None",MAX(1,O471-B471-2),0)))</f>
        <v>0</v>
      </c>
      <c r="S471" s="18" t="s">
        <v>310</v>
      </c>
      <c r="T471" s="20" t="s">
        <v>317</v>
      </c>
    </row>
    <row r="472" customFormat="false" ht="15" hidden="false" customHeight="false" outlineLevel="0" collapsed="false">
      <c r="A472" s="26" t="s">
        <v>1162</v>
      </c>
      <c r="B472" s="34" t="n">
        <v>46049</v>
      </c>
      <c r="C472" s="26" t="s">
        <v>651</v>
      </c>
      <c r="D472" s="27" t="s">
        <v>705</v>
      </c>
      <c r="E472" s="26" t="s">
        <v>107</v>
      </c>
      <c r="F472" s="27" t="s">
        <v>80</v>
      </c>
      <c r="G472" s="26" t="s">
        <v>259</v>
      </c>
      <c r="H472" s="27" t="str">
        <f aca="false">VLOOKUP(G472,'Product Master'!$A$5:$K$104,2,FALSE())</f>
        <v>Compact Electronics Item 065</v>
      </c>
      <c r="I472" s="27" t="str">
        <f aca="false">VLOOKUP(G472,'Product Master'!$A$5:$K$104,3,FALSE())</f>
        <v>Electronics</v>
      </c>
      <c r="J472" s="28" t="n">
        <v>22</v>
      </c>
      <c r="K472" s="29" t="n">
        <v>7172.77</v>
      </c>
      <c r="L472" s="29" t="n">
        <f aca="false">J472*K472</f>
        <v>157800.94</v>
      </c>
      <c r="M472" s="26" t="s">
        <v>35</v>
      </c>
      <c r="N472" s="34" t="n">
        <v>46050</v>
      </c>
      <c r="O472" s="34" t="n">
        <v>46058</v>
      </c>
      <c r="P472" s="34" t="n">
        <v>46058</v>
      </c>
      <c r="Q472" s="28" t="n">
        <f aca="false">IF(P472&lt;&gt;"",MAX(1,P472-B472),IF(M472="Dispatched",MAX(1,O472-B472),0))</f>
        <v>9</v>
      </c>
      <c r="R472" s="28" t="n">
        <f aca="false">IF(M472="Cancelled",0,IF(P472&lt;&gt;"",MAX(0,P472-O472),IF(T472&lt;&gt;"None",MAX(1,O472-B472-2),0)))</f>
        <v>0</v>
      </c>
      <c r="S472" s="26" t="s">
        <v>37</v>
      </c>
      <c r="T472" s="27" t="s">
        <v>317</v>
      </c>
    </row>
    <row r="473" customFormat="false" ht="15" hidden="false" customHeight="false" outlineLevel="0" collapsed="false">
      <c r="A473" s="18" t="s">
        <v>1163</v>
      </c>
      <c r="B473" s="25" t="n">
        <v>46275</v>
      </c>
      <c r="C473" s="18" t="s">
        <v>782</v>
      </c>
      <c r="D473" s="20" t="s">
        <v>351</v>
      </c>
      <c r="E473" s="18" t="s">
        <v>109</v>
      </c>
      <c r="F473" s="20" t="s">
        <v>79</v>
      </c>
      <c r="G473" s="18" t="s">
        <v>278</v>
      </c>
      <c r="H473" s="20" t="str">
        <f aca="false">VLOOKUP(G473,'Product Master'!$A$5:$K$104,2,FALSE())</f>
        <v>Eco Personal Item 084</v>
      </c>
      <c r="I473" s="20" t="str">
        <f aca="false">VLOOKUP(G473,'Product Master'!$A$5:$K$104,3,FALSE())</f>
        <v>Personal Care</v>
      </c>
      <c r="J473" s="17" t="n">
        <v>6</v>
      </c>
      <c r="K473" s="16" t="n">
        <v>4628.26</v>
      </c>
      <c r="L473" s="16" t="n">
        <f aca="false">J473*K473</f>
        <v>27769.56</v>
      </c>
      <c r="M473" s="18" t="s">
        <v>37</v>
      </c>
      <c r="N473" s="25"/>
      <c r="O473" s="25" t="n">
        <v>46281</v>
      </c>
      <c r="P473" s="25"/>
      <c r="Q473" s="17" t="n">
        <f aca="false">IF(P473&lt;&gt;"",MAX(1,P473-B473),IF(M473="Dispatched",MAX(1,O473-B473),0))</f>
        <v>0</v>
      </c>
      <c r="R473" s="17" t="n">
        <f aca="false">IF(M473="Cancelled",0,IF(P473&lt;&gt;"",MAX(0,P473-O473),IF(T473&lt;&gt;"None",MAX(1,O473-B473-2),0)))</f>
        <v>0</v>
      </c>
      <c r="S473" s="18" t="s">
        <v>310</v>
      </c>
      <c r="T473" s="20" t="s">
        <v>317</v>
      </c>
    </row>
    <row r="474" customFormat="false" ht="15" hidden="false" customHeight="false" outlineLevel="0" collapsed="false">
      <c r="A474" s="26" t="s">
        <v>1164</v>
      </c>
      <c r="B474" s="34" t="n">
        <v>46019</v>
      </c>
      <c r="C474" s="26" t="s">
        <v>1165</v>
      </c>
      <c r="D474" s="27" t="s">
        <v>497</v>
      </c>
      <c r="E474" s="26" t="s">
        <v>107</v>
      </c>
      <c r="F474" s="27" t="s">
        <v>80</v>
      </c>
      <c r="G474" s="26" t="s">
        <v>220</v>
      </c>
      <c r="H474" s="27" t="str">
        <f aca="false">VLOOKUP(G474,'Product Master'!$A$5:$K$104,2,FALSE())</f>
        <v>Classic Home Item 026</v>
      </c>
      <c r="I474" s="27" t="str">
        <f aca="false">VLOOKUP(G474,'Product Master'!$A$5:$K$104,3,FALSE())</f>
        <v>Home &amp; Kitchen</v>
      </c>
      <c r="J474" s="28" t="n">
        <v>16</v>
      </c>
      <c r="K474" s="29" t="n">
        <v>4898.07</v>
      </c>
      <c r="L474" s="29" t="n">
        <f aca="false">J474*K474</f>
        <v>78369.12</v>
      </c>
      <c r="M474" s="26" t="s">
        <v>35</v>
      </c>
      <c r="N474" s="34" t="n">
        <v>46022</v>
      </c>
      <c r="O474" s="34" t="n">
        <v>46027</v>
      </c>
      <c r="P474" s="34" t="n">
        <v>46027</v>
      </c>
      <c r="Q474" s="28" t="n">
        <f aca="false">IF(P474&lt;&gt;"",MAX(1,P474-B474),IF(M474="Dispatched",MAX(1,O474-B474),0))</f>
        <v>8</v>
      </c>
      <c r="R474" s="28" t="n">
        <f aca="false">IF(M474="Cancelled",0,IF(P474&lt;&gt;"",MAX(0,P474-O474),IF(T474&lt;&gt;"None",MAX(1,O474-B474-2),0)))</f>
        <v>0</v>
      </c>
      <c r="S474" s="26" t="s">
        <v>310</v>
      </c>
      <c r="T474" s="27" t="s">
        <v>317</v>
      </c>
    </row>
    <row r="475" customFormat="false" ht="15" hidden="false" customHeight="false" outlineLevel="0" collapsed="false">
      <c r="A475" s="18" t="s">
        <v>1166</v>
      </c>
      <c r="B475" s="25" t="n">
        <v>45940</v>
      </c>
      <c r="C475" s="18" t="s">
        <v>635</v>
      </c>
      <c r="D475" s="20" t="s">
        <v>1001</v>
      </c>
      <c r="E475" s="18" t="s">
        <v>109</v>
      </c>
      <c r="F475" s="20" t="s">
        <v>78</v>
      </c>
      <c r="G475" s="18" t="s">
        <v>240</v>
      </c>
      <c r="H475" s="20" t="str">
        <f aca="false">VLOOKUP(G475,'Product Master'!$A$5:$K$104,2,FALSE())</f>
        <v>Classic Packaging Item 046</v>
      </c>
      <c r="I475" s="20" t="str">
        <f aca="false">VLOOKUP(G475,'Product Master'!$A$5:$K$104,3,FALSE())</f>
        <v>Packaging</v>
      </c>
      <c r="J475" s="17" t="n">
        <v>22</v>
      </c>
      <c r="K475" s="16" t="n">
        <v>6882.83</v>
      </c>
      <c r="L475" s="16" t="n">
        <f aca="false">J475*K475</f>
        <v>151422.26</v>
      </c>
      <c r="M475" s="18" t="s">
        <v>35</v>
      </c>
      <c r="N475" s="25" t="n">
        <v>45940</v>
      </c>
      <c r="O475" s="25" t="n">
        <v>45942</v>
      </c>
      <c r="P475" s="25" t="n">
        <v>45943</v>
      </c>
      <c r="Q475" s="17" t="n">
        <f aca="false">IF(P475&lt;&gt;"",MAX(1,P475-B475),IF(M475="Dispatched",MAX(1,O475-B475),0))</f>
        <v>3</v>
      </c>
      <c r="R475" s="17" t="n">
        <f aca="false">IF(M475="Cancelled",0,IF(P475&lt;&gt;"",MAX(0,P475-O475),IF(T475&lt;&gt;"None",MAX(1,O475-B475-2),0)))</f>
        <v>1</v>
      </c>
      <c r="S475" s="18" t="s">
        <v>310</v>
      </c>
      <c r="T475" s="20" t="s">
        <v>114</v>
      </c>
    </row>
    <row r="476" customFormat="false" ht="15" hidden="false" customHeight="false" outlineLevel="0" collapsed="false">
      <c r="A476" s="26" t="s">
        <v>1167</v>
      </c>
      <c r="B476" s="34" t="n">
        <v>46180</v>
      </c>
      <c r="C476" s="26" t="s">
        <v>609</v>
      </c>
      <c r="D476" s="27" t="s">
        <v>551</v>
      </c>
      <c r="E476" s="26" t="s">
        <v>109</v>
      </c>
      <c r="F476" s="27" t="s">
        <v>78</v>
      </c>
      <c r="G476" s="26" t="s">
        <v>228</v>
      </c>
      <c r="H476" s="27" t="str">
        <f aca="false">VLOOKUP(G476,'Product Master'!$A$5:$K$104,2,FALSE())</f>
        <v>Classic Home Item 034</v>
      </c>
      <c r="I476" s="27" t="str">
        <f aca="false">VLOOKUP(G476,'Product Master'!$A$5:$K$104,3,FALSE())</f>
        <v>Home &amp; Kitchen</v>
      </c>
      <c r="J476" s="28" t="n">
        <v>25</v>
      </c>
      <c r="K476" s="29" t="n">
        <v>3243.31</v>
      </c>
      <c r="L476" s="29" t="n">
        <f aca="false">J476*K476</f>
        <v>81082.75</v>
      </c>
      <c r="M476" s="26" t="s">
        <v>35</v>
      </c>
      <c r="N476" s="34" t="n">
        <v>46181</v>
      </c>
      <c r="O476" s="34" t="n">
        <v>46186</v>
      </c>
      <c r="P476" s="34" t="n">
        <v>46194</v>
      </c>
      <c r="Q476" s="28" t="n">
        <f aca="false">IF(P476&lt;&gt;"",MAX(1,P476-B476),IF(M476="Dispatched",MAX(1,O476-B476),0))</f>
        <v>14</v>
      </c>
      <c r="R476" s="28" t="n">
        <f aca="false">IF(M476="Cancelled",0,IF(P476&lt;&gt;"",MAX(0,P476-O476),IF(T476&lt;&gt;"None",MAX(1,O476-B476-2),0)))</f>
        <v>8</v>
      </c>
      <c r="S476" s="26" t="s">
        <v>310</v>
      </c>
      <c r="T476" s="27" t="s">
        <v>110</v>
      </c>
    </row>
    <row r="477" customFormat="false" ht="15" hidden="false" customHeight="false" outlineLevel="0" collapsed="false">
      <c r="A477" s="18" t="s">
        <v>1168</v>
      </c>
      <c r="B477" s="25" t="n">
        <v>46155</v>
      </c>
      <c r="C477" s="18" t="s">
        <v>637</v>
      </c>
      <c r="D477" s="20" t="s">
        <v>749</v>
      </c>
      <c r="E477" s="18" t="s">
        <v>105</v>
      </c>
      <c r="F477" s="20" t="s">
        <v>76</v>
      </c>
      <c r="G477" s="18" t="s">
        <v>253</v>
      </c>
      <c r="H477" s="20" t="str">
        <f aca="false">VLOOKUP(G477,'Product Master'!$A$5:$K$104,2,FALSE())</f>
        <v>Eco Office Item 059</v>
      </c>
      <c r="I477" s="20" t="str">
        <f aca="false">VLOOKUP(G477,'Product Master'!$A$5:$K$104,3,FALSE())</f>
        <v>Office Supplies</v>
      </c>
      <c r="J477" s="17" t="n">
        <v>20</v>
      </c>
      <c r="K477" s="16" t="n">
        <v>348.69</v>
      </c>
      <c r="L477" s="16" t="n">
        <f aca="false">J477*K477</f>
        <v>6973.8</v>
      </c>
      <c r="M477" s="18" t="s">
        <v>37</v>
      </c>
      <c r="N477" s="25"/>
      <c r="O477" s="25" t="n">
        <v>46158</v>
      </c>
      <c r="P477" s="25"/>
      <c r="Q477" s="17" t="n">
        <f aca="false">IF(P477&lt;&gt;"",MAX(1,P477-B477),IF(M477="Dispatched",MAX(1,O477-B477),0))</f>
        <v>0</v>
      </c>
      <c r="R477" s="17" t="n">
        <f aca="false">IF(M477="Cancelled",0,IF(P477&lt;&gt;"",MAX(0,P477-O477),IF(T477&lt;&gt;"None",MAX(1,O477-B477-2),0)))</f>
        <v>0</v>
      </c>
      <c r="S477" s="18" t="s">
        <v>310</v>
      </c>
      <c r="T477" s="20" t="s">
        <v>317</v>
      </c>
    </row>
    <row r="478" customFormat="false" ht="15" hidden="false" customHeight="false" outlineLevel="0" collapsed="false">
      <c r="A478" s="26" t="s">
        <v>1169</v>
      </c>
      <c r="B478" s="34" t="n">
        <v>46036</v>
      </c>
      <c r="C478" s="26" t="s">
        <v>347</v>
      </c>
      <c r="D478" s="27" t="s">
        <v>597</v>
      </c>
      <c r="E478" s="26" t="s">
        <v>107</v>
      </c>
      <c r="F478" s="27" t="s">
        <v>78</v>
      </c>
      <c r="G478" s="26" t="s">
        <v>241</v>
      </c>
      <c r="H478" s="27" t="str">
        <f aca="false">VLOOKUP(G478,'Product Master'!$A$5:$K$104,2,FALSE())</f>
        <v>Premium Apparel Item 047</v>
      </c>
      <c r="I478" s="27" t="str">
        <f aca="false">VLOOKUP(G478,'Product Master'!$A$5:$K$104,3,FALSE())</f>
        <v>Apparel</v>
      </c>
      <c r="J478" s="28" t="n">
        <v>23</v>
      </c>
      <c r="K478" s="29" t="n">
        <v>3068.55</v>
      </c>
      <c r="L478" s="29" t="n">
        <f aca="false">J478*K478</f>
        <v>70576.65</v>
      </c>
      <c r="M478" s="26" t="s">
        <v>35</v>
      </c>
      <c r="N478" s="34" t="n">
        <v>46036</v>
      </c>
      <c r="O478" s="34" t="n">
        <v>46045</v>
      </c>
      <c r="P478" s="34" t="n">
        <v>46044</v>
      </c>
      <c r="Q478" s="28" t="n">
        <f aca="false">IF(P478&lt;&gt;"",MAX(1,P478-B478),IF(M478="Dispatched",MAX(1,O478-B478),0))</f>
        <v>8</v>
      </c>
      <c r="R478" s="28" t="n">
        <f aca="false">IF(M478="Cancelled",0,IF(P478&lt;&gt;"",MAX(0,P478-O478),IF(T478&lt;&gt;"None",MAX(1,O478-B478-2),0)))</f>
        <v>0</v>
      </c>
      <c r="S478" s="26" t="s">
        <v>37</v>
      </c>
      <c r="T478" s="27" t="s">
        <v>317</v>
      </c>
    </row>
    <row r="479" customFormat="false" ht="15" hidden="false" customHeight="false" outlineLevel="0" collapsed="false">
      <c r="A479" s="18" t="s">
        <v>1170</v>
      </c>
      <c r="B479" s="25" t="n">
        <v>45993</v>
      </c>
      <c r="C479" s="18" t="s">
        <v>398</v>
      </c>
      <c r="D479" s="20" t="s">
        <v>1171</v>
      </c>
      <c r="E479" s="18" t="s">
        <v>111</v>
      </c>
      <c r="F479" s="20" t="s">
        <v>79</v>
      </c>
      <c r="G479" s="18" t="s">
        <v>220</v>
      </c>
      <c r="H479" s="20" t="str">
        <f aca="false">VLOOKUP(G479,'Product Master'!$A$5:$K$104,2,FALSE())</f>
        <v>Classic Home Item 026</v>
      </c>
      <c r="I479" s="20" t="str">
        <f aca="false">VLOOKUP(G479,'Product Master'!$A$5:$K$104,3,FALSE())</f>
        <v>Home &amp; Kitchen</v>
      </c>
      <c r="J479" s="17" t="n">
        <v>25</v>
      </c>
      <c r="K479" s="16" t="n">
        <v>4898.07</v>
      </c>
      <c r="L479" s="16" t="n">
        <f aca="false">J479*K479</f>
        <v>122451.75</v>
      </c>
      <c r="M479" s="18" t="s">
        <v>39</v>
      </c>
      <c r="N479" s="25"/>
      <c r="O479" s="25" t="n">
        <v>45998</v>
      </c>
      <c r="P479" s="25"/>
      <c r="Q479" s="17" t="n">
        <f aca="false">IF(P479&lt;&gt;"",MAX(1,P479-B479),IF(M479="Dispatched",MAX(1,O479-B479),0))</f>
        <v>0</v>
      </c>
      <c r="R479" s="17" t="n">
        <f aca="false">IF(M479="Cancelled",0,IF(P479&lt;&gt;"",MAX(0,P479-O479),IF(T479&lt;&gt;"None",MAX(1,O479-B479-2),0)))</f>
        <v>0</v>
      </c>
      <c r="S479" s="18" t="s">
        <v>310</v>
      </c>
      <c r="T479" s="20" t="s">
        <v>317</v>
      </c>
    </row>
    <row r="480" customFormat="false" ht="15" hidden="false" customHeight="false" outlineLevel="0" collapsed="false">
      <c r="A480" s="26" t="s">
        <v>1172</v>
      </c>
      <c r="B480" s="34" t="n">
        <v>46067</v>
      </c>
      <c r="C480" s="26" t="s">
        <v>1173</v>
      </c>
      <c r="D480" s="27" t="s">
        <v>941</v>
      </c>
      <c r="E480" s="26" t="s">
        <v>111</v>
      </c>
      <c r="F480" s="27" t="s">
        <v>78</v>
      </c>
      <c r="G480" s="26" t="s">
        <v>242</v>
      </c>
      <c r="H480" s="27" t="str">
        <f aca="false">VLOOKUP(G480,'Product Master'!$A$5:$K$104,2,FALSE())</f>
        <v>Eco Automotive Item 048</v>
      </c>
      <c r="I480" s="27" t="str">
        <f aca="false">VLOOKUP(G480,'Product Master'!$A$5:$K$104,3,FALSE())</f>
        <v>Automotive</v>
      </c>
      <c r="J480" s="28" t="n">
        <v>21</v>
      </c>
      <c r="K480" s="29" t="n">
        <v>444.67</v>
      </c>
      <c r="L480" s="29" t="n">
        <f aca="false">J480*K480</f>
        <v>9338.07</v>
      </c>
      <c r="M480" s="26" t="s">
        <v>37</v>
      </c>
      <c r="N480" s="34"/>
      <c r="O480" s="34" t="n">
        <v>46071</v>
      </c>
      <c r="P480" s="34"/>
      <c r="Q480" s="28" t="n">
        <f aca="false">IF(P480&lt;&gt;"",MAX(1,P480-B480),IF(M480="Dispatched",MAX(1,O480-B480),0))</f>
        <v>0</v>
      </c>
      <c r="R480" s="28" t="n">
        <f aca="false">IF(M480="Cancelled",0,IF(P480&lt;&gt;"",MAX(0,P480-O480),IF(T480&lt;&gt;"None",MAX(1,O480-B480-2),0)))</f>
        <v>2</v>
      </c>
      <c r="S480" s="26" t="s">
        <v>37</v>
      </c>
      <c r="T480" s="27" t="s">
        <v>106</v>
      </c>
    </row>
    <row r="481" customFormat="false" ht="15" hidden="false" customHeight="false" outlineLevel="0" collapsed="false">
      <c r="A481" s="18" t="s">
        <v>1174</v>
      </c>
      <c r="B481" s="25" t="n">
        <v>46142</v>
      </c>
      <c r="C481" s="18" t="s">
        <v>1175</v>
      </c>
      <c r="D481" s="20" t="s">
        <v>1045</v>
      </c>
      <c r="E481" s="18" t="s">
        <v>111</v>
      </c>
      <c r="F481" s="20" t="s">
        <v>80</v>
      </c>
      <c r="G481" s="18" t="s">
        <v>247</v>
      </c>
      <c r="H481" s="20" t="str">
        <f aca="false">VLOOKUP(G481,'Product Master'!$A$5:$K$104,2,FALSE())</f>
        <v>Classic Industrial Item 053</v>
      </c>
      <c r="I481" s="20" t="str">
        <f aca="false">VLOOKUP(G481,'Product Master'!$A$5:$K$104,3,FALSE())</f>
        <v>Industrial</v>
      </c>
      <c r="J481" s="17" t="n">
        <v>22</v>
      </c>
      <c r="K481" s="16" t="n">
        <v>10730.84</v>
      </c>
      <c r="L481" s="16" t="n">
        <f aca="false">J481*K481</f>
        <v>236078.48</v>
      </c>
      <c r="M481" s="18" t="s">
        <v>35</v>
      </c>
      <c r="N481" s="25" t="n">
        <v>46145</v>
      </c>
      <c r="O481" s="25" t="n">
        <v>46149</v>
      </c>
      <c r="P481" s="25" t="n">
        <v>46147</v>
      </c>
      <c r="Q481" s="17" t="n">
        <f aca="false">IF(P481&lt;&gt;"",MAX(1,P481-B481),IF(M481="Dispatched",MAX(1,O481-B481),0))</f>
        <v>5</v>
      </c>
      <c r="R481" s="17" t="n">
        <f aca="false">IF(M481="Cancelled",0,IF(P481&lt;&gt;"",MAX(0,P481-O481),IF(T481&lt;&gt;"None",MAX(1,O481-B481-2),0)))</f>
        <v>0</v>
      </c>
      <c r="S481" s="18" t="s">
        <v>37</v>
      </c>
      <c r="T481" s="20" t="s">
        <v>317</v>
      </c>
    </row>
    <row r="482" customFormat="false" ht="15" hidden="false" customHeight="false" outlineLevel="0" collapsed="false">
      <c r="A482" s="26" t="s">
        <v>1176</v>
      </c>
      <c r="B482" s="34" t="n">
        <v>45966</v>
      </c>
      <c r="C482" s="26" t="s">
        <v>810</v>
      </c>
      <c r="D482" s="27" t="s">
        <v>490</v>
      </c>
      <c r="E482" s="26" t="s">
        <v>109</v>
      </c>
      <c r="F482" s="27" t="s">
        <v>78</v>
      </c>
      <c r="G482" s="26" t="s">
        <v>205</v>
      </c>
      <c r="H482" s="27" t="str">
        <f aca="false">VLOOKUP(G482,'Product Master'!$A$5:$K$104,2,FALSE())</f>
        <v>Essential Office Item 011</v>
      </c>
      <c r="I482" s="27" t="str">
        <f aca="false">VLOOKUP(G482,'Product Master'!$A$5:$K$104,3,FALSE())</f>
        <v>Office Supplies</v>
      </c>
      <c r="J482" s="28" t="n">
        <v>13</v>
      </c>
      <c r="K482" s="29" t="n">
        <v>635.87</v>
      </c>
      <c r="L482" s="29" t="n">
        <f aca="false">J482*K482</f>
        <v>8266.31</v>
      </c>
      <c r="M482" s="26" t="s">
        <v>43</v>
      </c>
      <c r="N482" s="34"/>
      <c r="O482" s="34" t="n">
        <v>45970</v>
      </c>
      <c r="P482" s="34"/>
      <c r="Q482" s="28" t="n">
        <f aca="false">IF(P482&lt;&gt;"",MAX(1,P482-B482),IF(M482="Dispatched",MAX(1,O482-B482),0))</f>
        <v>0</v>
      </c>
      <c r="R482" s="28" t="n">
        <f aca="false">IF(M482="Cancelled",0,IF(P482&lt;&gt;"",MAX(0,P482-O482),IF(T482&lt;&gt;"None",MAX(1,O482-B482-2),0)))</f>
        <v>0</v>
      </c>
      <c r="S482" s="26" t="s">
        <v>37</v>
      </c>
      <c r="T482" s="27" t="s">
        <v>411</v>
      </c>
    </row>
    <row r="483" customFormat="false" ht="15" hidden="false" customHeight="false" outlineLevel="0" collapsed="false">
      <c r="A483" s="18" t="s">
        <v>1177</v>
      </c>
      <c r="B483" s="25" t="n">
        <v>46269</v>
      </c>
      <c r="C483" s="18" t="s">
        <v>1173</v>
      </c>
      <c r="D483" s="20" t="s">
        <v>780</v>
      </c>
      <c r="E483" s="18" t="s">
        <v>107</v>
      </c>
      <c r="F483" s="20" t="s">
        <v>80</v>
      </c>
      <c r="G483" s="18" t="s">
        <v>277</v>
      </c>
      <c r="H483" s="20" t="str">
        <f aca="false">VLOOKUP(G483,'Product Master'!$A$5:$K$104,2,FALSE())</f>
        <v>Essential Office Item 083</v>
      </c>
      <c r="I483" s="20" t="str">
        <f aca="false">VLOOKUP(G483,'Product Master'!$A$5:$K$104,3,FALSE())</f>
        <v>Office Supplies</v>
      </c>
      <c r="J483" s="17" t="n">
        <v>2</v>
      </c>
      <c r="K483" s="16" t="n">
        <v>4117.89</v>
      </c>
      <c r="L483" s="16" t="n">
        <f aca="false">J483*K483</f>
        <v>8235.78</v>
      </c>
      <c r="M483" s="18" t="s">
        <v>43</v>
      </c>
      <c r="N483" s="25"/>
      <c r="O483" s="25" t="n">
        <v>46275</v>
      </c>
      <c r="P483" s="25"/>
      <c r="Q483" s="17" t="n">
        <f aca="false">IF(P483&lt;&gt;"",MAX(1,P483-B483),IF(M483="Dispatched",MAX(1,O483-B483),0))</f>
        <v>0</v>
      </c>
      <c r="R483" s="17" t="n">
        <f aca="false">IF(M483="Cancelled",0,IF(P483&lt;&gt;"",MAX(0,P483-O483),IF(T483&lt;&gt;"None",MAX(1,O483-B483-2),0)))</f>
        <v>0</v>
      </c>
      <c r="S483" s="18" t="s">
        <v>37</v>
      </c>
      <c r="T483" s="20" t="s">
        <v>411</v>
      </c>
    </row>
    <row r="484" customFormat="false" ht="15" hidden="false" customHeight="false" outlineLevel="0" collapsed="false">
      <c r="A484" s="26" t="s">
        <v>1178</v>
      </c>
      <c r="B484" s="34" t="n">
        <v>46086</v>
      </c>
      <c r="C484" s="26" t="s">
        <v>523</v>
      </c>
      <c r="D484" s="27" t="s">
        <v>497</v>
      </c>
      <c r="E484" s="26" t="s">
        <v>109</v>
      </c>
      <c r="F484" s="27" t="s">
        <v>78</v>
      </c>
      <c r="G484" s="26" t="s">
        <v>287</v>
      </c>
      <c r="H484" s="27" t="str">
        <f aca="false">VLOOKUP(G484,'Product Master'!$A$5:$K$104,2,FALSE())</f>
        <v>Compact Industrial Item 093</v>
      </c>
      <c r="I484" s="27" t="str">
        <f aca="false">VLOOKUP(G484,'Product Master'!$A$5:$K$104,3,FALSE())</f>
        <v>Industrial</v>
      </c>
      <c r="J484" s="28" t="n">
        <v>1</v>
      </c>
      <c r="K484" s="29" t="n">
        <v>7420.7</v>
      </c>
      <c r="L484" s="29" t="n">
        <f aca="false">J484*K484</f>
        <v>7420.7</v>
      </c>
      <c r="M484" s="26" t="s">
        <v>41</v>
      </c>
      <c r="N484" s="34" t="n">
        <v>46089</v>
      </c>
      <c r="O484" s="34" t="n">
        <v>46090</v>
      </c>
      <c r="P484" s="34"/>
      <c r="Q484" s="28" t="n">
        <f aca="false">IF(P484&lt;&gt;"",MAX(1,P484-B484),IF(M484="Dispatched",MAX(1,O484-B484),0))</f>
        <v>4</v>
      </c>
      <c r="R484" s="28" t="n">
        <f aca="false">IF(M484="Cancelled",0,IF(P484&lt;&gt;"",MAX(0,P484-O484),IF(T484&lt;&gt;"None",MAX(1,O484-B484-2),0)))</f>
        <v>0</v>
      </c>
      <c r="S484" s="26" t="s">
        <v>310</v>
      </c>
      <c r="T484" s="27" t="s">
        <v>317</v>
      </c>
    </row>
    <row r="485" customFormat="false" ht="15" hidden="false" customHeight="false" outlineLevel="0" collapsed="false">
      <c r="A485" s="18" t="s">
        <v>1179</v>
      </c>
      <c r="B485" s="25" t="n">
        <v>46247</v>
      </c>
      <c r="C485" s="18" t="s">
        <v>390</v>
      </c>
      <c r="D485" s="20" t="s">
        <v>323</v>
      </c>
      <c r="E485" s="18" t="s">
        <v>111</v>
      </c>
      <c r="F485" s="20" t="s">
        <v>78</v>
      </c>
      <c r="G485" s="18" t="s">
        <v>278</v>
      </c>
      <c r="H485" s="20" t="str">
        <f aca="false">VLOOKUP(G485,'Product Master'!$A$5:$K$104,2,FALSE())</f>
        <v>Eco Personal Item 084</v>
      </c>
      <c r="I485" s="20" t="str">
        <f aca="false">VLOOKUP(G485,'Product Master'!$A$5:$K$104,3,FALSE())</f>
        <v>Personal Care</v>
      </c>
      <c r="J485" s="17" t="n">
        <v>21</v>
      </c>
      <c r="K485" s="16" t="n">
        <v>4628.26</v>
      </c>
      <c r="L485" s="16" t="n">
        <f aca="false">J485*K485</f>
        <v>97193.46</v>
      </c>
      <c r="M485" s="18" t="s">
        <v>35</v>
      </c>
      <c r="N485" s="25" t="n">
        <v>46249</v>
      </c>
      <c r="O485" s="25" t="n">
        <v>46252</v>
      </c>
      <c r="P485" s="25" t="n">
        <v>46250</v>
      </c>
      <c r="Q485" s="17" t="n">
        <f aca="false">IF(P485&lt;&gt;"",MAX(1,P485-B485),IF(M485="Dispatched",MAX(1,O485-B485),0))</f>
        <v>3</v>
      </c>
      <c r="R485" s="17" t="n">
        <f aca="false">IF(M485="Cancelled",0,IF(P485&lt;&gt;"",MAX(0,P485-O485),IF(T485&lt;&gt;"None",MAX(1,O485-B485-2),0)))</f>
        <v>0</v>
      </c>
      <c r="S485" s="18" t="s">
        <v>37</v>
      </c>
      <c r="T485" s="20" t="s">
        <v>317</v>
      </c>
    </row>
    <row r="486" customFormat="false" ht="15" hidden="false" customHeight="false" outlineLevel="0" collapsed="false">
      <c r="A486" s="26" t="s">
        <v>1180</v>
      </c>
      <c r="B486" s="34" t="n">
        <v>46310</v>
      </c>
      <c r="C486" s="26" t="s">
        <v>538</v>
      </c>
      <c r="D486" s="27" t="s">
        <v>422</v>
      </c>
      <c r="E486" s="26" t="s">
        <v>113</v>
      </c>
      <c r="F486" s="27" t="s">
        <v>80</v>
      </c>
      <c r="G486" s="26" t="s">
        <v>211</v>
      </c>
      <c r="H486" s="27" t="str">
        <f aca="false">VLOOKUP(G486,'Product Master'!$A$5:$K$104,2,FALSE())</f>
        <v>Premium Electronics Item 017</v>
      </c>
      <c r="I486" s="27" t="str">
        <f aca="false">VLOOKUP(G486,'Product Master'!$A$5:$K$104,3,FALSE())</f>
        <v>Electronics</v>
      </c>
      <c r="J486" s="28" t="n">
        <v>10</v>
      </c>
      <c r="K486" s="29" t="n">
        <v>4534.74</v>
      </c>
      <c r="L486" s="29" t="n">
        <f aca="false">J486*K486</f>
        <v>45347.4</v>
      </c>
      <c r="M486" s="26" t="s">
        <v>35</v>
      </c>
      <c r="N486" s="34" t="n">
        <v>46311</v>
      </c>
      <c r="O486" s="34" t="n">
        <v>46314</v>
      </c>
      <c r="P486" s="34" t="n">
        <v>46314</v>
      </c>
      <c r="Q486" s="28" t="n">
        <f aca="false">IF(P486&lt;&gt;"",MAX(1,P486-B486),IF(M486="Dispatched",MAX(1,O486-B486),0))</f>
        <v>4</v>
      </c>
      <c r="R486" s="28" t="n">
        <f aca="false">IF(M486="Cancelled",0,IF(P486&lt;&gt;"",MAX(0,P486-O486),IF(T486&lt;&gt;"None",MAX(1,O486-B486-2),0)))</f>
        <v>0</v>
      </c>
      <c r="S486" s="26" t="s">
        <v>310</v>
      </c>
      <c r="T486" s="27" t="s">
        <v>317</v>
      </c>
    </row>
    <row r="487" customFormat="false" ht="15" hidden="false" customHeight="false" outlineLevel="0" collapsed="false">
      <c r="A487" s="18" t="s">
        <v>1181</v>
      </c>
      <c r="B487" s="25" t="n">
        <v>46063</v>
      </c>
      <c r="C487" s="18" t="s">
        <v>456</v>
      </c>
      <c r="D487" s="20" t="s">
        <v>693</v>
      </c>
      <c r="E487" s="18" t="s">
        <v>109</v>
      </c>
      <c r="F487" s="20" t="s">
        <v>79</v>
      </c>
      <c r="G487" s="18" t="s">
        <v>225</v>
      </c>
      <c r="H487" s="20" t="str">
        <f aca="false">VLOOKUP(G487,'Product Master'!$A$5:$K$104,2,FALSE())</f>
        <v>Essential Apparel Item 031</v>
      </c>
      <c r="I487" s="20" t="str">
        <f aca="false">VLOOKUP(G487,'Product Master'!$A$5:$K$104,3,FALSE())</f>
        <v>Apparel</v>
      </c>
      <c r="J487" s="17" t="n">
        <v>17</v>
      </c>
      <c r="K487" s="16" t="n">
        <v>11597.85</v>
      </c>
      <c r="L487" s="16" t="n">
        <f aca="false">J487*K487</f>
        <v>197163.45</v>
      </c>
      <c r="M487" s="18" t="s">
        <v>35</v>
      </c>
      <c r="N487" s="25" t="n">
        <v>46065</v>
      </c>
      <c r="O487" s="25" t="n">
        <v>46065</v>
      </c>
      <c r="P487" s="25" t="n">
        <v>46065</v>
      </c>
      <c r="Q487" s="17" t="n">
        <f aca="false">IF(P487&lt;&gt;"",MAX(1,P487-B487),IF(M487="Dispatched",MAX(1,O487-B487),0))</f>
        <v>2</v>
      </c>
      <c r="R487" s="17" t="n">
        <f aca="false">IF(M487="Cancelled",0,IF(P487&lt;&gt;"",MAX(0,P487-O487),IF(T487&lt;&gt;"None",MAX(1,O487-B487-2),0)))</f>
        <v>0</v>
      </c>
      <c r="S487" s="18" t="s">
        <v>310</v>
      </c>
      <c r="T487" s="20" t="s">
        <v>317</v>
      </c>
    </row>
    <row r="488" customFormat="false" ht="15" hidden="false" customHeight="false" outlineLevel="0" collapsed="false">
      <c r="A488" s="26" t="s">
        <v>1182</v>
      </c>
      <c r="B488" s="34" t="n">
        <v>46264</v>
      </c>
      <c r="C488" s="26" t="s">
        <v>1165</v>
      </c>
      <c r="D488" s="27" t="s">
        <v>511</v>
      </c>
      <c r="E488" s="26" t="s">
        <v>111</v>
      </c>
      <c r="F488" s="27" t="s">
        <v>78</v>
      </c>
      <c r="G488" s="26" t="s">
        <v>210</v>
      </c>
      <c r="H488" s="27" t="str">
        <f aca="false">VLOOKUP(G488,'Product Master'!$A$5:$K$104,2,FALSE())</f>
        <v>Pro Automotive Item 016</v>
      </c>
      <c r="I488" s="27" t="str">
        <f aca="false">VLOOKUP(G488,'Product Master'!$A$5:$K$104,3,FALSE())</f>
        <v>Automotive</v>
      </c>
      <c r="J488" s="28" t="n">
        <v>19</v>
      </c>
      <c r="K488" s="29" t="n">
        <v>5263.77</v>
      </c>
      <c r="L488" s="29" t="n">
        <f aca="false">J488*K488</f>
        <v>100011.63</v>
      </c>
      <c r="M488" s="26" t="s">
        <v>39</v>
      </c>
      <c r="N488" s="34"/>
      <c r="O488" s="34" t="n">
        <v>46273</v>
      </c>
      <c r="P488" s="34"/>
      <c r="Q488" s="28" t="n">
        <f aca="false">IF(P488&lt;&gt;"",MAX(1,P488-B488),IF(M488="Dispatched",MAX(1,O488-B488),0))</f>
        <v>0</v>
      </c>
      <c r="R488" s="28" t="n">
        <f aca="false">IF(M488="Cancelled",0,IF(P488&lt;&gt;"",MAX(0,P488-O488),IF(T488&lt;&gt;"None",MAX(1,O488-B488-2),0)))</f>
        <v>7</v>
      </c>
      <c r="S488" s="26" t="s">
        <v>310</v>
      </c>
      <c r="T488" s="27" t="s">
        <v>108</v>
      </c>
    </row>
    <row r="489" customFormat="false" ht="15" hidden="false" customHeight="false" outlineLevel="0" collapsed="false">
      <c r="A489" s="18" t="s">
        <v>1183</v>
      </c>
      <c r="B489" s="25" t="n">
        <v>46272</v>
      </c>
      <c r="C489" s="18" t="s">
        <v>707</v>
      </c>
      <c r="D489" s="20" t="s">
        <v>536</v>
      </c>
      <c r="E489" s="18" t="s">
        <v>113</v>
      </c>
      <c r="F489" s="20" t="s">
        <v>77</v>
      </c>
      <c r="G489" s="18" t="s">
        <v>286</v>
      </c>
      <c r="H489" s="20" t="str">
        <f aca="false">VLOOKUP(G489,'Product Master'!$A$5:$K$104,2,FALSE())</f>
        <v>Essential Personal Item 092</v>
      </c>
      <c r="I489" s="20" t="str">
        <f aca="false">VLOOKUP(G489,'Product Master'!$A$5:$K$104,3,FALSE())</f>
        <v>Personal Care</v>
      </c>
      <c r="J489" s="17" t="n">
        <v>23</v>
      </c>
      <c r="K489" s="16" t="n">
        <v>8774.84</v>
      </c>
      <c r="L489" s="16" t="n">
        <f aca="false">J489*K489</f>
        <v>201821.32</v>
      </c>
      <c r="M489" s="18" t="s">
        <v>35</v>
      </c>
      <c r="N489" s="25" t="n">
        <v>46272</v>
      </c>
      <c r="O489" s="25" t="n">
        <v>46277</v>
      </c>
      <c r="P489" s="25" t="n">
        <v>46278</v>
      </c>
      <c r="Q489" s="17" t="n">
        <f aca="false">IF(P489&lt;&gt;"",MAX(1,P489-B489),IF(M489="Dispatched",MAX(1,O489-B489),0))</f>
        <v>6</v>
      </c>
      <c r="R489" s="17" t="n">
        <f aca="false">IF(M489="Cancelled",0,IF(P489&lt;&gt;"",MAX(0,P489-O489),IF(T489&lt;&gt;"None",MAX(1,O489-B489-2),0)))</f>
        <v>1</v>
      </c>
      <c r="S489" s="18" t="s">
        <v>37</v>
      </c>
      <c r="T489" s="20" t="s">
        <v>110</v>
      </c>
    </row>
    <row r="490" customFormat="false" ht="15" hidden="false" customHeight="false" outlineLevel="0" collapsed="false">
      <c r="A490" s="26" t="s">
        <v>1184</v>
      </c>
      <c r="B490" s="34" t="n">
        <v>46163</v>
      </c>
      <c r="C490" s="26" t="s">
        <v>600</v>
      </c>
      <c r="D490" s="27" t="s">
        <v>381</v>
      </c>
      <c r="E490" s="26" t="s">
        <v>107</v>
      </c>
      <c r="F490" s="27" t="s">
        <v>79</v>
      </c>
      <c r="G490" s="26" t="s">
        <v>207</v>
      </c>
      <c r="H490" s="27" t="str">
        <f aca="false">VLOOKUP(G490,'Product Master'!$A$5:$K$104,2,FALSE())</f>
        <v>Eco Industrial Item 013</v>
      </c>
      <c r="I490" s="27" t="str">
        <f aca="false">VLOOKUP(G490,'Product Master'!$A$5:$K$104,3,FALSE())</f>
        <v>Industrial</v>
      </c>
      <c r="J490" s="28" t="n">
        <v>14</v>
      </c>
      <c r="K490" s="29" t="n">
        <v>12957.77</v>
      </c>
      <c r="L490" s="29" t="n">
        <f aca="false">J490*K490</f>
        <v>181408.78</v>
      </c>
      <c r="M490" s="26" t="s">
        <v>35</v>
      </c>
      <c r="N490" s="34" t="n">
        <v>46166</v>
      </c>
      <c r="O490" s="34" t="n">
        <v>46170</v>
      </c>
      <c r="P490" s="34" t="n">
        <v>46168</v>
      </c>
      <c r="Q490" s="28" t="n">
        <f aca="false">IF(P490&lt;&gt;"",MAX(1,P490-B490),IF(M490="Dispatched",MAX(1,O490-B490),0))</f>
        <v>5</v>
      </c>
      <c r="R490" s="28" t="n">
        <f aca="false">IF(M490="Cancelled",0,IF(P490&lt;&gt;"",MAX(0,P490-O490),IF(T490&lt;&gt;"None",MAX(1,O490-B490-2),0)))</f>
        <v>0</v>
      </c>
      <c r="S490" s="26" t="s">
        <v>310</v>
      </c>
      <c r="T490" s="27" t="s">
        <v>317</v>
      </c>
    </row>
    <row r="491" customFormat="false" ht="15" hidden="false" customHeight="false" outlineLevel="0" collapsed="false">
      <c r="A491" s="18" t="s">
        <v>1185</v>
      </c>
      <c r="B491" s="25" t="n">
        <v>46277</v>
      </c>
      <c r="C491" s="18" t="s">
        <v>1186</v>
      </c>
      <c r="D491" s="20" t="s">
        <v>558</v>
      </c>
      <c r="E491" s="18" t="s">
        <v>111</v>
      </c>
      <c r="F491" s="20" t="s">
        <v>80</v>
      </c>
      <c r="G491" s="18" t="s">
        <v>262</v>
      </c>
      <c r="H491" s="20" t="str">
        <f aca="false">VLOOKUP(G491,'Product Master'!$A$5:$K$104,2,FALSE())</f>
        <v>Compact Personal Item 068</v>
      </c>
      <c r="I491" s="20" t="str">
        <f aca="false">VLOOKUP(G491,'Product Master'!$A$5:$K$104,3,FALSE())</f>
        <v>Personal Care</v>
      </c>
      <c r="J491" s="17" t="n">
        <v>18</v>
      </c>
      <c r="K491" s="16" t="n">
        <v>7446.2</v>
      </c>
      <c r="L491" s="16" t="n">
        <f aca="false">J491*K491</f>
        <v>134031.6</v>
      </c>
      <c r="M491" s="18" t="s">
        <v>35</v>
      </c>
      <c r="N491" s="25" t="n">
        <v>46279</v>
      </c>
      <c r="O491" s="25" t="n">
        <v>46285</v>
      </c>
      <c r="P491" s="25" t="n">
        <v>46289</v>
      </c>
      <c r="Q491" s="17" t="n">
        <f aca="false">IF(P491&lt;&gt;"",MAX(1,P491-B491),IF(M491="Dispatched",MAX(1,O491-B491),0))</f>
        <v>12</v>
      </c>
      <c r="R491" s="17" t="n">
        <f aca="false">IF(M491="Cancelled",0,IF(P491&lt;&gt;"",MAX(0,P491-O491),IF(T491&lt;&gt;"None",MAX(1,O491-B491-2),0)))</f>
        <v>4</v>
      </c>
      <c r="S491" s="18" t="s">
        <v>339</v>
      </c>
      <c r="T491" s="20" t="s">
        <v>114</v>
      </c>
    </row>
    <row r="492" customFormat="false" ht="15" hidden="false" customHeight="false" outlineLevel="0" collapsed="false">
      <c r="A492" s="26" t="s">
        <v>1187</v>
      </c>
      <c r="B492" s="34" t="n">
        <v>46014</v>
      </c>
      <c r="C492" s="26" t="s">
        <v>1121</v>
      </c>
      <c r="D492" s="27" t="s">
        <v>381</v>
      </c>
      <c r="E492" s="26" t="s">
        <v>113</v>
      </c>
      <c r="F492" s="27" t="s">
        <v>77</v>
      </c>
      <c r="G492" s="26" t="s">
        <v>213</v>
      </c>
      <c r="H492" s="27" t="str">
        <f aca="false">VLOOKUP(G492,'Product Master'!$A$5:$K$104,2,FALSE())</f>
        <v>Everyday Office Item 019</v>
      </c>
      <c r="I492" s="27" t="str">
        <f aca="false">VLOOKUP(G492,'Product Master'!$A$5:$K$104,3,FALSE())</f>
        <v>Office Supplies</v>
      </c>
      <c r="J492" s="28" t="n">
        <v>16</v>
      </c>
      <c r="K492" s="29" t="n">
        <v>3354.66</v>
      </c>
      <c r="L492" s="29" t="n">
        <f aca="false">J492*K492</f>
        <v>53674.56</v>
      </c>
      <c r="M492" s="26" t="s">
        <v>39</v>
      </c>
      <c r="N492" s="34"/>
      <c r="O492" s="34" t="n">
        <v>46018</v>
      </c>
      <c r="P492" s="34"/>
      <c r="Q492" s="28" t="n">
        <f aca="false">IF(P492&lt;&gt;"",MAX(1,P492-B492),IF(M492="Dispatched",MAX(1,O492-B492),0))</f>
        <v>0</v>
      </c>
      <c r="R492" s="28" t="n">
        <f aca="false">IF(M492="Cancelled",0,IF(P492&lt;&gt;"",MAX(0,P492-O492),IF(T492&lt;&gt;"None",MAX(1,O492-B492-2),0)))</f>
        <v>2</v>
      </c>
      <c r="S492" s="26" t="s">
        <v>310</v>
      </c>
      <c r="T492" s="27" t="s">
        <v>106</v>
      </c>
    </row>
    <row r="493" customFormat="false" ht="15" hidden="false" customHeight="false" outlineLevel="0" collapsed="false">
      <c r="A493" s="18" t="s">
        <v>1188</v>
      </c>
      <c r="B493" s="25" t="n">
        <v>46310</v>
      </c>
      <c r="C493" s="18" t="s">
        <v>424</v>
      </c>
      <c r="D493" s="20" t="s">
        <v>544</v>
      </c>
      <c r="E493" s="18" t="s">
        <v>113</v>
      </c>
      <c r="F493" s="20" t="s">
        <v>78</v>
      </c>
      <c r="G493" s="18" t="s">
        <v>215</v>
      </c>
      <c r="H493" s="20" t="str">
        <f aca="false">VLOOKUP(G493,'Product Master'!$A$5:$K$104,2,FALSE())</f>
        <v>Eco Industrial Item 021</v>
      </c>
      <c r="I493" s="20" t="str">
        <f aca="false">VLOOKUP(G493,'Product Master'!$A$5:$K$104,3,FALSE())</f>
        <v>Industrial</v>
      </c>
      <c r="J493" s="17" t="n">
        <v>4</v>
      </c>
      <c r="K493" s="16" t="n">
        <v>2056.91</v>
      </c>
      <c r="L493" s="16" t="n">
        <f aca="false">J493*K493</f>
        <v>8227.64</v>
      </c>
      <c r="M493" s="18" t="s">
        <v>35</v>
      </c>
      <c r="N493" s="25" t="n">
        <v>46311</v>
      </c>
      <c r="O493" s="25" t="n">
        <v>46312</v>
      </c>
      <c r="P493" s="25" t="n">
        <v>46314</v>
      </c>
      <c r="Q493" s="17" t="n">
        <f aca="false">IF(P493&lt;&gt;"",MAX(1,P493-B493),IF(M493="Dispatched",MAX(1,O493-B493),0))</f>
        <v>4</v>
      </c>
      <c r="R493" s="17" t="n">
        <f aca="false">IF(M493="Cancelled",0,IF(P493&lt;&gt;"",MAX(0,P493-O493),IF(T493&lt;&gt;"None",MAX(1,O493-B493-2),0)))</f>
        <v>2</v>
      </c>
      <c r="S493" s="18" t="s">
        <v>310</v>
      </c>
      <c r="T493" s="20" t="s">
        <v>115</v>
      </c>
    </row>
    <row r="494" customFormat="false" ht="15" hidden="false" customHeight="false" outlineLevel="0" collapsed="false">
      <c r="A494" s="26" t="s">
        <v>1189</v>
      </c>
      <c r="B494" s="34" t="n">
        <v>45951</v>
      </c>
      <c r="C494" s="26" t="s">
        <v>416</v>
      </c>
      <c r="D494" s="27" t="s">
        <v>422</v>
      </c>
      <c r="E494" s="26" t="s">
        <v>107</v>
      </c>
      <c r="F494" s="27" t="s">
        <v>76</v>
      </c>
      <c r="G494" s="26" t="s">
        <v>261</v>
      </c>
      <c r="H494" s="27" t="str">
        <f aca="false">VLOOKUP(G494,'Product Master'!$A$5:$K$104,2,FALSE())</f>
        <v>Premium Office Item 067</v>
      </c>
      <c r="I494" s="27" t="str">
        <f aca="false">VLOOKUP(G494,'Product Master'!$A$5:$K$104,3,FALSE())</f>
        <v>Office Supplies</v>
      </c>
      <c r="J494" s="28" t="n">
        <v>12</v>
      </c>
      <c r="K494" s="29" t="n">
        <v>3543.72</v>
      </c>
      <c r="L494" s="29" t="n">
        <f aca="false">J494*K494</f>
        <v>42524.64</v>
      </c>
      <c r="M494" s="26" t="s">
        <v>35</v>
      </c>
      <c r="N494" s="34" t="n">
        <v>45953</v>
      </c>
      <c r="O494" s="34" t="n">
        <v>45958</v>
      </c>
      <c r="P494" s="34" t="n">
        <v>45958</v>
      </c>
      <c r="Q494" s="28" t="n">
        <f aca="false">IF(P494&lt;&gt;"",MAX(1,P494-B494),IF(M494="Dispatched",MAX(1,O494-B494),0))</f>
        <v>7</v>
      </c>
      <c r="R494" s="28" t="n">
        <f aca="false">IF(M494="Cancelled",0,IF(P494&lt;&gt;"",MAX(0,P494-O494),IF(T494&lt;&gt;"None",MAX(1,O494-B494-2),0)))</f>
        <v>0</v>
      </c>
      <c r="S494" s="26" t="s">
        <v>310</v>
      </c>
      <c r="T494" s="27" t="s">
        <v>317</v>
      </c>
    </row>
    <row r="495" customFormat="false" ht="15" hidden="false" customHeight="false" outlineLevel="0" collapsed="false">
      <c r="A495" s="18" t="s">
        <v>1190</v>
      </c>
      <c r="B495" s="25" t="n">
        <v>46232</v>
      </c>
      <c r="C495" s="18" t="s">
        <v>791</v>
      </c>
      <c r="D495" s="20" t="s">
        <v>693</v>
      </c>
      <c r="E495" s="18" t="s">
        <v>105</v>
      </c>
      <c r="F495" s="20" t="s">
        <v>78</v>
      </c>
      <c r="G495" s="18" t="s">
        <v>248</v>
      </c>
      <c r="H495" s="20" t="str">
        <f aca="false">VLOOKUP(G495,'Product Master'!$A$5:$K$104,2,FALSE())</f>
        <v>Pro Packaging Item 054</v>
      </c>
      <c r="I495" s="20" t="str">
        <f aca="false">VLOOKUP(G495,'Product Master'!$A$5:$K$104,3,FALSE())</f>
        <v>Packaging</v>
      </c>
      <c r="J495" s="17" t="n">
        <v>10</v>
      </c>
      <c r="K495" s="16" t="n">
        <v>6770.51</v>
      </c>
      <c r="L495" s="16" t="n">
        <f aca="false">J495*K495</f>
        <v>67705.1</v>
      </c>
      <c r="M495" s="18" t="s">
        <v>35</v>
      </c>
      <c r="N495" s="25" t="n">
        <v>46232</v>
      </c>
      <c r="O495" s="25" t="n">
        <v>46241</v>
      </c>
      <c r="P495" s="25" t="n">
        <v>46239</v>
      </c>
      <c r="Q495" s="17" t="n">
        <f aca="false">IF(P495&lt;&gt;"",MAX(1,P495-B495),IF(M495="Dispatched",MAX(1,O495-B495),0))</f>
        <v>7</v>
      </c>
      <c r="R495" s="17" t="n">
        <f aca="false">IF(M495="Cancelled",0,IF(P495&lt;&gt;"",MAX(0,P495-O495),IF(T495&lt;&gt;"None",MAX(1,O495-B495-2),0)))</f>
        <v>0</v>
      </c>
      <c r="S495" s="18" t="s">
        <v>352</v>
      </c>
      <c r="T495" s="20" t="s">
        <v>317</v>
      </c>
    </row>
    <row r="496" customFormat="false" ht="15" hidden="false" customHeight="false" outlineLevel="0" collapsed="false">
      <c r="A496" s="26" t="s">
        <v>1191</v>
      </c>
      <c r="B496" s="34" t="n">
        <v>46144</v>
      </c>
      <c r="C496" s="26" t="s">
        <v>442</v>
      </c>
      <c r="D496" s="27" t="s">
        <v>1069</v>
      </c>
      <c r="E496" s="26" t="s">
        <v>113</v>
      </c>
      <c r="F496" s="27" t="s">
        <v>78</v>
      </c>
      <c r="G496" s="26" t="s">
        <v>256</v>
      </c>
      <c r="H496" s="27" t="str">
        <f aca="false">VLOOKUP(G496,'Product Master'!$A$5:$K$104,2,FALSE())</f>
        <v>Compact Packaging Item 062</v>
      </c>
      <c r="I496" s="27" t="str">
        <f aca="false">VLOOKUP(G496,'Product Master'!$A$5:$K$104,3,FALSE())</f>
        <v>Packaging</v>
      </c>
      <c r="J496" s="28" t="n">
        <v>19</v>
      </c>
      <c r="K496" s="29" t="n">
        <v>10323.31</v>
      </c>
      <c r="L496" s="29" t="n">
        <f aca="false">J496*K496</f>
        <v>196142.89</v>
      </c>
      <c r="M496" s="26" t="s">
        <v>35</v>
      </c>
      <c r="N496" s="34" t="n">
        <v>46147</v>
      </c>
      <c r="O496" s="34" t="n">
        <v>46151</v>
      </c>
      <c r="P496" s="34" t="n">
        <v>46155</v>
      </c>
      <c r="Q496" s="28" t="n">
        <f aca="false">IF(P496&lt;&gt;"",MAX(1,P496-B496),IF(M496="Dispatched",MAX(1,O496-B496),0))</f>
        <v>11</v>
      </c>
      <c r="R496" s="28" t="n">
        <f aca="false">IF(M496="Cancelled",0,IF(P496&lt;&gt;"",MAX(0,P496-O496),IF(T496&lt;&gt;"None",MAX(1,O496-B496-2),0)))</f>
        <v>4</v>
      </c>
      <c r="S496" s="26" t="s">
        <v>310</v>
      </c>
      <c r="T496" s="27" t="s">
        <v>110</v>
      </c>
    </row>
    <row r="497" customFormat="false" ht="15" hidden="false" customHeight="false" outlineLevel="0" collapsed="false">
      <c r="A497" s="18" t="s">
        <v>1192</v>
      </c>
      <c r="B497" s="25" t="n">
        <v>46161</v>
      </c>
      <c r="C497" s="18" t="s">
        <v>710</v>
      </c>
      <c r="D497" s="20" t="s">
        <v>965</v>
      </c>
      <c r="E497" s="18" t="s">
        <v>111</v>
      </c>
      <c r="F497" s="20" t="s">
        <v>77</v>
      </c>
      <c r="G497" s="18" t="s">
        <v>280</v>
      </c>
      <c r="H497" s="20" t="str">
        <f aca="false">VLOOKUP(G497,'Product Master'!$A$5:$K$104,2,FALSE())</f>
        <v>Classic Packaging Item 086</v>
      </c>
      <c r="I497" s="20" t="str">
        <f aca="false">VLOOKUP(G497,'Product Master'!$A$5:$K$104,3,FALSE())</f>
        <v>Packaging</v>
      </c>
      <c r="J497" s="17" t="n">
        <v>24</v>
      </c>
      <c r="K497" s="16" t="n">
        <v>7631.52</v>
      </c>
      <c r="L497" s="16" t="n">
        <f aca="false">J497*K497</f>
        <v>183156.48</v>
      </c>
      <c r="M497" s="18" t="s">
        <v>35</v>
      </c>
      <c r="N497" s="25" t="n">
        <v>46164</v>
      </c>
      <c r="O497" s="25" t="n">
        <v>46169</v>
      </c>
      <c r="P497" s="25" t="n">
        <v>46169</v>
      </c>
      <c r="Q497" s="17" t="n">
        <f aca="false">IF(P497&lt;&gt;"",MAX(1,P497-B497),IF(M497="Dispatched",MAX(1,O497-B497),0))</f>
        <v>8</v>
      </c>
      <c r="R497" s="17" t="n">
        <f aca="false">IF(M497="Cancelled",0,IF(P497&lt;&gt;"",MAX(0,P497-O497),IF(T497&lt;&gt;"None",MAX(1,O497-B497-2),0)))</f>
        <v>0</v>
      </c>
      <c r="S497" s="18" t="s">
        <v>310</v>
      </c>
      <c r="T497" s="20" t="s">
        <v>317</v>
      </c>
    </row>
    <row r="498" customFormat="false" ht="15" hidden="false" customHeight="false" outlineLevel="0" collapsed="false">
      <c r="A498" s="26" t="s">
        <v>1193</v>
      </c>
      <c r="B498" s="34" t="n">
        <v>46274</v>
      </c>
      <c r="C498" s="26" t="s">
        <v>1194</v>
      </c>
      <c r="D498" s="27" t="s">
        <v>746</v>
      </c>
      <c r="E498" s="26" t="s">
        <v>109</v>
      </c>
      <c r="F498" s="27" t="s">
        <v>76</v>
      </c>
      <c r="G498" s="26" t="s">
        <v>251</v>
      </c>
      <c r="H498" s="27" t="str">
        <f aca="false">VLOOKUP(G498,'Product Master'!$A$5:$K$104,2,FALSE())</f>
        <v>Essential Electronics Item 057</v>
      </c>
      <c r="I498" s="27" t="str">
        <f aca="false">VLOOKUP(G498,'Product Master'!$A$5:$K$104,3,FALSE())</f>
        <v>Electronics</v>
      </c>
      <c r="J498" s="28" t="n">
        <v>6</v>
      </c>
      <c r="K498" s="29" t="n">
        <v>8152.77</v>
      </c>
      <c r="L498" s="29" t="n">
        <f aca="false">J498*K498</f>
        <v>48916.62</v>
      </c>
      <c r="M498" s="26" t="s">
        <v>39</v>
      </c>
      <c r="N498" s="34"/>
      <c r="O498" s="34" t="n">
        <v>46280</v>
      </c>
      <c r="P498" s="34"/>
      <c r="Q498" s="28" t="n">
        <f aca="false">IF(P498&lt;&gt;"",MAX(1,P498-B498),IF(M498="Dispatched",MAX(1,O498-B498),0))</f>
        <v>0</v>
      </c>
      <c r="R498" s="28" t="n">
        <f aca="false">IF(M498="Cancelled",0,IF(P498&lt;&gt;"",MAX(0,P498-O498),IF(T498&lt;&gt;"None",MAX(1,O498-B498-2),0)))</f>
        <v>4</v>
      </c>
      <c r="S498" s="26" t="s">
        <v>339</v>
      </c>
      <c r="T498" s="27" t="s">
        <v>106</v>
      </c>
    </row>
    <row r="499" customFormat="false" ht="15" hidden="false" customHeight="false" outlineLevel="0" collapsed="false">
      <c r="A499" s="18" t="s">
        <v>1195</v>
      </c>
      <c r="B499" s="25" t="n">
        <v>46208</v>
      </c>
      <c r="C499" s="18" t="s">
        <v>387</v>
      </c>
      <c r="D499" s="20" t="s">
        <v>1196</v>
      </c>
      <c r="E499" s="18" t="s">
        <v>105</v>
      </c>
      <c r="F499" s="20" t="s">
        <v>80</v>
      </c>
      <c r="G499" s="18" t="s">
        <v>268</v>
      </c>
      <c r="H499" s="20" t="str">
        <f aca="false">VLOOKUP(G499,'Product Master'!$A$5:$K$104,2,FALSE())</f>
        <v>Pro Home Item 074</v>
      </c>
      <c r="I499" s="20" t="str">
        <f aca="false">VLOOKUP(G499,'Product Master'!$A$5:$K$104,3,FALSE())</f>
        <v>Home &amp; Kitchen</v>
      </c>
      <c r="J499" s="17" t="n">
        <v>17</v>
      </c>
      <c r="K499" s="16" t="n">
        <v>8375.75</v>
      </c>
      <c r="L499" s="16" t="n">
        <f aca="false">J499*K499</f>
        <v>142387.75</v>
      </c>
      <c r="M499" s="18" t="s">
        <v>35</v>
      </c>
      <c r="N499" s="25" t="n">
        <v>46208</v>
      </c>
      <c r="O499" s="25" t="n">
        <v>46217</v>
      </c>
      <c r="P499" s="25" t="n">
        <v>46215</v>
      </c>
      <c r="Q499" s="17" t="n">
        <f aca="false">IF(P499&lt;&gt;"",MAX(1,P499-B499),IF(M499="Dispatched",MAX(1,O499-B499),0))</f>
        <v>7</v>
      </c>
      <c r="R499" s="17" t="n">
        <f aca="false">IF(M499="Cancelled",0,IF(P499&lt;&gt;"",MAX(0,P499-O499),IF(T499&lt;&gt;"None",MAX(1,O499-B499-2),0)))</f>
        <v>0</v>
      </c>
      <c r="S499" s="18" t="s">
        <v>310</v>
      </c>
      <c r="T499" s="20" t="s">
        <v>317</v>
      </c>
    </row>
    <row r="500" customFormat="false" ht="15" hidden="false" customHeight="false" outlineLevel="0" collapsed="false">
      <c r="A500" s="26" t="s">
        <v>1197</v>
      </c>
      <c r="B500" s="34" t="n">
        <v>46036</v>
      </c>
      <c r="C500" s="26" t="s">
        <v>543</v>
      </c>
      <c r="D500" s="27" t="s">
        <v>427</v>
      </c>
      <c r="E500" s="26" t="s">
        <v>113</v>
      </c>
      <c r="F500" s="27" t="s">
        <v>79</v>
      </c>
      <c r="G500" s="26" t="s">
        <v>226</v>
      </c>
      <c r="H500" s="27" t="str">
        <f aca="false">VLOOKUP(G500,'Product Master'!$A$5:$K$104,2,FALSE())</f>
        <v>Smart Automotive Item 032</v>
      </c>
      <c r="I500" s="27" t="str">
        <f aca="false">VLOOKUP(G500,'Product Master'!$A$5:$K$104,3,FALSE())</f>
        <v>Automotive</v>
      </c>
      <c r="J500" s="28" t="n">
        <v>3</v>
      </c>
      <c r="K500" s="29" t="n">
        <v>10211.16</v>
      </c>
      <c r="L500" s="29" t="n">
        <f aca="false">J500*K500</f>
        <v>30633.48</v>
      </c>
      <c r="M500" s="26" t="s">
        <v>39</v>
      </c>
      <c r="N500" s="34"/>
      <c r="O500" s="34" t="n">
        <v>46043</v>
      </c>
      <c r="P500" s="34"/>
      <c r="Q500" s="28" t="n">
        <f aca="false">IF(P500&lt;&gt;"",MAX(1,P500-B500),IF(M500="Dispatched",MAX(1,O500-B500),0))</f>
        <v>0</v>
      </c>
      <c r="R500" s="28" t="n">
        <f aca="false">IF(M500="Cancelled",0,IF(P500&lt;&gt;"",MAX(0,P500-O500),IF(T500&lt;&gt;"None",MAX(1,O500-B500-2),0)))</f>
        <v>5</v>
      </c>
      <c r="S500" s="26" t="s">
        <v>352</v>
      </c>
      <c r="T500" s="27" t="s">
        <v>108</v>
      </c>
    </row>
    <row r="501" customFormat="false" ht="15" hidden="false" customHeight="false" outlineLevel="0" collapsed="false">
      <c r="A501" s="18" t="s">
        <v>1198</v>
      </c>
      <c r="B501" s="25" t="n">
        <v>45942</v>
      </c>
      <c r="C501" s="18" t="s">
        <v>510</v>
      </c>
      <c r="D501" s="20" t="s">
        <v>508</v>
      </c>
      <c r="E501" s="18" t="s">
        <v>111</v>
      </c>
      <c r="F501" s="20" t="s">
        <v>77</v>
      </c>
      <c r="G501" s="18" t="s">
        <v>238</v>
      </c>
      <c r="H501" s="20" t="str">
        <f aca="false">VLOOKUP(G501,'Product Master'!$A$5:$K$104,2,FALSE())</f>
        <v>Essential Personal Item 044</v>
      </c>
      <c r="I501" s="20" t="str">
        <f aca="false">VLOOKUP(G501,'Product Master'!$A$5:$K$104,3,FALSE())</f>
        <v>Personal Care</v>
      </c>
      <c r="J501" s="17" t="n">
        <v>14</v>
      </c>
      <c r="K501" s="16" t="n">
        <v>958.86</v>
      </c>
      <c r="L501" s="16" t="n">
        <f aca="false">J501*K501</f>
        <v>13424.04</v>
      </c>
      <c r="M501" s="18" t="s">
        <v>35</v>
      </c>
      <c r="N501" s="25" t="n">
        <v>45945</v>
      </c>
      <c r="O501" s="25" t="n">
        <v>45949</v>
      </c>
      <c r="P501" s="25" t="n">
        <v>45949</v>
      </c>
      <c r="Q501" s="17" t="n">
        <f aca="false">IF(P501&lt;&gt;"",MAX(1,P501-B501),IF(M501="Dispatched",MAX(1,O501-B501),0))</f>
        <v>7</v>
      </c>
      <c r="R501" s="17" t="n">
        <f aca="false">IF(M501="Cancelled",0,IF(P501&lt;&gt;"",MAX(0,P501-O501),IF(T501&lt;&gt;"None",MAX(1,O501-B501-2),0)))</f>
        <v>0</v>
      </c>
      <c r="S501" s="18" t="s">
        <v>310</v>
      </c>
      <c r="T501" s="20" t="s">
        <v>317</v>
      </c>
    </row>
    <row r="502" customFormat="false" ht="15" hidden="false" customHeight="false" outlineLevel="0" collapsed="false">
      <c r="A502" s="26" t="s">
        <v>1199</v>
      </c>
      <c r="B502" s="34" t="n">
        <v>46077</v>
      </c>
      <c r="C502" s="26" t="s">
        <v>1200</v>
      </c>
      <c r="D502" s="27" t="s">
        <v>1097</v>
      </c>
      <c r="E502" s="26" t="s">
        <v>107</v>
      </c>
      <c r="F502" s="27" t="s">
        <v>78</v>
      </c>
      <c r="G502" s="26" t="s">
        <v>213</v>
      </c>
      <c r="H502" s="27" t="str">
        <f aca="false">VLOOKUP(G502,'Product Master'!$A$5:$K$104,2,FALSE())</f>
        <v>Everyday Office Item 019</v>
      </c>
      <c r="I502" s="27" t="str">
        <f aca="false">VLOOKUP(G502,'Product Master'!$A$5:$K$104,3,FALSE())</f>
        <v>Office Supplies</v>
      </c>
      <c r="J502" s="28" t="n">
        <v>25</v>
      </c>
      <c r="K502" s="29" t="n">
        <v>3354.66</v>
      </c>
      <c r="L502" s="29" t="n">
        <f aca="false">J502*K502</f>
        <v>83866.5</v>
      </c>
      <c r="M502" s="26" t="s">
        <v>35</v>
      </c>
      <c r="N502" s="34" t="n">
        <v>46080</v>
      </c>
      <c r="O502" s="34" t="n">
        <v>46083</v>
      </c>
      <c r="P502" s="34" t="n">
        <v>46082</v>
      </c>
      <c r="Q502" s="28" t="n">
        <f aca="false">IF(P502&lt;&gt;"",MAX(1,P502-B502),IF(M502="Dispatched",MAX(1,O502-B502),0))</f>
        <v>5</v>
      </c>
      <c r="R502" s="28" t="n">
        <f aca="false">IF(M502="Cancelled",0,IF(P502&lt;&gt;"",MAX(0,P502-O502),IF(T502&lt;&gt;"None",MAX(1,O502-B502-2),0)))</f>
        <v>0</v>
      </c>
      <c r="S502" s="26" t="s">
        <v>310</v>
      </c>
      <c r="T502" s="27" t="s">
        <v>317</v>
      </c>
    </row>
    <row r="503" customFormat="false" ht="15" hidden="false" customHeight="false" outlineLevel="0" collapsed="false">
      <c r="A503" s="18" t="s">
        <v>1201</v>
      </c>
      <c r="B503" s="25" t="n">
        <v>45960</v>
      </c>
      <c r="C503" s="18" t="s">
        <v>964</v>
      </c>
      <c r="D503" s="20" t="s">
        <v>1202</v>
      </c>
      <c r="E503" s="18" t="s">
        <v>111</v>
      </c>
      <c r="F503" s="20" t="s">
        <v>76</v>
      </c>
      <c r="G503" s="18" t="s">
        <v>233</v>
      </c>
      <c r="H503" s="20" t="str">
        <f aca="false">VLOOKUP(G503,'Product Master'!$A$5:$K$104,2,FALSE())</f>
        <v>Eco Apparel Item 039</v>
      </c>
      <c r="I503" s="20" t="str">
        <f aca="false">VLOOKUP(G503,'Product Master'!$A$5:$K$104,3,FALSE())</f>
        <v>Apparel</v>
      </c>
      <c r="J503" s="17" t="n">
        <v>11</v>
      </c>
      <c r="K503" s="16" t="n">
        <v>3575.06</v>
      </c>
      <c r="L503" s="16" t="n">
        <f aca="false">J503*K503</f>
        <v>39325.66</v>
      </c>
      <c r="M503" s="18" t="s">
        <v>35</v>
      </c>
      <c r="N503" s="25" t="n">
        <v>45962</v>
      </c>
      <c r="O503" s="25" t="n">
        <v>45967</v>
      </c>
      <c r="P503" s="25" t="n">
        <v>45969</v>
      </c>
      <c r="Q503" s="17" t="n">
        <f aca="false">IF(P503&lt;&gt;"",MAX(1,P503-B503),IF(M503="Dispatched",MAX(1,O503-B503),0))</f>
        <v>9</v>
      </c>
      <c r="R503" s="17" t="n">
        <f aca="false">IF(M503="Cancelled",0,IF(P503&lt;&gt;"",MAX(0,P503-O503),IF(T503&lt;&gt;"None",MAX(1,O503-B503-2),0)))</f>
        <v>2</v>
      </c>
      <c r="S503" s="18" t="s">
        <v>37</v>
      </c>
      <c r="T503" s="20" t="s">
        <v>115</v>
      </c>
    </row>
    <row r="504" customFormat="false" ht="15" hidden="false" customHeight="false" outlineLevel="0" collapsed="false">
      <c r="A504" s="26" t="s">
        <v>1203</v>
      </c>
      <c r="B504" s="34" t="n">
        <v>46231</v>
      </c>
      <c r="C504" s="26" t="s">
        <v>554</v>
      </c>
      <c r="D504" s="27" t="s">
        <v>320</v>
      </c>
      <c r="E504" s="26" t="s">
        <v>111</v>
      </c>
      <c r="F504" s="27" t="s">
        <v>80</v>
      </c>
      <c r="G504" s="26" t="s">
        <v>225</v>
      </c>
      <c r="H504" s="27" t="str">
        <f aca="false">VLOOKUP(G504,'Product Master'!$A$5:$K$104,2,FALSE())</f>
        <v>Essential Apparel Item 031</v>
      </c>
      <c r="I504" s="27" t="str">
        <f aca="false">VLOOKUP(G504,'Product Master'!$A$5:$K$104,3,FALSE())</f>
        <v>Apparel</v>
      </c>
      <c r="J504" s="28" t="n">
        <v>25</v>
      </c>
      <c r="K504" s="29" t="n">
        <v>11597.85</v>
      </c>
      <c r="L504" s="29" t="n">
        <f aca="false">J504*K504</f>
        <v>289946.25</v>
      </c>
      <c r="M504" s="26" t="s">
        <v>35</v>
      </c>
      <c r="N504" s="34" t="n">
        <v>46233</v>
      </c>
      <c r="O504" s="34" t="n">
        <v>46234</v>
      </c>
      <c r="P504" s="34" t="n">
        <v>46234</v>
      </c>
      <c r="Q504" s="28" t="n">
        <f aca="false">IF(P504&lt;&gt;"",MAX(1,P504-B504),IF(M504="Dispatched",MAX(1,O504-B504),0))</f>
        <v>3</v>
      </c>
      <c r="R504" s="28" t="n">
        <f aca="false">IF(M504="Cancelled",0,IF(P504&lt;&gt;"",MAX(0,P504-O504),IF(T504&lt;&gt;"None",MAX(1,O504-B504-2),0)))</f>
        <v>0</v>
      </c>
      <c r="S504" s="26" t="s">
        <v>310</v>
      </c>
      <c r="T504" s="27" t="s">
        <v>317</v>
      </c>
    </row>
    <row r="505" customFormat="false" ht="15" hidden="false" customHeight="false" outlineLevel="0" collapsed="false">
      <c r="A505" s="18" t="s">
        <v>1204</v>
      </c>
      <c r="B505" s="25" t="n">
        <v>46178</v>
      </c>
      <c r="C505" s="18" t="s">
        <v>632</v>
      </c>
      <c r="D505" s="20" t="s">
        <v>1205</v>
      </c>
      <c r="E505" s="18" t="s">
        <v>111</v>
      </c>
      <c r="F505" s="20" t="s">
        <v>77</v>
      </c>
      <c r="G505" s="18" t="s">
        <v>198</v>
      </c>
      <c r="H505" s="20" t="str">
        <f aca="false">VLOOKUP(G505,'Product Master'!$A$5:$K$104,2,FALSE())</f>
        <v>Everyday Personal Item 004</v>
      </c>
      <c r="I505" s="20" t="str">
        <f aca="false">VLOOKUP(G505,'Product Master'!$A$5:$K$104,3,FALSE())</f>
        <v>Personal Care</v>
      </c>
      <c r="J505" s="17" t="n">
        <v>1</v>
      </c>
      <c r="K505" s="16" t="n">
        <v>5442.69</v>
      </c>
      <c r="L505" s="16" t="n">
        <f aca="false">J505*K505</f>
        <v>5442.69</v>
      </c>
      <c r="M505" s="18" t="s">
        <v>35</v>
      </c>
      <c r="N505" s="25" t="n">
        <v>46179</v>
      </c>
      <c r="O505" s="25" t="n">
        <v>46181</v>
      </c>
      <c r="P505" s="25" t="n">
        <v>46189</v>
      </c>
      <c r="Q505" s="17" t="n">
        <f aca="false">IF(P505&lt;&gt;"",MAX(1,P505-B505),IF(M505="Dispatched",MAX(1,O505-B505),0))</f>
        <v>11</v>
      </c>
      <c r="R505" s="17" t="n">
        <f aca="false">IF(M505="Cancelled",0,IF(P505&lt;&gt;"",MAX(0,P505-O505),IF(T505&lt;&gt;"None",MAX(1,O505-B505-2),0)))</f>
        <v>8</v>
      </c>
      <c r="S505" s="18" t="s">
        <v>310</v>
      </c>
      <c r="T505" s="20" t="s">
        <v>106</v>
      </c>
    </row>
    <row r="506" customFormat="false" ht="15" hidden="false" customHeight="false" outlineLevel="0" collapsed="false">
      <c r="A506" s="26" t="s">
        <v>1206</v>
      </c>
      <c r="B506" s="34" t="n">
        <v>46256</v>
      </c>
      <c r="C506" s="26" t="s">
        <v>842</v>
      </c>
      <c r="D506" s="27" t="s">
        <v>997</v>
      </c>
      <c r="E506" s="26" t="s">
        <v>107</v>
      </c>
      <c r="F506" s="27" t="s">
        <v>77</v>
      </c>
      <c r="G506" s="26" t="s">
        <v>259</v>
      </c>
      <c r="H506" s="27" t="str">
        <f aca="false">VLOOKUP(G506,'Product Master'!$A$5:$K$104,2,FALSE())</f>
        <v>Compact Electronics Item 065</v>
      </c>
      <c r="I506" s="27" t="str">
        <f aca="false">VLOOKUP(G506,'Product Master'!$A$5:$K$104,3,FALSE())</f>
        <v>Electronics</v>
      </c>
      <c r="J506" s="28" t="n">
        <v>12</v>
      </c>
      <c r="K506" s="29" t="n">
        <v>7172.77</v>
      </c>
      <c r="L506" s="29" t="n">
        <f aca="false">J506*K506</f>
        <v>86073.24</v>
      </c>
      <c r="M506" s="26" t="s">
        <v>35</v>
      </c>
      <c r="N506" s="34" t="n">
        <v>46257</v>
      </c>
      <c r="O506" s="34" t="n">
        <v>46260</v>
      </c>
      <c r="P506" s="34" t="n">
        <v>46268</v>
      </c>
      <c r="Q506" s="28" t="n">
        <f aca="false">IF(P506&lt;&gt;"",MAX(1,P506-B506),IF(M506="Dispatched",MAX(1,O506-B506),0))</f>
        <v>12</v>
      </c>
      <c r="R506" s="28" t="n">
        <f aca="false">IF(M506="Cancelled",0,IF(P506&lt;&gt;"",MAX(0,P506-O506),IF(T506&lt;&gt;"None",MAX(1,O506-B506-2),0)))</f>
        <v>8</v>
      </c>
      <c r="S506" s="26" t="s">
        <v>310</v>
      </c>
      <c r="T506" s="27" t="s">
        <v>114</v>
      </c>
    </row>
    <row r="507" customFormat="false" ht="15" hidden="false" customHeight="false" outlineLevel="0" collapsed="false">
      <c r="A507" s="18" t="s">
        <v>1207</v>
      </c>
      <c r="B507" s="25" t="n">
        <v>46168</v>
      </c>
      <c r="C507" s="18" t="s">
        <v>331</v>
      </c>
      <c r="D507" s="20" t="s">
        <v>378</v>
      </c>
      <c r="E507" s="18" t="s">
        <v>109</v>
      </c>
      <c r="F507" s="20" t="s">
        <v>77</v>
      </c>
      <c r="G507" s="18" t="s">
        <v>274</v>
      </c>
      <c r="H507" s="20" t="str">
        <f aca="false">VLOOKUP(G507,'Product Master'!$A$5:$K$104,2,FALSE())</f>
        <v>Classic Automotive Item 080</v>
      </c>
      <c r="I507" s="20" t="str">
        <f aca="false">VLOOKUP(G507,'Product Master'!$A$5:$K$104,3,FALSE())</f>
        <v>Automotive</v>
      </c>
      <c r="J507" s="17" t="n">
        <v>1</v>
      </c>
      <c r="K507" s="16" t="n">
        <v>2261.32</v>
      </c>
      <c r="L507" s="16" t="n">
        <f aca="false">J507*K507</f>
        <v>2261.32</v>
      </c>
      <c r="M507" s="18" t="s">
        <v>35</v>
      </c>
      <c r="N507" s="25" t="n">
        <v>46170</v>
      </c>
      <c r="O507" s="25" t="n">
        <v>46177</v>
      </c>
      <c r="P507" s="25" t="n">
        <v>46177</v>
      </c>
      <c r="Q507" s="17" t="n">
        <f aca="false">IF(P507&lt;&gt;"",MAX(1,P507-B507),IF(M507="Dispatched",MAX(1,O507-B507),0))</f>
        <v>9</v>
      </c>
      <c r="R507" s="17" t="n">
        <f aca="false">IF(M507="Cancelled",0,IF(P507&lt;&gt;"",MAX(0,P507-O507),IF(T507&lt;&gt;"None",MAX(1,O507-B507-2),0)))</f>
        <v>0</v>
      </c>
      <c r="S507" s="18" t="s">
        <v>352</v>
      </c>
      <c r="T507" s="20" t="s">
        <v>317</v>
      </c>
    </row>
    <row r="508" customFormat="false" ht="15" hidden="false" customHeight="false" outlineLevel="0" collapsed="false">
      <c r="A508" s="26" t="s">
        <v>1208</v>
      </c>
      <c r="B508" s="34" t="n">
        <v>46039</v>
      </c>
      <c r="C508" s="26" t="s">
        <v>710</v>
      </c>
      <c r="D508" s="27" t="s">
        <v>924</v>
      </c>
      <c r="E508" s="26" t="s">
        <v>113</v>
      </c>
      <c r="F508" s="27" t="s">
        <v>78</v>
      </c>
      <c r="G508" s="26" t="s">
        <v>269</v>
      </c>
      <c r="H508" s="27" t="str">
        <f aca="false">VLOOKUP(G508,'Product Master'!$A$5:$K$104,2,FALSE())</f>
        <v>Everyday Office Item 075</v>
      </c>
      <c r="I508" s="27" t="str">
        <f aca="false">VLOOKUP(G508,'Product Master'!$A$5:$K$104,3,FALSE())</f>
        <v>Office Supplies</v>
      </c>
      <c r="J508" s="28" t="n">
        <v>2</v>
      </c>
      <c r="K508" s="29" t="n">
        <v>6952.03</v>
      </c>
      <c r="L508" s="29" t="n">
        <f aca="false">J508*K508</f>
        <v>13904.06</v>
      </c>
      <c r="M508" s="26" t="s">
        <v>35</v>
      </c>
      <c r="N508" s="34" t="n">
        <v>46041</v>
      </c>
      <c r="O508" s="34" t="n">
        <v>46042</v>
      </c>
      <c r="P508" s="34" t="n">
        <v>46042</v>
      </c>
      <c r="Q508" s="28" t="n">
        <f aca="false">IF(P508&lt;&gt;"",MAX(1,P508-B508),IF(M508="Dispatched",MAX(1,O508-B508),0))</f>
        <v>3</v>
      </c>
      <c r="R508" s="28" t="n">
        <f aca="false">IF(M508="Cancelled",0,IF(P508&lt;&gt;"",MAX(0,P508-O508),IF(T508&lt;&gt;"None",MAX(1,O508-B508-2),0)))</f>
        <v>0</v>
      </c>
      <c r="S508" s="26" t="s">
        <v>310</v>
      </c>
      <c r="T508" s="27" t="s">
        <v>317</v>
      </c>
    </row>
    <row r="509" customFormat="false" ht="15" hidden="false" customHeight="false" outlineLevel="0" collapsed="false">
      <c r="A509" s="18" t="s">
        <v>1209</v>
      </c>
      <c r="B509" s="25" t="n">
        <v>46215</v>
      </c>
      <c r="C509" s="18" t="s">
        <v>569</v>
      </c>
      <c r="D509" s="20" t="s">
        <v>1038</v>
      </c>
      <c r="E509" s="18" t="s">
        <v>111</v>
      </c>
      <c r="F509" s="20" t="s">
        <v>77</v>
      </c>
      <c r="G509" s="18" t="s">
        <v>230</v>
      </c>
      <c r="H509" s="20" t="str">
        <f aca="false">VLOOKUP(G509,'Product Master'!$A$5:$K$104,2,FALSE())</f>
        <v>Pro Personal Item 036</v>
      </c>
      <c r="I509" s="20" t="str">
        <f aca="false">VLOOKUP(G509,'Product Master'!$A$5:$K$104,3,FALSE())</f>
        <v>Personal Care</v>
      </c>
      <c r="J509" s="17" t="n">
        <v>20</v>
      </c>
      <c r="K509" s="16" t="n">
        <v>3099.62</v>
      </c>
      <c r="L509" s="16" t="n">
        <f aca="false">J509*K509</f>
        <v>61992.4</v>
      </c>
      <c r="M509" s="18" t="s">
        <v>35</v>
      </c>
      <c r="N509" s="25" t="n">
        <v>46217</v>
      </c>
      <c r="O509" s="25" t="n">
        <v>46222</v>
      </c>
      <c r="P509" s="25" t="n">
        <v>46222</v>
      </c>
      <c r="Q509" s="17" t="n">
        <f aca="false">IF(P509&lt;&gt;"",MAX(1,P509-B509),IF(M509="Dispatched",MAX(1,O509-B509),0))</f>
        <v>7</v>
      </c>
      <c r="R509" s="17" t="n">
        <f aca="false">IF(M509="Cancelled",0,IF(P509&lt;&gt;"",MAX(0,P509-O509),IF(T509&lt;&gt;"None",MAX(1,O509-B509-2),0)))</f>
        <v>0</v>
      </c>
      <c r="S509" s="18" t="s">
        <v>310</v>
      </c>
      <c r="T509" s="20" t="s">
        <v>317</v>
      </c>
    </row>
    <row r="510" customFormat="false" ht="15" hidden="false" customHeight="false" outlineLevel="0" collapsed="false">
      <c r="A510" s="26" t="s">
        <v>1210</v>
      </c>
      <c r="B510" s="34" t="n">
        <v>46095</v>
      </c>
      <c r="C510" s="26" t="s">
        <v>827</v>
      </c>
      <c r="D510" s="27" t="s">
        <v>960</v>
      </c>
      <c r="E510" s="26" t="s">
        <v>107</v>
      </c>
      <c r="F510" s="27" t="s">
        <v>79</v>
      </c>
      <c r="G510" s="26" t="s">
        <v>238</v>
      </c>
      <c r="H510" s="27" t="str">
        <f aca="false">VLOOKUP(G510,'Product Master'!$A$5:$K$104,2,FALSE())</f>
        <v>Essential Personal Item 044</v>
      </c>
      <c r="I510" s="27" t="str">
        <f aca="false">VLOOKUP(G510,'Product Master'!$A$5:$K$104,3,FALSE())</f>
        <v>Personal Care</v>
      </c>
      <c r="J510" s="28" t="n">
        <v>20</v>
      </c>
      <c r="K510" s="29" t="n">
        <v>958.86</v>
      </c>
      <c r="L510" s="29" t="n">
        <f aca="false">J510*K510</f>
        <v>19177.2</v>
      </c>
      <c r="M510" s="26" t="s">
        <v>35</v>
      </c>
      <c r="N510" s="34" t="n">
        <v>46095</v>
      </c>
      <c r="O510" s="34" t="n">
        <v>46099</v>
      </c>
      <c r="P510" s="34" t="n">
        <v>46103</v>
      </c>
      <c r="Q510" s="28" t="n">
        <f aca="false">IF(P510&lt;&gt;"",MAX(1,P510-B510),IF(M510="Dispatched",MAX(1,O510-B510),0))</f>
        <v>8</v>
      </c>
      <c r="R510" s="28" t="n">
        <f aca="false">IF(M510="Cancelled",0,IF(P510&lt;&gt;"",MAX(0,P510-O510),IF(T510&lt;&gt;"None",MAX(1,O510-B510-2),0)))</f>
        <v>4</v>
      </c>
      <c r="S510" s="26" t="s">
        <v>310</v>
      </c>
      <c r="T510" s="27" t="s">
        <v>115</v>
      </c>
    </row>
    <row r="511" customFormat="false" ht="15" hidden="false" customHeight="false" outlineLevel="0" collapsed="false">
      <c r="A511" s="18" t="s">
        <v>1211</v>
      </c>
      <c r="B511" s="25" t="n">
        <v>46287</v>
      </c>
      <c r="C511" s="18" t="s">
        <v>1040</v>
      </c>
      <c r="D511" s="20" t="s">
        <v>956</v>
      </c>
      <c r="E511" s="18" t="s">
        <v>111</v>
      </c>
      <c r="F511" s="20" t="s">
        <v>79</v>
      </c>
      <c r="G511" s="18" t="s">
        <v>285</v>
      </c>
      <c r="H511" s="20" t="str">
        <f aca="false">VLOOKUP(G511,'Product Master'!$A$5:$K$104,2,FALSE())</f>
        <v>Premium Office Item 091</v>
      </c>
      <c r="I511" s="20" t="str">
        <f aca="false">VLOOKUP(G511,'Product Master'!$A$5:$K$104,3,FALSE())</f>
        <v>Office Supplies</v>
      </c>
      <c r="J511" s="17" t="n">
        <v>18</v>
      </c>
      <c r="K511" s="16" t="n">
        <v>6977.08</v>
      </c>
      <c r="L511" s="16" t="n">
        <f aca="false">J511*K511</f>
        <v>125587.44</v>
      </c>
      <c r="M511" s="18" t="s">
        <v>35</v>
      </c>
      <c r="N511" s="25" t="n">
        <v>46287</v>
      </c>
      <c r="O511" s="25" t="n">
        <v>46290</v>
      </c>
      <c r="P511" s="25" t="n">
        <v>46294</v>
      </c>
      <c r="Q511" s="17" t="n">
        <f aca="false">IF(P511&lt;&gt;"",MAX(1,P511-B511),IF(M511="Dispatched",MAX(1,O511-B511),0))</f>
        <v>7</v>
      </c>
      <c r="R511" s="17" t="n">
        <f aca="false">IF(M511="Cancelled",0,IF(P511&lt;&gt;"",MAX(0,P511-O511),IF(T511&lt;&gt;"None",MAX(1,O511-B511-2),0)))</f>
        <v>4</v>
      </c>
      <c r="S511" s="18" t="s">
        <v>310</v>
      </c>
      <c r="T511" s="20" t="s">
        <v>115</v>
      </c>
    </row>
    <row r="512" customFormat="false" ht="15" hidden="false" customHeight="false" outlineLevel="0" collapsed="false">
      <c r="A512" s="26" t="s">
        <v>1212</v>
      </c>
      <c r="B512" s="34" t="n">
        <v>46129</v>
      </c>
      <c r="C512" s="26" t="s">
        <v>529</v>
      </c>
      <c r="D512" s="27" t="s">
        <v>422</v>
      </c>
      <c r="E512" s="26" t="s">
        <v>105</v>
      </c>
      <c r="F512" s="27" t="s">
        <v>76</v>
      </c>
      <c r="G512" s="26" t="s">
        <v>217</v>
      </c>
      <c r="H512" s="27" t="str">
        <f aca="false">VLOOKUP(G512,'Product Master'!$A$5:$K$104,2,FALSE())</f>
        <v>Eco Apparel Item 023</v>
      </c>
      <c r="I512" s="27" t="str">
        <f aca="false">VLOOKUP(G512,'Product Master'!$A$5:$K$104,3,FALSE())</f>
        <v>Apparel</v>
      </c>
      <c r="J512" s="28" t="n">
        <v>15</v>
      </c>
      <c r="K512" s="29" t="n">
        <v>3494.59</v>
      </c>
      <c r="L512" s="29" t="n">
        <f aca="false">J512*K512</f>
        <v>52418.85</v>
      </c>
      <c r="M512" s="26" t="s">
        <v>35</v>
      </c>
      <c r="N512" s="34" t="n">
        <v>46132</v>
      </c>
      <c r="O512" s="34" t="n">
        <v>46134</v>
      </c>
      <c r="P512" s="34" t="n">
        <v>46134</v>
      </c>
      <c r="Q512" s="28" t="n">
        <f aca="false">IF(P512&lt;&gt;"",MAX(1,P512-B512),IF(M512="Dispatched",MAX(1,O512-B512),0))</f>
        <v>5</v>
      </c>
      <c r="R512" s="28" t="n">
        <f aca="false">IF(M512="Cancelled",0,IF(P512&lt;&gt;"",MAX(0,P512-O512),IF(T512&lt;&gt;"None",MAX(1,O512-B512-2),0)))</f>
        <v>0</v>
      </c>
      <c r="S512" s="26" t="s">
        <v>310</v>
      </c>
      <c r="T512" s="27" t="s">
        <v>317</v>
      </c>
    </row>
    <row r="513" customFormat="false" ht="15" hidden="false" customHeight="false" outlineLevel="0" collapsed="false">
      <c r="A513" s="18" t="s">
        <v>1213</v>
      </c>
      <c r="B513" s="25" t="n">
        <v>46294</v>
      </c>
      <c r="C513" s="18" t="s">
        <v>665</v>
      </c>
      <c r="D513" s="20" t="s">
        <v>358</v>
      </c>
      <c r="E513" s="18" t="s">
        <v>107</v>
      </c>
      <c r="F513" s="20" t="s">
        <v>76</v>
      </c>
      <c r="G513" s="18" t="s">
        <v>240</v>
      </c>
      <c r="H513" s="20" t="str">
        <f aca="false">VLOOKUP(G513,'Product Master'!$A$5:$K$104,2,FALSE())</f>
        <v>Classic Packaging Item 046</v>
      </c>
      <c r="I513" s="20" t="str">
        <f aca="false">VLOOKUP(G513,'Product Master'!$A$5:$K$104,3,FALSE())</f>
        <v>Packaging</v>
      </c>
      <c r="J513" s="17" t="n">
        <v>20</v>
      </c>
      <c r="K513" s="16" t="n">
        <v>6882.83</v>
      </c>
      <c r="L513" s="16" t="n">
        <f aca="false">J513*K513</f>
        <v>137656.6</v>
      </c>
      <c r="M513" s="18" t="s">
        <v>37</v>
      </c>
      <c r="N513" s="25"/>
      <c r="O513" s="25" t="n">
        <v>46299</v>
      </c>
      <c r="P513" s="25"/>
      <c r="Q513" s="17" t="n">
        <f aca="false">IF(P513&lt;&gt;"",MAX(1,P513-B513),IF(M513="Dispatched",MAX(1,O513-B513),0))</f>
        <v>0</v>
      </c>
      <c r="R513" s="17" t="n">
        <f aca="false">IF(M513="Cancelled",0,IF(P513&lt;&gt;"",MAX(0,P513-O513),IF(T513&lt;&gt;"None",MAX(1,O513-B513-2),0)))</f>
        <v>0</v>
      </c>
      <c r="S513" s="18" t="s">
        <v>310</v>
      </c>
      <c r="T513" s="20" t="s">
        <v>317</v>
      </c>
    </row>
    <row r="514" customFormat="false" ht="15" hidden="false" customHeight="false" outlineLevel="0" collapsed="false">
      <c r="A514" s="26" t="s">
        <v>1214</v>
      </c>
      <c r="B514" s="34" t="n">
        <v>46291</v>
      </c>
      <c r="C514" s="26" t="s">
        <v>858</v>
      </c>
      <c r="D514" s="27" t="s">
        <v>640</v>
      </c>
      <c r="E514" s="26" t="s">
        <v>113</v>
      </c>
      <c r="F514" s="27" t="s">
        <v>77</v>
      </c>
      <c r="G514" s="26" t="s">
        <v>285</v>
      </c>
      <c r="H514" s="27" t="str">
        <f aca="false">VLOOKUP(G514,'Product Master'!$A$5:$K$104,2,FALSE())</f>
        <v>Premium Office Item 091</v>
      </c>
      <c r="I514" s="27" t="str">
        <f aca="false">VLOOKUP(G514,'Product Master'!$A$5:$K$104,3,FALSE())</f>
        <v>Office Supplies</v>
      </c>
      <c r="J514" s="28" t="n">
        <v>1</v>
      </c>
      <c r="K514" s="29" t="n">
        <v>6977.08</v>
      </c>
      <c r="L514" s="29" t="n">
        <f aca="false">J514*K514</f>
        <v>6977.08</v>
      </c>
      <c r="M514" s="26" t="s">
        <v>35</v>
      </c>
      <c r="N514" s="34" t="n">
        <v>46291</v>
      </c>
      <c r="O514" s="34" t="n">
        <v>46299</v>
      </c>
      <c r="P514" s="34" t="n">
        <v>46299</v>
      </c>
      <c r="Q514" s="28" t="n">
        <f aca="false">IF(P514&lt;&gt;"",MAX(1,P514-B514),IF(M514="Dispatched",MAX(1,O514-B514),0))</f>
        <v>8</v>
      </c>
      <c r="R514" s="28" t="n">
        <f aca="false">IF(M514="Cancelled",0,IF(P514&lt;&gt;"",MAX(0,P514-O514),IF(T514&lt;&gt;"None",MAX(1,O514-B514-2),0)))</f>
        <v>0</v>
      </c>
      <c r="S514" s="26" t="s">
        <v>310</v>
      </c>
      <c r="T514" s="27" t="s">
        <v>317</v>
      </c>
    </row>
    <row r="515" customFormat="false" ht="15" hidden="false" customHeight="false" outlineLevel="0" collapsed="false">
      <c r="A515" s="18" t="s">
        <v>1215</v>
      </c>
      <c r="B515" s="25" t="n">
        <v>46268</v>
      </c>
      <c r="C515" s="18" t="s">
        <v>606</v>
      </c>
      <c r="D515" s="20" t="s">
        <v>1216</v>
      </c>
      <c r="E515" s="18" t="s">
        <v>113</v>
      </c>
      <c r="F515" s="20" t="s">
        <v>80</v>
      </c>
      <c r="G515" s="18" t="s">
        <v>289</v>
      </c>
      <c r="H515" s="20" t="str">
        <f aca="false">VLOOKUP(G515,'Product Master'!$A$5:$K$104,2,FALSE())</f>
        <v>Eco Apparel Item 095</v>
      </c>
      <c r="I515" s="20" t="str">
        <f aca="false">VLOOKUP(G515,'Product Master'!$A$5:$K$104,3,FALSE())</f>
        <v>Apparel</v>
      </c>
      <c r="J515" s="17" t="n">
        <v>19</v>
      </c>
      <c r="K515" s="16" t="n">
        <v>2884.81</v>
      </c>
      <c r="L515" s="16" t="n">
        <f aca="false">J515*K515</f>
        <v>54811.39</v>
      </c>
      <c r="M515" s="18" t="s">
        <v>35</v>
      </c>
      <c r="N515" s="25" t="n">
        <v>46268</v>
      </c>
      <c r="O515" s="25" t="n">
        <v>46272</v>
      </c>
      <c r="P515" s="25" t="n">
        <v>46271</v>
      </c>
      <c r="Q515" s="17" t="n">
        <f aca="false">IF(P515&lt;&gt;"",MAX(1,P515-B515),IF(M515="Dispatched",MAX(1,O515-B515),0))</f>
        <v>3</v>
      </c>
      <c r="R515" s="17" t="n">
        <f aca="false">IF(M515="Cancelled",0,IF(P515&lt;&gt;"",MAX(0,P515-O515),IF(T515&lt;&gt;"None",MAX(1,O515-B515-2),0)))</f>
        <v>0</v>
      </c>
      <c r="S515" s="18" t="s">
        <v>37</v>
      </c>
      <c r="T515" s="20" t="s">
        <v>317</v>
      </c>
    </row>
    <row r="516" customFormat="false" ht="15" hidden="false" customHeight="false" outlineLevel="0" collapsed="false">
      <c r="A516" s="26" t="s">
        <v>1217</v>
      </c>
      <c r="B516" s="34" t="n">
        <v>46071</v>
      </c>
      <c r="C516" s="26" t="s">
        <v>507</v>
      </c>
      <c r="D516" s="27" t="s">
        <v>323</v>
      </c>
      <c r="E516" s="26" t="s">
        <v>105</v>
      </c>
      <c r="F516" s="27" t="s">
        <v>80</v>
      </c>
      <c r="G516" s="26" t="s">
        <v>219</v>
      </c>
      <c r="H516" s="27" t="str">
        <f aca="false">VLOOKUP(G516,'Product Master'!$A$5:$K$104,2,FALSE())</f>
        <v>Pro Electronics Item 025</v>
      </c>
      <c r="I516" s="27" t="str">
        <f aca="false">VLOOKUP(G516,'Product Master'!$A$5:$K$104,3,FALSE())</f>
        <v>Electronics</v>
      </c>
      <c r="J516" s="28" t="n">
        <v>20</v>
      </c>
      <c r="K516" s="29" t="n">
        <v>9400.79</v>
      </c>
      <c r="L516" s="29" t="n">
        <f aca="false">J516*K516</f>
        <v>188015.8</v>
      </c>
      <c r="M516" s="26" t="s">
        <v>35</v>
      </c>
      <c r="N516" s="34" t="n">
        <v>46071</v>
      </c>
      <c r="O516" s="34" t="n">
        <v>46080</v>
      </c>
      <c r="P516" s="34" t="n">
        <v>46082</v>
      </c>
      <c r="Q516" s="28" t="n">
        <f aca="false">IF(P516&lt;&gt;"",MAX(1,P516-B516),IF(M516="Dispatched",MAX(1,O516-B516),0))</f>
        <v>11</v>
      </c>
      <c r="R516" s="28" t="n">
        <f aca="false">IF(M516="Cancelled",0,IF(P516&lt;&gt;"",MAX(0,P516-O516),IF(T516&lt;&gt;"None",MAX(1,O516-B516-2),0)))</f>
        <v>2</v>
      </c>
      <c r="S516" s="26" t="s">
        <v>352</v>
      </c>
      <c r="T516" s="27" t="s">
        <v>115</v>
      </c>
    </row>
    <row r="517" customFormat="false" ht="15" hidden="false" customHeight="false" outlineLevel="0" collapsed="false">
      <c r="A517" s="18" t="s">
        <v>1218</v>
      </c>
      <c r="B517" s="25" t="n">
        <v>46139</v>
      </c>
      <c r="C517" s="18" t="s">
        <v>383</v>
      </c>
      <c r="D517" s="20" t="s">
        <v>1219</v>
      </c>
      <c r="E517" s="18" t="s">
        <v>105</v>
      </c>
      <c r="F517" s="20" t="s">
        <v>80</v>
      </c>
      <c r="G517" s="18" t="s">
        <v>230</v>
      </c>
      <c r="H517" s="20" t="str">
        <f aca="false">VLOOKUP(G517,'Product Master'!$A$5:$K$104,2,FALSE())</f>
        <v>Pro Personal Item 036</v>
      </c>
      <c r="I517" s="20" t="str">
        <f aca="false">VLOOKUP(G517,'Product Master'!$A$5:$K$104,3,FALSE())</f>
        <v>Personal Care</v>
      </c>
      <c r="J517" s="17" t="n">
        <v>15</v>
      </c>
      <c r="K517" s="16" t="n">
        <v>3099.62</v>
      </c>
      <c r="L517" s="16" t="n">
        <f aca="false">J517*K517</f>
        <v>46494.3</v>
      </c>
      <c r="M517" s="18" t="s">
        <v>35</v>
      </c>
      <c r="N517" s="25" t="n">
        <v>46140</v>
      </c>
      <c r="O517" s="25" t="n">
        <v>46141</v>
      </c>
      <c r="P517" s="25" t="n">
        <v>46141</v>
      </c>
      <c r="Q517" s="17" t="n">
        <f aca="false">IF(P517&lt;&gt;"",MAX(1,P517-B517),IF(M517="Dispatched",MAX(1,O517-B517),0))</f>
        <v>2</v>
      </c>
      <c r="R517" s="17" t="n">
        <f aca="false">IF(M517="Cancelled",0,IF(P517&lt;&gt;"",MAX(0,P517-O517),IF(T517&lt;&gt;"None",MAX(1,O517-B517-2),0)))</f>
        <v>0</v>
      </c>
      <c r="S517" s="18" t="s">
        <v>310</v>
      </c>
      <c r="T517" s="20" t="s">
        <v>317</v>
      </c>
    </row>
    <row r="518" customFormat="false" ht="15" hidden="false" customHeight="false" outlineLevel="0" collapsed="false">
      <c r="A518" s="26" t="s">
        <v>1220</v>
      </c>
      <c r="B518" s="34" t="n">
        <v>45933</v>
      </c>
      <c r="C518" s="26" t="s">
        <v>757</v>
      </c>
      <c r="D518" s="27" t="s">
        <v>580</v>
      </c>
      <c r="E518" s="26" t="s">
        <v>107</v>
      </c>
      <c r="F518" s="27" t="s">
        <v>78</v>
      </c>
      <c r="G518" s="26" t="s">
        <v>245</v>
      </c>
      <c r="H518" s="27" t="str">
        <f aca="false">VLOOKUP(G518,'Product Master'!$A$5:$K$104,2,FALSE())</f>
        <v>Classic Office Item 051</v>
      </c>
      <c r="I518" s="27" t="str">
        <f aca="false">VLOOKUP(G518,'Product Master'!$A$5:$K$104,3,FALSE())</f>
        <v>Office Supplies</v>
      </c>
      <c r="J518" s="28" t="n">
        <v>3</v>
      </c>
      <c r="K518" s="29" t="n">
        <v>4705.56</v>
      </c>
      <c r="L518" s="29" t="n">
        <f aca="false">J518*K518</f>
        <v>14116.68</v>
      </c>
      <c r="M518" s="26" t="s">
        <v>41</v>
      </c>
      <c r="N518" s="34" t="n">
        <v>45934</v>
      </c>
      <c r="O518" s="34" t="n">
        <v>45935</v>
      </c>
      <c r="P518" s="34"/>
      <c r="Q518" s="28" t="n">
        <f aca="false">IF(P518&lt;&gt;"",MAX(1,P518-B518),IF(M518="Dispatched",MAX(1,O518-B518),0))</f>
        <v>2</v>
      </c>
      <c r="R518" s="28" t="n">
        <f aca="false">IF(M518="Cancelled",0,IF(P518&lt;&gt;"",MAX(0,P518-O518),IF(T518&lt;&gt;"None",MAX(1,O518-B518-2),0)))</f>
        <v>0</v>
      </c>
      <c r="S518" s="26" t="s">
        <v>352</v>
      </c>
      <c r="T518" s="27" t="s">
        <v>317</v>
      </c>
    </row>
    <row r="519" customFormat="false" ht="15" hidden="false" customHeight="false" outlineLevel="0" collapsed="false">
      <c r="A519" s="18" t="s">
        <v>1221</v>
      </c>
      <c r="B519" s="25" t="n">
        <v>46031</v>
      </c>
      <c r="C519" s="18" t="s">
        <v>1222</v>
      </c>
      <c r="D519" s="20" t="s">
        <v>738</v>
      </c>
      <c r="E519" s="18" t="s">
        <v>109</v>
      </c>
      <c r="F519" s="20" t="s">
        <v>78</v>
      </c>
      <c r="G519" s="18" t="s">
        <v>216</v>
      </c>
      <c r="H519" s="20" t="str">
        <f aca="false">VLOOKUP(G519,'Product Master'!$A$5:$K$104,2,FALSE())</f>
        <v>Smart Packaging Item 022</v>
      </c>
      <c r="I519" s="20" t="str">
        <f aca="false">VLOOKUP(G519,'Product Master'!$A$5:$K$104,3,FALSE())</f>
        <v>Packaging</v>
      </c>
      <c r="J519" s="17" t="n">
        <v>3</v>
      </c>
      <c r="K519" s="16" t="n">
        <v>1054.05</v>
      </c>
      <c r="L519" s="16" t="n">
        <f aca="false">J519*K519</f>
        <v>3162.15</v>
      </c>
      <c r="M519" s="18" t="s">
        <v>37</v>
      </c>
      <c r="N519" s="25"/>
      <c r="O519" s="25" t="n">
        <v>46034</v>
      </c>
      <c r="P519" s="25"/>
      <c r="Q519" s="17" t="n">
        <f aca="false">IF(P519&lt;&gt;"",MAX(1,P519-B519),IF(M519="Dispatched",MAX(1,O519-B519),0))</f>
        <v>0</v>
      </c>
      <c r="R519" s="17" t="n">
        <f aca="false">IF(M519="Cancelled",0,IF(P519&lt;&gt;"",MAX(0,P519-O519),IF(T519&lt;&gt;"None",MAX(1,O519-B519-2),0)))</f>
        <v>0</v>
      </c>
      <c r="S519" s="18" t="s">
        <v>310</v>
      </c>
      <c r="T519" s="20" t="s">
        <v>317</v>
      </c>
    </row>
    <row r="520" customFormat="false" ht="15" hidden="false" customHeight="false" outlineLevel="0" collapsed="false">
      <c r="A520" s="26" t="s">
        <v>1223</v>
      </c>
      <c r="B520" s="34" t="n">
        <v>46251</v>
      </c>
      <c r="C520" s="26" t="s">
        <v>697</v>
      </c>
      <c r="D520" s="27" t="s">
        <v>1001</v>
      </c>
      <c r="E520" s="26" t="s">
        <v>109</v>
      </c>
      <c r="F520" s="27" t="s">
        <v>77</v>
      </c>
      <c r="G520" s="26" t="s">
        <v>237</v>
      </c>
      <c r="H520" s="27" t="str">
        <f aca="false">VLOOKUP(G520,'Product Master'!$A$5:$K$104,2,FALSE())</f>
        <v>Eco Office Item 043</v>
      </c>
      <c r="I520" s="27" t="str">
        <f aca="false">VLOOKUP(G520,'Product Master'!$A$5:$K$104,3,FALSE())</f>
        <v>Office Supplies</v>
      </c>
      <c r="J520" s="28" t="n">
        <v>4</v>
      </c>
      <c r="K520" s="29" t="n">
        <v>2525.48</v>
      </c>
      <c r="L520" s="29" t="n">
        <f aca="false">J520*K520</f>
        <v>10101.92</v>
      </c>
      <c r="M520" s="26" t="s">
        <v>35</v>
      </c>
      <c r="N520" s="34" t="n">
        <v>46251</v>
      </c>
      <c r="O520" s="34" t="n">
        <v>46258</v>
      </c>
      <c r="P520" s="34" t="n">
        <v>46259</v>
      </c>
      <c r="Q520" s="28" t="n">
        <f aca="false">IF(P520&lt;&gt;"",MAX(1,P520-B520),IF(M520="Dispatched",MAX(1,O520-B520),0))</f>
        <v>8</v>
      </c>
      <c r="R520" s="28" t="n">
        <f aca="false">IF(M520="Cancelled",0,IF(P520&lt;&gt;"",MAX(0,P520-O520),IF(T520&lt;&gt;"None",MAX(1,O520-B520-2),0)))</f>
        <v>1</v>
      </c>
      <c r="S520" s="26" t="s">
        <v>37</v>
      </c>
      <c r="T520" s="27" t="s">
        <v>110</v>
      </c>
    </row>
    <row r="521" customFormat="false" ht="15" hidden="false" customHeight="false" outlineLevel="0" collapsed="false">
      <c r="A521" s="18" t="s">
        <v>1224</v>
      </c>
      <c r="B521" s="25" t="n">
        <v>46248</v>
      </c>
      <c r="C521" s="18" t="s">
        <v>439</v>
      </c>
      <c r="D521" s="20" t="s">
        <v>440</v>
      </c>
      <c r="E521" s="18" t="s">
        <v>105</v>
      </c>
      <c r="F521" s="20" t="s">
        <v>79</v>
      </c>
      <c r="G521" s="18" t="s">
        <v>251</v>
      </c>
      <c r="H521" s="20" t="str">
        <f aca="false">VLOOKUP(G521,'Product Master'!$A$5:$K$104,2,FALSE())</f>
        <v>Essential Electronics Item 057</v>
      </c>
      <c r="I521" s="20" t="str">
        <f aca="false">VLOOKUP(G521,'Product Master'!$A$5:$K$104,3,FALSE())</f>
        <v>Electronics</v>
      </c>
      <c r="J521" s="17" t="n">
        <v>19</v>
      </c>
      <c r="K521" s="16" t="n">
        <v>8152.77</v>
      </c>
      <c r="L521" s="16" t="n">
        <f aca="false">J521*K521</f>
        <v>154902.63</v>
      </c>
      <c r="M521" s="18" t="s">
        <v>35</v>
      </c>
      <c r="N521" s="25" t="n">
        <v>46248</v>
      </c>
      <c r="O521" s="25" t="n">
        <v>46250</v>
      </c>
      <c r="P521" s="25" t="n">
        <v>46252</v>
      </c>
      <c r="Q521" s="17" t="n">
        <f aca="false">IF(P521&lt;&gt;"",MAX(1,P521-B521),IF(M521="Dispatched",MAX(1,O521-B521),0))</f>
        <v>4</v>
      </c>
      <c r="R521" s="17" t="n">
        <f aca="false">IF(M521="Cancelled",0,IF(P521&lt;&gt;"",MAX(0,P521-O521),IF(T521&lt;&gt;"None",MAX(1,O521-B521-2),0)))</f>
        <v>2</v>
      </c>
      <c r="S521" s="18" t="s">
        <v>310</v>
      </c>
      <c r="T521" s="20" t="s">
        <v>112</v>
      </c>
    </row>
    <row r="522" customFormat="false" ht="15" hidden="false" customHeight="false" outlineLevel="0" collapsed="false">
      <c r="A522" s="26" t="s">
        <v>1225</v>
      </c>
      <c r="B522" s="34" t="n">
        <v>46157</v>
      </c>
      <c r="C522" s="26" t="s">
        <v>674</v>
      </c>
      <c r="D522" s="27" t="s">
        <v>705</v>
      </c>
      <c r="E522" s="26" t="s">
        <v>109</v>
      </c>
      <c r="F522" s="27" t="s">
        <v>80</v>
      </c>
      <c r="G522" s="26" t="s">
        <v>202</v>
      </c>
      <c r="H522" s="27" t="str">
        <f aca="false">VLOOKUP(G522,'Product Master'!$A$5:$K$104,2,FALSE())</f>
        <v>Smart Automotive Item 008</v>
      </c>
      <c r="I522" s="27" t="str">
        <f aca="false">VLOOKUP(G522,'Product Master'!$A$5:$K$104,3,FALSE())</f>
        <v>Automotive</v>
      </c>
      <c r="J522" s="28" t="n">
        <v>21</v>
      </c>
      <c r="K522" s="29" t="n">
        <v>8489.02</v>
      </c>
      <c r="L522" s="29" t="n">
        <f aca="false">J522*K522</f>
        <v>178269.42</v>
      </c>
      <c r="M522" s="26" t="s">
        <v>35</v>
      </c>
      <c r="N522" s="34" t="n">
        <v>46157</v>
      </c>
      <c r="O522" s="34" t="n">
        <v>46160</v>
      </c>
      <c r="P522" s="34" t="n">
        <v>46168</v>
      </c>
      <c r="Q522" s="28" t="n">
        <f aca="false">IF(P522&lt;&gt;"",MAX(1,P522-B522),IF(M522="Dispatched",MAX(1,O522-B522),0))</f>
        <v>11</v>
      </c>
      <c r="R522" s="28" t="n">
        <f aca="false">IF(M522="Cancelled",0,IF(P522&lt;&gt;"",MAX(0,P522-O522),IF(T522&lt;&gt;"None",MAX(1,O522-B522-2),0)))</f>
        <v>8</v>
      </c>
      <c r="S522" s="26" t="s">
        <v>310</v>
      </c>
      <c r="T522" s="27" t="s">
        <v>115</v>
      </c>
    </row>
    <row r="523" customFormat="false" ht="15" hidden="false" customHeight="false" outlineLevel="0" collapsed="false">
      <c r="A523" s="18" t="s">
        <v>1226</v>
      </c>
      <c r="B523" s="25" t="n">
        <v>46141</v>
      </c>
      <c r="C523" s="18" t="s">
        <v>557</v>
      </c>
      <c r="D523" s="20" t="s">
        <v>711</v>
      </c>
      <c r="E523" s="18" t="s">
        <v>113</v>
      </c>
      <c r="F523" s="20" t="s">
        <v>80</v>
      </c>
      <c r="G523" s="18" t="s">
        <v>224</v>
      </c>
      <c r="H523" s="20" t="str">
        <f aca="false">VLOOKUP(G523,'Product Master'!$A$5:$K$104,2,FALSE())</f>
        <v>Premium Packaging Item 030</v>
      </c>
      <c r="I523" s="20" t="str">
        <f aca="false">VLOOKUP(G523,'Product Master'!$A$5:$K$104,3,FALSE())</f>
        <v>Packaging</v>
      </c>
      <c r="J523" s="17" t="n">
        <v>1</v>
      </c>
      <c r="K523" s="16" t="n">
        <v>6643.61</v>
      </c>
      <c r="L523" s="16" t="n">
        <f aca="false">J523*K523</f>
        <v>6643.61</v>
      </c>
      <c r="M523" s="18" t="s">
        <v>35</v>
      </c>
      <c r="N523" s="25" t="n">
        <v>46144</v>
      </c>
      <c r="O523" s="25" t="n">
        <v>46150</v>
      </c>
      <c r="P523" s="25" t="n">
        <v>46148</v>
      </c>
      <c r="Q523" s="17" t="n">
        <f aca="false">IF(P523&lt;&gt;"",MAX(1,P523-B523),IF(M523="Dispatched",MAX(1,O523-B523),0))</f>
        <v>7</v>
      </c>
      <c r="R523" s="17" t="n">
        <f aca="false">IF(M523="Cancelled",0,IF(P523&lt;&gt;"",MAX(0,P523-O523),IF(T523&lt;&gt;"None",MAX(1,O523-B523-2),0)))</f>
        <v>0</v>
      </c>
      <c r="S523" s="18" t="s">
        <v>310</v>
      </c>
      <c r="T523" s="20" t="s">
        <v>317</v>
      </c>
    </row>
    <row r="524" customFormat="false" ht="15" hidden="false" customHeight="false" outlineLevel="0" collapsed="false">
      <c r="A524" s="26" t="s">
        <v>1227</v>
      </c>
      <c r="B524" s="34" t="n">
        <v>46231</v>
      </c>
      <c r="C524" s="26" t="s">
        <v>848</v>
      </c>
      <c r="D524" s="27" t="s">
        <v>982</v>
      </c>
      <c r="E524" s="26" t="s">
        <v>105</v>
      </c>
      <c r="F524" s="27" t="s">
        <v>76</v>
      </c>
      <c r="G524" s="26" t="s">
        <v>219</v>
      </c>
      <c r="H524" s="27" t="str">
        <f aca="false">VLOOKUP(G524,'Product Master'!$A$5:$K$104,2,FALSE())</f>
        <v>Pro Electronics Item 025</v>
      </c>
      <c r="I524" s="27" t="str">
        <f aca="false">VLOOKUP(G524,'Product Master'!$A$5:$K$104,3,FALSE())</f>
        <v>Electronics</v>
      </c>
      <c r="J524" s="28" t="n">
        <v>1</v>
      </c>
      <c r="K524" s="29" t="n">
        <v>9400.79</v>
      </c>
      <c r="L524" s="29" t="n">
        <f aca="false">J524*K524</f>
        <v>9400.79</v>
      </c>
      <c r="M524" s="26" t="s">
        <v>37</v>
      </c>
      <c r="N524" s="34"/>
      <c r="O524" s="34" t="n">
        <v>46234</v>
      </c>
      <c r="P524" s="34"/>
      <c r="Q524" s="28" t="n">
        <f aca="false">IF(P524&lt;&gt;"",MAX(1,P524-B524),IF(M524="Dispatched",MAX(1,O524-B524),0))</f>
        <v>0</v>
      </c>
      <c r="R524" s="28" t="n">
        <f aca="false">IF(M524="Cancelled",0,IF(P524&lt;&gt;"",MAX(0,P524-O524),IF(T524&lt;&gt;"None",MAX(1,O524-B524-2),0)))</f>
        <v>1</v>
      </c>
      <c r="S524" s="26" t="s">
        <v>310</v>
      </c>
      <c r="T524" s="27" t="s">
        <v>106</v>
      </c>
    </row>
    <row r="525" customFormat="false" ht="15" hidden="false" customHeight="false" outlineLevel="0" collapsed="false">
      <c r="A525" s="18" t="s">
        <v>1228</v>
      </c>
      <c r="B525" s="25" t="n">
        <v>46191</v>
      </c>
      <c r="C525" s="18" t="s">
        <v>475</v>
      </c>
      <c r="D525" s="20" t="s">
        <v>430</v>
      </c>
      <c r="E525" s="18" t="s">
        <v>109</v>
      </c>
      <c r="F525" s="20" t="s">
        <v>79</v>
      </c>
      <c r="G525" s="18" t="s">
        <v>227</v>
      </c>
      <c r="H525" s="20" t="str">
        <f aca="false">VLOOKUP(G525,'Product Master'!$A$5:$K$104,2,FALSE())</f>
        <v>Compact Electronics Item 033</v>
      </c>
      <c r="I525" s="20" t="str">
        <f aca="false">VLOOKUP(G525,'Product Master'!$A$5:$K$104,3,FALSE())</f>
        <v>Electronics</v>
      </c>
      <c r="J525" s="17" t="n">
        <v>16</v>
      </c>
      <c r="K525" s="16" t="n">
        <v>10726.77</v>
      </c>
      <c r="L525" s="16" t="n">
        <f aca="false">J525*K525</f>
        <v>171628.32</v>
      </c>
      <c r="M525" s="18" t="s">
        <v>39</v>
      </c>
      <c r="N525" s="25"/>
      <c r="O525" s="25" t="n">
        <v>46200</v>
      </c>
      <c r="P525" s="25"/>
      <c r="Q525" s="17" t="n">
        <f aca="false">IF(P525&lt;&gt;"",MAX(1,P525-B525),IF(M525="Dispatched",MAX(1,O525-B525),0))</f>
        <v>0</v>
      </c>
      <c r="R525" s="17" t="n">
        <f aca="false">IF(M525="Cancelled",0,IF(P525&lt;&gt;"",MAX(0,P525-O525),IF(T525&lt;&gt;"None",MAX(1,O525-B525-2),0)))</f>
        <v>0</v>
      </c>
      <c r="S525" s="18" t="s">
        <v>310</v>
      </c>
      <c r="T525" s="20" t="s">
        <v>317</v>
      </c>
    </row>
    <row r="526" customFormat="false" ht="15" hidden="false" customHeight="false" outlineLevel="0" collapsed="false">
      <c r="A526" s="26" t="s">
        <v>1229</v>
      </c>
      <c r="B526" s="34" t="n">
        <v>45996</v>
      </c>
      <c r="C526" s="26" t="s">
        <v>886</v>
      </c>
      <c r="D526" s="27" t="s">
        <v>616</v>
      </c>
      <c r="E526" s="26" t="s">
        <v>113</v>
      </c>
      <c r="F526" s="27" t="s">
        <v>79</v>
      </c>
      <c r="G526" s="26" t="s">
        <v>234</v>
      </c>
      <c r="H526" s="27" t="str">
        <f aca="false">VLOOKUP(G526,'Product Master'!$A$5:$K$104,2,FALSE())</f>
        <v>Smart Automotive Item 040</v>
      </c>
      <c r="I526" s="27" t="str">
        <f aca="false">VLOOKUP(G526,'Product Master'!$A$5:$K$104,3,FALSE())</f>
        <v>Automotive</v>
      </c>
      <c r="J526" s="28" t="n">
        <v>17</v>
      </c>
      <c r="K526" s="29" t="n">
        <v>4502.79</v>
      </c>
      <c r="L526" s="29" t="n">
        <f aca="false">J526*K526</f>
        <v>76547.43</v>
      </c>
      <c r="M526" s="26" t="s">
        <v>43</v>
      </c>
      <c r="N526" s="34"/>
      <c r="O526" s="34" t="n">
        <v>46003</v>
      </c>
      <c r="P526" s="34"/>
      <c r="Q526" s="28" t="n">
        <f aca="false">IF(P526&lt;&gt;"",MAX(1,P526-B526),IF(M526="Dispatched",MAX(1,O526-B526),0))</f>
        <v>0</v>
      </c>
      <c r="R526" s="28" t="n">
        <f aca="false">IF(M526="Cancelled",0,IF(P526&lt;&gt;"",MAX(0,P526-O526),IF(T526&lt;&gt;"None",MAX(1,O526-B526-2),0)))</f>
        <v>0</v>
      </c>
      <c r="S526" s="26" t="s">
        <v>310</v>
      </c>
      <c r="T526" s="27" t="s">
        <v>411</v>
      </c>
    </row>
    <row r="527" customFormat="false" ht="15" hidden="false" customHeight="false" outlineLevel="0" collapsed="false">
      <c r="A527" s="18" t="s">
        <v>1230</v>
      </c>
      <c r="B527" s="25" t="n">
        <v>46239</v>
      </c>
      <c r="C527" s="18" t="s">
        <v>334</v>
      </c>
      <c r="D527" s="20" t="s">
        <v>490</v>
      </c>
      <c r="E527" s="18" t="s">
        <v>109</v>
      </c>
      <c r="F527" s="20" t="s">
        <v>78</v>
      </c>
      <c r="G527" s="18" t="s">
        <v>238</v>
      </c>
      <c r="H527" s="20" t="str">
        <f aca="false">VLOOKUP(G527,'Product Master'!$A$5:$K$104,2,FALSE())</f>
        <v>Essential Personal Item 044</v>
      </c>
      <c r="I527" s="20" t="str">
        <f aca="false">VLOOKUP(G527,'Product Master'!$A$5:$K$104,3,FALSE())</f>
        <v>Personal Care</v>
      </c>
      <c r="J527" s="17" t="n">
        <v>1</v>
      </c>
      <c r="K527" s="16" t="n">
        <v>958.86</v>
      </c>
      <c r="L527" s="16" t="n">
        <f aca="false">J527*K527</f>
        <v>958.86</v>
      </c>
      <c r="M527" s="18" t="s">
        <v>35</v>
      </c>
      <c r="N527" s="25" t="n">
        <v>46239</v>
      </c>
      <c r="O527" s="25" t="n">
        <v>46243</v>
      </c>
      <c r="P527" s="25" t="n">
        <v>46243</v>
      </c>
      <c r="Q527" s="17" t="n">
        <f aca="false">IF(P527&lt;&gt;"",MAX(1,P527-B527),IF(M527="Dispatched",MAX(1,O527-B527),0))</f>
        <v>4</v>
      </c>
      <c r="R527" s="17" t="n">
        <f aca="false">IF(M527="Cancelled",0,IF(P527&lt;&gt;"",MAX(0,P527-O527),IF(T527&lt;&gt;"None",MAX(1,O527-B527-2),0)))</f>
        <v>0</v>
      </c>
      <c r="S527" s="18" t="s">
        <v>310</v>
      </c>
      <c r="T527" s="20" t="s">
        <v>317</v>
      </c>
    </row>
    <row r="528" customFormat="false" ht="15" hidden="false" customHeight="false" outlineLevel="0" collapsed="false">
      <c r="A528" s="26" t="s">
        <v>1231</v>
      </c>
      <c r="B528" s="34" t="n">
        <v>46033</v>
      </c>
      <c r="C528" s="26" t="s">
        <v>393</v>
      </c>
      <c r="D528" s="27" t="s">
        <v>348</v>
      </c>
      <c r="E528" s="26" t="s">
        <v>107</v>
      </c>
      <c r="F528" s="27" t="s">
        <v>76</v>
      </c>
      <c r="G528" s="26" t="s">
        <v>276</v>
      </c>
      <c r="H528" s="27" t="str">
        <f aca="false">VLOOKUP(G528,'Product Master'!$A$5:$K$104,2,FALSE())</f>
        <v>Compact Home Item 082</v>
      </c>
      <c r="I528" s="27" t="str">
        <f aca="false">VLOOKUP(G528,'Product Master'!$A$5:$K$104,3,FALSE())</f>
        <v>Home &amp; Kitchen</v>
      </c>
      <c r="J528" s="28" t="n">
        <v>11</v>
      </c>
      <c r="K528" s="29" t="n">
        <v>3454.52</v>
      </c>
      <c r="L528" s="29" t="n">
        <f aca="false">J528*K528</f>
        <v>37999.72</v>
      </c>
      <c r="M528" s="26" t="s">
        <v>35</v>
      </c>
      <c r="N528" s="34" t="n">
        <v>46036</v>
      </c>
      <c r="O528" s="34" t="n">
        <v>46042</v>
      </c>
      <c r="P528" s="34" t="n">
        <v>46043</v>
      </c>
      <c r="Q528" s="28" t="n">
        <f aca="false">IF(P528&lt;&gt;"",MAX(1,P528-B528),IF(M528="Dispatched",MAX(1,O528-B528),0))</f>
        <v>10</v>
      </c>
      <c r="R528" s="28" t="n">
        <f aca="false">IF(M528="Cancelled",0,IF(P528&lt;&gt;"",MAX(0,P528-O528),IF(T528&lt;&gt;"None",MAX(1,O528-B528-2),0)))</f>
        <v>1</v>
      </c>
      <c r="S528" s="26" t="s">
        <v>310</v>
      </c>
      <c r="T528" s="27" t="s">
        <v>110</v>
      </c>
    </row>
    <row r="529" customFormat="false" ht="15" hidden="false" customHeight="false" outlineLevel="0" collapsed="false">
      <c r="A529" s="18" t="s">
        <v>1232</v>
      </c>
      <c r="B529" s="25" t="n">
        <v>46099</v>
      </c>
      <c r="C529" s="18" t="s">
        <v>929</v>
      </c>
      <c r="D529" s="20" t="s">
        <v>1202</v>
      </c>
      <c r="E529" s="18" t="s">
        <v>105</v>
      </c>
      <c r="F529" s="20" t="s">
        <v>79</v>
      </c>
      <c r="G529" s="18" t="s">
        <v>215</v>
      </c>
      <c r="H529" s="20" t="str">
        <f aca="false">VLOOKUP(G529,'Product Master'!$A$5:$K$104,2,FALSE())</f>
        <v>Eco Industrial Item 021</v>
      </c>
      <c r="I529" s="20" t="str">
        <f aca="false">VLOOKUP(G529,'Product Master'!$A$5:$K$104,3,FALSE())</f>
        <v>Industrial</v>
      </c>
      <c r="J529" s="17" t="n">
        <v>2</v>
      </c>
      <c r="K529" s="16" t="n">
        <v>2056.91</v>
      </c>
      <c r="L529" s="16" t="n">
        <f aca="false">J529*K529</f>
        <v>4113.82</v>
      </c>
      <c r="M529" s="18" t="s">
        <v>35</v>
      </c>
      <c r="N529" s="25" t="n">
        <v>46100</v>
      </c>
      <c r="O529" s="25" t="n">
        <v>46101</v>
      </c>
      <c r="P529" s="25" t="n">
        <v>46101</v>
      </c>
      <c r="Q529" s="17" t="n">
        <f aca="false">IF(P529&lt;&gt;"",MAX(1,P529-B529),IF(M529="Dispatched",MAX(1,O529-B529),0))</f>
        <v>2</v>
      </c>
      <c r="R529" s="17" t="n">
        <f aca="false">IF(M529="Cancelled",0,IF(P529&lt;&gt;"",MAX(0,P529-O529),IF(T529&lt;&gt;"None",MAX(1,O529-B529-2),0)))</f>
        <v>0</v>
      </c>
      <c r="S529" s="18" t="s">
        <v>310</v>
      </c>
      <c r="T529" s="20" t="s">
        <v>317</v>
      </c>
    </row>
    <row r="530" customFormat="false" ht="15" hidden="false" customHeight="false" outlineLevel="0" collapsed="false">
      <c r="A530" s="26" t="s">
        <v>1233</v>
      </c>
      <c r="B530" s="34" t="n">
        <v>46100</v>
      </c>
      <c r="C530" s="26" t="s">
        <v>936</v>
      </c>
      <c r="D530" s="27" t="s">
        <v>358</v>
      </c>
      <c r="E530" s="26" t="s">
        <v>111</v>
      </c>
      <c r="F530" s="27" t="s">
        <v>77</v>
      </c>
      <c r="G530" s="26" t="s">
        <v>289</v>
      </c>
      <c r="H530" s="27" t="str">
        <f aca="false">VLOOKUP(G530,'Product Master'!$A$5:$K$104,2,FALSE())</f>
        <v>Eco Apparel Item 095</v>
      </c>
      <c r="I530" s="27" t="str">
        <f aca="false">VLOOKUP(G530,'Product Master'!$A$5:$K$104,3,FALSE())</f>
        <v>Apparel</v>
      </c>
      <c r="J530" s="28" t="n">
        <v>13</v>
      </c>
      <c r="K530" s="29" t="n">
        <v>2884.81</v>
      </c>
      <c r="L530" s="29" t="n">
        <f aca="false">J530*K530</f>
        <v>37502.53</v>
      </c>
      <c r="M530" s="26" t="s">
        <v>35</v>
      </c>
      <c r="N530" s="34" t="n">
        <v>46102</v>
      </c>
      <c r="O530" s="34" t="n">
        <v>46102</v>
      </c>
      <c r="P530" s="34" t="n">
        <v>46102</v>
      </c>
      <c r="Q530" s="28" t="n">
        <f aca="false">IF(P530&lt;&gt;"",MAX(1,P530-B530),IF(M530="Dispatched",MAX(1,O530-B530),0))</f>
        <v>2</v>
      </c>
      <c r="R530" s="28" t="n">
        <f aca="false">IF(M530="Cancelled",0,IF(P530&lt;&gt;"",MAX(0,P530-O530),IF(T530&lt;&gt;"None",MAX(1,O530-B530-2),0)))</f>
        <v>0</v>
      </c>
      <c r="S530" s="26" t="s">
        <v>310</v>
      </c>
      <c r="T530" s="27" t="s">
        <v>317</v>
      </c>
    </row>
    <row r="531" customFormat="false" ht="15" hidden="false" customHeight="false" outlineLevel="0" collapsed="false">
      <c r="A531" s="18" t="s">
        <v>1234</v>
      </c>
      <c r="B531" s="25" t="n">
        <v>46003</v>
      </c>
      <c r="C531" s="18" t="s">
        <v>360</v>
      </c>
      <c r="D531" s="20" t="s">
        <v>1202</v>
      </c>
      <c r="E531" s="18" t="s">
        <v>111</v>
      </c>
      <c r="F531" s="20" t="s">
        <v>77</v>
      </c>
      <c r="G531" s="18" t="s">
        <v>232</v>
      </c>
      <c r="H531" s="20" t="str">
        <f aca="false">VLOOKUP(G531,'Product Master'!$A$5:$K$104,2,FALSE())</f>
        <v>Eco Packaging Item 038</v>
      </c>
      <c r="I531" s="20" t="str">
        <f aca="false">VLOOKUP(G531,'Product Master'!$A$5:$K$104,3,FALSE())</f>
        <v>Packaging</v>
      </c>
      <c r="J531" s="17" t="n">
        <v>21</v>
      </c>
      <c r="K531" s="16" t="n">
        <v>7556.46</v>
      </c>
      <c r="L531" s="16" t="n">
        <f aca="false">J531*K531</f>
        <v>158685.66</v>
      </c>
      <c r="M531" s="18" t="s">
        <v>37</v>
      </c>
      <c r="N531" s="25"/>
      <c r="O531" s="25" t="n">
        <v>46010</v>
      </c>
      <c r="P531" s="25"/>
      <c r="Q531" s="17" t="n">
        <f aca="false">IF(P531&lt;&gt;"",MAX(1,P531-B531),IF(M531="Dispatched",MAX(1,O531-B531),0))</f>
        <v>0</v>
      </c>
      <c r="R531" s="17" t="n">
        <f aca="false">IF(M531="Cancelled",0,IF(P531&lt;&gt;"",MAX(0,P531-O531),IF(T531&lt;&gt;"None",MAX(1,O531-B531-2),0)))</f>
        <v>0</v>
      </c>
      <c r="S531" s="18" t="s">
        <v>310</v>
      </c>
      <c r="T531" s="20" t="s">
        <v>317</v>
      </c>
    </row>
    <row r="532" customFormat="false" ht="15" hidden="false" customHeight="false" outlineLevel="0" collapsed="false">
      <c r="A532" s="26" t="s">
        <v>1235</v>
      </c>
      <c r="B532" s="34" t="n">
        <v>46043</v>
      </c>
      <c r="C532" s="26" t="s">
        <v>1048</v>
      </c>
      <c r="D532" s="27" t="s">
        <v>555</v>
      </c>
      <c r="E532" s="26" t="s">
        <v>107</v>
      </c>
      <c r="F532" s="27" t="s">
        <v>78</v>
      </c>
      <c r="G532" s="26" t="s">
        <v>228</v>
      </c>
      <c r="H532" s="27" t="str">
        <f aca="false">VLOOKUP(G532,'Product Master'!$A$5:$K$104,2,FALSE())</f>
        <v>Classic Home Item 034</v>
      </c>
      <c r="I532" s="27" t="str">
        <f aca="false">VLOOKUP(G532,'Product Master'!$A$5:$K$104,3,FALSE())</f>
        <v>Home &amp; Kitchen</v>
      </c>
      <c r="J532" s="28" t="n">
        <v>18</v>
      </c>
      <c r="K532" s="29" t="n">
        <v>3243.31</v>
      </c>
      <c r="L532" s="29" t="n">
        <f aca="false">J532*K532</f>
        <v>58379.58</v>
      </c>
      <c r="M532" s="26" t="s">
        <v>35</v>
      </c>
      <c r="N532" s="34" t="n">
        <v>46043</v>
      </c>
      <c r="O532" s="34" t="n">
        <v>46048</v>
      </c>
      <c r="P532" s="34" t="n">
        <v>46047</v>
      </c>
      <c r="Q532" s="28" t="n">
        <f aca="false">IF(P532&lt;&gt;"",MAX(1,P532-B532),IF(M532="Dispatched",MAX(1,O532-B532),0))</f>
        <v>4</v>
      </c>
      <c r="R532" s="28" t="n">
        <f aca="false">IF(M532="Cancelled",0,IF(P532&lt;&gt;"",MAX(0,P532-O532),IF(T532&lt;&gt;"None",MAX(1,O532-B532-2),0)))</f>
        <v>0</v>
      </c>
      <c r="S532" s="26" t="s">
        <v>310</v>
      </c>
      <c r="T532" s="27" t="s">
        <v>317</v>
      </c>
    </row>
    <row r="533" customFormat="false" ht="15" hidden="false" customHeight="false" outlineLevel="0" collapsed="false">
      <c r="A533" s="18" t="s">
        <v>1236</v>
      </c>
      <c r="B533" s="25" t="n">
        <v>46277</v>
      </c>
      <c r="C533" s="18" t="s">
        <v>943</v>
      </c>
      <c r="D533" s="20" t="s">
        <v>511</v>
      </c>
      <c r="E533" s="18" t="s">
        <v>111</v>
      </c>
      <c r="F533" s="20" t="s">
        <v>76</v>
      </c>
      <c r="G533" s="18" t="s">
        <v>212</v>
      </c>
      <c r="H533" s="20" t="str">
        <f aca="false">VLOOKUP(G533,'Product Master'!$A$5:$K$104,2,FALSE())</f>
        <v>Smart Home Item 018</v>
      </c>
      <c r="I533" s="20" t="str">
        <f aca="false">VLOOKUP(G533,'Product Master'!$A$5:$K$104,3,FALSE())</f>
        <v>Home &amp; Kitchen</v>
      </c>
      <c r="J533" s="17" t="n">
        <v>11</v>
      </c>
      <c r="K533" s="16" t="n">
        <v>5693.61</v>
      </c>
      <c r="L533" s="16" t="n">
        <f aca="false">J533*K533</f>
        <v>62629.71</v>
      </c>
      <c r="M533" s="18" t="s">
        <v>43</v>
      </c>
      <c r="N533" s="25"/>
      <c r="O533" s="25" t="n">
        <v>46283</v>
      </c>
      <c r="P533" s="25"/>
      <c r="Q533" s="17" t="n">
        <f aca="false">IF(P533&lt;&gt;"",MAX(1,P533-B533),IF(M533="Dispatched",MAX(1,O533-B533),0))</f>
        <v>0</v>
      </c>
      <c r="R533" s="17" t="n">
        <f aca="false">IF(M533="Cancelled",0,IF(P533&lt;&gt;"",MAX(0,P533-O533),IF(T533&lt;&gt;"None",MAX(1,O533-B533-2),0)))</f>
        <v>0</v>
      </c>
      <c r="S533" s="18" t="s">
        <v>37</v>
      </c>
      <c r="T533" s="20" t="s">
        <v>411</v>
      </c>
    </row>
    <row r="534" customFormat="false" ht="15" hidden="false" customHeight="false" outlineLevel="0" collapsed="false">
      <c r="A534" s="26" t="s">
        <v>1237</v>
      </c>
      <c r="B534" s="34" t="n">
        <v>46269</v>
      </c>
      <c r="C534" s="26" t="s">
        <v>1055</v>
      </c>
      <c r="D534" s="27" t="s">
        <v>430</v>
      </c>
      <c r="E534" s="26" t="s">
        <v>113</v>
      </c>
      <c r="F534" s="27" t="s">
        <v>80</v>
      </c>
      <c r="G534" s="26" t="s">
        <v>216</v>
      </c>
      <c r="H534" s="27" t="str">
        <f aca="false">VLOOKUP(G534,'Product Master'!$A$5:$K$104,2,FALSE())</f>
        <v>Smart Packaging Item 022</v>
      </c>
      <c r="I534" s="27" t="str">
        <f aca="false">VLOOKUP(G534,'Product Master'!$A$5:$K$104,3,FALSE())</f>
        <v>Packaging</v>
      </c>
      <c r="J534" s="28" t="n">
        <v>14</v>
      </c>
      <c r="K534" s="29" t="n">
        <v>1054.05</v>
      </c>
      <c r="L534" s="29" t="n">
        <f aca="false">J534*K534</f>
        <v>14756.7</v>
      </c>
      <c r="M534" s="26" t="s">
        <v>41</v>
      </c>
      <c r="N534" s="34" t="n">
        <v>46269</v>
      </c>
      <c r="O534" s="34" t="n">
        <v>46272</v>
      </c>
      <c r="P534" s="34"/>
      <c r="Q534" s="28" t="n">
        <f aca="false">IF(P534&lt;&gt;"",MAX(1,P534-B534),IF(M534="Dispatched",MAX(1,O534-B534),0))</f>
        <v>3</v>
      </c>
      <c r="R534" s="28" t="n">
        <f aca="false">IF(M534="Cancelled",0,IF(P534&lt;&gt;"",MAX(0,P534-O534),IF(T534&lt;&gt;"None",MAX(1,O534-B534-2),0)))</f>
        <v>1</v>
      </c>
      <c r="S534" s="26" t="s">
        <v>310</v>
      </c>
      <c r="T534" s="27" t="s">
        <v>115</v>
      </c>
    </row>
    <row r="535" customFormat="false" ht="15" hidden="false" customHeight="false" outlineLevel="0" collapsed="false">
      <c r="A535" s="18" t="s">
        <v>1238</v>
      </c>
      <c r="B535" s="25" t="n">
        <v>46203</v>
      </c>
      <c r="C535" s="18" t="s">
        <v>507</v>
      </c>
      <c r="D535" s="20" t="s">
        <v>969</v>
      </c>
      <c r="E535" s="18" t="s">
        <v>109</v>
      </c>
      <c r="F535" s="20" t="s">
        <v>78</v>
      </c>
      <c r="G535" s="18" t="s">
        <v>243</v>
      </c>
      <c r="H535" s="20" t="str">
        <f aca="false">VLOOKUP(G535,'Product Master'!$A$5:$K$104,2,FALSE())</f>
        <v>Premium Electronics Item 049</v>
      </c>
      <c r="I535" s="20" t="str">
        <f aca="false">VLOOKUP(G535,'Product Master'!$A$5:$K$104,3,FALSE())</f>
        <v>Electronics</v>
      </c>
      <c r="J535" s="17" t="n">
        <v>20</v>
      </c>
      <c r="K535" s="16" t="n">
        <v>8712.18</v>
      </c>
      <c r="L535" s="16" t="n">
        <f aca="false">J535*K535</f>
        <v>174243.6</v>
      </c>
      <c r="M535" s="18" t="s">
        <v>35</v>
      </c>
      <c r="N535" s="25" t="n">
        <v>46203</v>
      </c>
      <c r="O535" s="25" t="n">
        <v>46208</v>
      </c>
      <c r="P535" s="25" t="n">
        <v>46208</v>
      </c>
      <c r="Q535" s="17" t="n">
        <f aca="false">IF(P535&lt;&gt;"",MAX(1,P535-B535),IF(M535="Dispatched",MAX(1,O535-B535),0))</f>
        <v>5</v>
      </c>
      <c r="R535" s="17" t="n">
        <f aca="false">IF(M535="Cancelled",0,IF(P535&lt;&gt;"",MAX(0,P535-O535),IF(T535&lt;&gt;"None",MAX(1,O535-B535-2),0)))</f>
        <v>0</v>
      </c>
      <c r="S535" s="18" t="s">
        <v>310</v>
      </c>
      <c r="T535" s="20" t="s">
        <v>317</v>
      </c>
    </row>
    <row r="536" customFormat="false" ht="15" hidden="false" customHeight="false" outlineLevel="0" collapsed="false">
      <c r="A536" s="26" t="s">
        <v>1239</v>
      </c>
      <c r="B536" s="34" t="n">
        <v>46057</v>
      </c>
      <c r="C536" s="26" t="s">
        <v>676</v>
      </c>
      <c r="D536" s="27" t="s">
        <v>440</v>
      </c>
      <c r="E536" s="26" t="s">
        <v>109</v>
      </c>
      <c r="F536" s="27" t="s">
        <v>77</v>
      </c>
      <c r="G536" s="26" t="s">
        <v>201</v>
      </c>
      <c r="H536" s="27" t="str">
        <f aca="false">VLOOKUP(G536,'Product Master'!$A$5:$K$104,2,FALSE())</f>
        <v>Everyday Apparel Item 007</v>
      </c>
      <c r="I536" s="27" t="str">
        <f aca="false">VLOOKUP(G536,'Product Master'!$A$5:$K$104,3,FALSE())</f>
        <v>Apparel</v>
      </c>
      <c r="J536" s="28" t="n">
        <v>17</v>
      </c>
      <c r="K536" s="29" t="n">
        <v>10301.86</v>
      </c>
      <c r="L536" s="29" t="n">
        <f aca="false">J536*K536</f>
        <v>175131.62</v>
      </c>
      <c r="M536" s="26" t="s">
        <v>43</v>
      </c>
      <c r="N536" s="34"/>
      <c r="O536" s="34" t="n">
        <v>46066</v>
      </c>
      <c r="P536" s="34"/>
      <c r="Q536" s="28" t="n">
        <f aca="false">IF(P536&lt;&gt;"",MAX(1,P536-B536),IF(M536="Dispatched",MAX(1,O536-B536),0))</f>
        <v>0</v>
      </c>
      <c r="R536" s="28" t="n">
        <f aca="false">IF(M536="Cancelled",0,IF(P536&lt;&gt;"",MAX(0,P536-O536),IF(T536&lt;&gt;"None",MAX(1,O536-B536-2),0)))</f>
        <v>0</v>
      </c>
      <c r="S536" s="26" t="s">
        <v>310</v>
      </c>
      <c r="T536" s="27" t="s">
        <v>411</v>
      </c>
    </row>
    <row r="537" customFormat="false" ht="15" hidden="false" customHeight="false" outlineLevel="0" collapsed="false">
      <c r="A537" s="18" t="s">
        <v>1240</v>
      </c>
      <c r="B537" s="25" t="n">
        <v>46270</v>
      </c>
      <c r="C537" s="18" t="s">
        <v>728</v>
      </c>
      <c r="D537" s="20" t="s">
        <v>1241</v>
      </c>
      <c r="E537" s="18" t="s">
        <v>105</v>
      </c>
      <c r="F537" s="20" t="s">
        <v>77</v>
      </c>
      <c r="G537" s="18" t="s">
        <v>273</v>
      </c>
      <c r="H537" s="20" t="str">
        <f aca="false">VLOOKUP(G537,'Product Master'!$A$5:$K$104,2,FALSE())</f>
        <v>Essential Apparel Item 079</v>
      </c>
      <c r="I537" s="20" t="str">
        <f aca="false">VLOOKUP(G537,'Product Master'!$A$5:$K$104,3,FALSE())</f>
        <v>Apparel</v>
      </c>
      <c r="J537" s="17" t="n">
        <v>17</v>
      </c>
      <c r="K537" s="16" t="n">
        <v>12867.62</v>
      </c>
      <c r="L537" s="16" t="n">
        <f aca="false">J537*K537</f>
        <v>218749.54</v>
      </c>
      <c r="M537" s="18" t="s">
        <v>35</v>
      </c>
      <c r="N537" s="25" t="n">
        <v>46273</v>
      </c>
      <c r="O537" s="25" t="n">
        <v>46277</v>
      </c>
      <c r="P537" s="25" t="n">
        <v>46285</v>
      </c>
      <c r="Q537" s="17" t="n">
        <f aca="false">IF(P537&lt;&gt;"",MAX(1,P537-B537),IF(M537="Dispatched",MAX(1,O537-B537),0))</f>
        <v>15</v>
      </c>
      <c r="R537" s="17" t="n">
        <f aca="false">IF(M537="Cancelled",0,IF(P537&lt;&gt;"",MAX(0,P537-O537),IF(T537&lt;&gt;"None",MAX(1,O537-B537-2),0)))</f>
        <v>8</v>
      </c>
      <c r="S537" s="18" t="s">
        <v>310</v>
      </c>
      <c r="T537" s="20" t="s">
        <v>114</v>
      </c>
    </row>
    <row r="538" customFormat="false" ht="15" hidden="false" customHeight="false" outlineLevel="0" collapsed="false">
      <c r="A538" s="26" t="s">
        <v>1242</v>
      </c>
      <c r="B538" s="34" t="n">
        <v>46286</v>
      </c>
      <c r="C538" s="26" t="s">
        <v>529</v>
      </c>
      <c r="D538" s="27" t="s">
        <v>381</v>
      </c>
      <c r="E538" s="26" t="s">
        <v>111</v>
      </c>
      <c r="F538" s="27" t="s">
        <v>79</v>
      </c>
      <c r="G538" s="26" t="s">
        <v>256</v>
      </c>
      <c r="H538" s="27" t="str">
        <f aca="false">VLOOKUP(G538,'Product Master'!$A$5:$K$104,2,FALSE())</f>
        <v>Compact Packaging Item 062</v>
      </c>
      <c r="I538" s="27" t="str">
        <f aca="false">VLOOKUP(G538,'Product Master'!$A$5:$K$104,3,FALSE())</f>
        <v>Packaging</v>
      </c>
      <c r="J538" s="28" t="n">
        <v>9</v>
      </c>
      <c r="K538" s="29" t="n">
        <v>10323.31</v>
      </c>
      <c r="L538" s="29" t="n">
        <f aca="false">J538*K538</f>
        <v>92909.79</v>
      </c>
      <c r="M538" s="26" t="s">
        <v>37</v>
      </c>
      <c r="N538" s="34"/>
      <c r="O538" s="34" t="n">
        <v>46288</v>
      </c>
      <c r="P538" s="34"/>
      <c r="Q538" s="28" t="n">
        <f aca="false">IF(P538&lt;&gt;"",MAX(1,P538-B538),IF(M538="Dispatched",MAX(1,O538-B538),0))</f>
        <v>0</v>
      </c>
      <c r="R538" s="28" t="n">
        <f aca="false">IF(M538="Cancelled",0,IF(P538&lt;&gt;"",MAX(0,P538-O538),IF(T538&lt;&gt;"None",MAX(1,O538-B538-2),0)))</f>
        <v>1</v>
      </c>
      <c r="S538" s="26" t="s">
        <v>352</v>
      </c>
      <c r="T538" s="27" t="s">
        <v>108</v>
      </c>
    </row>
    <row r="539" customFormat="false" ht="15" hidden="false" customHeight="false" outlineLevel="0" collapsed="false">
      <c r="A539" s="18" t="s">
        <v>1243</v>
      </c>
      <c r="B539" s="25" t="n">
        <v>46133</v>
      </c>
      <c r="C539" s="18" t="s">
        <v>588</v>
      </c>
      <c r="D539" s="20" t="s">
        <v>985</v>
      </c>
      <c r="E539" s="18" t="s">
        <v>109</v>
      </c>
      <c r="F539" s="20" t="s">
        <v>79</v>
      </c>
      <c r="G539" s="18" t="s">
        <v>222</v>
      </c>
      <c r="H539" s="20" t="str">
        <f aca="false">VLOOKUP(G539,'Product Master'!$A$5:$K$104,2,FALSE())</f>
        <v>Pro Personal Item 028</v>
      </c>
      <c r="I539" s="20" t="str">
        <f aca="false">VLOOKUP(G539,'Product Master'!$A$5:$K$104,3,FALSE())</f>
        <v>Personal Care</v>
      </c>
      <c r="J539" s="17" t="n">
        <v>13</v>
      </c>
      <c r="K539" s="16" t="n">
        <v>2131.21</v>
      </c>
      <c r="L539" s="16" t="n">
        <f aca="false">J539*K539</f>
        <v>27705.73</v>
      </c>
      <c r="M539" s="18" t="s">
        <v>35</v>
      </c>
      <c r="N539" s="25" t="n">
        <v>46135</v>
      </c>
      <c r="O539" s="25" t="n">
        <v>46140</v>
      </c>
      <c r="P539" s="25" t="n">
        <v>46148</v>
      </c>
      <c r="Q539" s="17" t="n">
        <f aca="false">IF(P539&lt;&gt;"",MAX(1,P539-B539),IF(M539="Dispatched",MAX(1,O539-B539),0))</f>
        <v>15</v>
      </c>
      <c r="R539" s="17" t="n">
        <f aca="false">IF(M539="Cancelled",0,IF(P539&lt;&gt;"",MAX(0,P539-O539),IF(T539&lt;&gt;"None",MAX(1,O539-B539-2),0)))</f>
        <v>8</v>
      </c>
      <c r="S539" s="18" t="s">
        <v>310</v>
      </c>
      <c r="T539" s="20" t="s">
        <v>115</v>
      </c>
    </row>
    <row r="540" customFormat="false" ht="15" hidden="false" customHeight="false" outlineLevel="0" collapsed="false">
      <c r="A540" s="26" t="s">
        <v>1244</v>
      </c>
      <c r="B540" s="34" t="n">
        <v>46111</v>
      </c>
      <c r="C540" s="26" t="s">
        <v>954</v>
      </c>
      <c r="D540" s="27" t="s">
        <v>869</v>
      </c>
      <c r="E540" s="26" t="s">
        <v>113</v>
      </c>
      <c r="F540" s="27" t="s">
        <v>76</v>
      </c>
      <c r="G540" s="26" t="s">
        <v>224</v>
      </c>
      <c r="H540" s="27" t="str">
        <f aca="false">VLOOKUP(G540,'Product Master'!$A$5:$K$104,2,FALSE())</f>
        <v>Premium Packaging Item 030</v>
      </c>
      <c r="I540" s="27" t="str">
        <f aca="false">VLOOKUP(G540,'Product Master'!$A$5:$K$104,3,FALSE())</f>
        <v>Packaging</v>
      </c>
      <c r="J540" s="28" t="n">
        <v>15</v>
      </c>
      <c r="K540" s="29" t="n">
        <v>6643.61</v>
      </c>
      <c r="L540" s="29" t="n">
        <f aca="false">J540*K540</f>
        <v>99654.15</v>
      </c>
      <c r="M540" s="26" t="s">
        <v>35</v>
      </c>
      <c r="N540" s="34" t="n">
        <v>46114</v>
      </c>
      <c r="O540" s="34" t="n">
        <v>46118</v>
      </c>
      <c r="P540" s="34" t="n">
        <v>46122</v>
      </c>
      <c r="Q540" s="28" t="n">
        <f aca="false">IF(P540&lt;&gt;"",MAX(1,P540-B540),IF(M540="Dispatched",MAX(1,O540-B540),0))</f>
        <v>11</v>
      </c>
      <c r="R540" s="28" t="n">
        <f aca="false">IF(M540="Cancelled",0,IF(P540&lt;&gt;"",MAX(0,P540-O540),IF(T540&lt;&gt;"None",MAX(1,O540-B540-2),0)))</f>
        <v>4</v>
      </c>
      <c r="S540" s="26" t="s">
        <v>37</v>
      </c>
      <c r="T540" s="27" t="s">
        <v>114</v>
      </c>
    </row>
    <row r="541" customFormat="false" ht="15" hidden="false" customHeight="false" outlineLevel="0" collapsed="false">
      <c r="A541" s="18" t="s">
        <v>1245</v>
      </c>
      <c r="B541" s="25" t="n">
        <v>46093</v>
      </c>
      <c r="C541" s="18" t="s">
        <v>674</v>
      </c>
      <c r="D541" s="20" t="s">
        <v>440</v>
      </c>
      <c r="E541" s="18" t="s">
        <v>111</v>
      </c>
      <c r="F541" s="20" t="s">
        <v>76</v>
      </c>
      <c r="G541" s="18" t="s">
        <v>229</v>
      </c>
      <c r="H541" s="20" t="str">
        <f aca="false">VLOOKUP(G541,'Product Master'!$A$5:$K$104,2,FALSE())</f>
        <v>Smart Office Item 035</v>
      </c>
      <c r="I541" s="20" t="str">
        <f aca="false">VLOOKUP(G541,'Product Master'!$A$5:$K$104,3,FALSE())</f>
        <v>Office Supplies</v>
      </c>
      <c r="J541" s="17" t="n">
        <v>6</v>
      </c>
      <c r="K541" s="16" t="n">
        <v>7869.66</v>
      </c>
      <c r="L541" s="16" t="n">
        <f aca="false">J541*K541</f>
        <v>47217.96</v>
      </c>
      <c r="M541" s="18" t="s">
        <v>35</v>
      </c>
      <c r="N541" s="25" t="n">
        <v>46093</v>
      </c>
      <c r="O541" s="25" t="n">
        <v>46099</v>
      </c>
      <c r="P541" s="25" t="n">
        <v>46100</v>
      </c>
      <c r="Q541" s="17" t="n">
        <f aca="false">IF(P541&lt;&gt;"",MAX(1,P541-B541),IF(M541="Dispatched",MAX(1,O541-B541),0))</f>
        <v>7</v>
      </c>
      <c r="R541" s="17" t="n">
        <f aca="false">IF(M541="Cancelled",0,IF(P541&lt;&gt;"",MAX(0,P541-O541),IF(T541&lt;&gt;"None",MAX(1,O541-B541-2),0)))</f>
        <v>1</v>
      </c>
      <c r="S541" s="18" t="s">
        <v>310</v>
      </c>
      <c r="T541" s="20" t="s">
        <v>115</v>
      </c>
    </row>
    <row r="542" customFormat="false" ht="15" hidden="false" customHeight="false" outlineLevel="0" collapsed="false">
      <c r="A542" s="26" t="s">
        <v>1246</v>
      </c>
      <c r="B542" s="34" t="n">
        <v>46047</v>
      </c>
      <c r="C542" s="26" t="s">
        <v>863</v>
      </c>
      <c r="D542" s="27" t="s">
        <v>487</v>
      </c>
      <c r="E542" s="26" t="s">
        <v>105</v>
      </c>
      <c r="F542" s="27" t="s">
        <v>76</v>
      </c>
      <c r="G542" s="26" t="s">
        <v>207</v>
      </c>
      <c r="H542" s="27" t="str">
        <f aca="false">VLOOKUP(G542,'Product Master'!$A$5:$K$104,2,FALSE())</f>
        <v>Eco Industrial Item 013</v>
      </c>
      <c r="I542" s="27" t="str">
        <f aca="false">VLOOKUP(G542,'Product Master'!$A$5:$K$104,3,FALSE())</f>
        <v>Industrial</v>
      </c>
      <c r="J542" s="28" t="n">
        <v>12</v>
      </c>
      <c r="K542" s="29" t="n">
        <v>12957.77</v>
      </c>
      <c r="L542" s="29" t="n">
        <f aca="false">J542*K542</f>
        <v>155493.24</v>
      </c>
      <c r="M542" s="26" t="s">
        <v>35</v>
      </c>
      <c r="N542" s="34" t="n">
        <v>46049</v>
      </c>
      <c r="O542" s="34" t="n">
        <v>46052</v>
      </c>
      <c r="P542" s="34" t="n">
        <v>46052</v>
      </c>
      <c r="Q542" s="28" t="n">
        <f aca="false">IF(P542&lt;&gt;"",MAX(1,P542-B542),IF(M542="Dispatched",MAX(1,O542-B542),0))</f>
        <v>5</v>
      </c>
      <c r="R542" s="28" t="n">
        <f aca="false">IF(M542="Cancelled",0,IF(P542&lt;&gt;"",MAX(0,P542-O542),IF(T542&lt;&gt;"None",MAX(1,O542-B542-2),0)))</f>
        <v>0</v>
      </c>
      <c r="S542" s="26" t="s">
        <v>310</v>
      </c>
      <c r="T542" s="27" t="s">
        <v>317</v>
      </c>
    </row>
    <row r="543" customFormat="false" ht="15" hidden="false" customHeight="false" outlineLevel="0" collapsed="false">
      <c r="A543" s="18" t="s">
        <v>1247</v>
      </c>
      <c r="B543" s="25" t="n">
        <v>46280</v>
      </c>
      <c r="C543" s="18" t="s">
        <v>827</v>
      </c>
      <c r="D543" s="20" t="s">
        <v>967</v>
      </c>
      <c r="E543" s="18" t="s">
        <v>107</v>
      </c>
      <c r="F543" s="20" t="s">
        <v>80</v>
      </c>
      <c r="G543" s="18" t="s">
        <v>230</v>
      </c>
      <c r="H543" s="20" t="str">
        <f aca="false">VLOOKUP(G543,'Product Master'!$A$5:$K$104,2,FALSE())</f>
        <v>Pro Personal Item 036</v>
      </c>
      <c r="I543" s="20" t="str">
        <f aca="false">VLOOKUP(G543,'Product Master'!$A$5:$K$104,3,FALSE())</f>
        <v>Personal Care</v>
      </c>
      <c r="J543" s="17" t="n">
        <v>5</v>
      </c>
      <c r="K543" s="16" t="n">
        <v>3099.62</v>
      </c>
      <c r="L543" s="16" t="n">
        <f aca="false">J543*K543</f>
        <v>15498.1</v>
      </c>
      <c r="M543" s="18" t="s">
        <v>43</v>
      </c>
      <c r="N543" s="25"/>
      <c r="O543" s="25" t="n">
        <v>46286</v>
      </c>
      <c r="P543" s="25"/>
      <c r="Q543" s="17" t="n">
        <f aca="false">IF(P543&lt;&gt;"",MAX(1,P543-B543),IF(M543="Dispatched",MAX(1,O543-B543),0))</f>
        <v>0</v>
      </c>
      <c r="R543" s="17" t="n">
        <f aca="false">IF(M543="Cancelled",0,IF(P543&lt;&gt;"",MAX(0,P543-O543),IF(T543&lt;&gt;"None",MAX(1,O543-B543-2),0)))</f>
        <v>0</v>
      </c>
      <c r="S543" s="18" t="s">
        <v>37</v>
      </c>
      <c r="T543" s="20" t="s">
        <v>411</v>
      </c>
    </row>
    <row r="544" customFormat="false" ht="15" hidden="false" customHeight="false" outlineLevel="0" collapsed="false">
      <c r="A544" s="26" t="s">
        <v>1248</v>
      </c>
      <c r="B544" s="34" t="n">
        <v>46137</v>
      </c>
      <c r="C544" s="26" t="s">
        <v>735</v>
      </c>
      <c r="D544" s="27" t="s">
        <v>364</v>
      </c>
      <c r="E544" s="26" t="s">
        <v>113</v>
      </c>
      <c r="F544" s="27" t="s">
        <v>76</v>
      </c>
      <c r="G544" s="26" t="s">
        <v>246</v>
      </c>
      <c r="H544" s="27" t="str">
        <f aca="false">VLOOKUP(G544,'Product Master'!$A$5:$K$104,2,FALSE())</f>
        <v>Compact Personal Item 052</v>
      </c>
      <c r="I544" s="27" t="str">
        <f aca="false">VLOOKUP(G544,'Product Master'!$A$5:$K$104,3,FALSE())</f>
        <v>Personal Care</v>
      </c>
      <c r="J544" s="28" t="n">
        <v>16</v>
      </c>
      <c r="K544" s="29" t="n">
        <v>8547.77</v>
      </c>
      <c r="L544" s="29" t="n">
        <f aca="false">J544*K544</f>
        <v>136764.32</v>
      </c>
      <c r="M544" s="26" t="s">
        <v>37</v>
      </c>
      <c r="N544" s="34"/>
      <c r="O544" s="34" t="n">
        <v>46141</v>
      </c>
      <c r="P544" s="34"/>
      <c r="Q544" s="28" t="n">
        <f aca="false">IF(P544&lt;&gt;"",MAX(1,P544-B544),IF(M544="Dispatched",MAX(1,O544-B544),0))</f>
        <v>0</v>
      </c>
      <c r="R544" s="28" t="n">
        <f aca="false">IF(M544="Cancelled",0,IF(P544&lt;&gt;"",MAX(0,P544-O544),IF(T544&lt;&gt;"None",MAX(1,O544-B544-2),0)))</f>
        <v>2</v>
      </c>
      <c r="S544" s="26" t="s">
        <v>37</v>
      </c>
      <c r="T544" s="27" t="s">
        <v>116</v>
      </c>
    </row>
    <row r="545" customFormat="false" ht="15" hidden="false" customHeight="false" outlineLevel="0" collapsed="false">
      <c r="A545" s="18" t="s">
        <v>1249</v>
      </c>
      <c r="B545" s="25" t="n">
        <v>46173</v>
      </c>
      <c r="C545" s="18" t="s">
        <v>848</v>
      </c>
      <c r="D545" s="20" t="s">
        <v>376</v>
      </c>
      <c r="E545" s="18" t="s">
        <v>113</v>
      </c>
      <c r="F545" s="20" t="s">
        <v>80</v>
      </c>
      <c r="G545" s="18" t="s">
        <v>224</v>
      </c>
      <c r="H545" s="20" t="str">
        <f aca="false">VLOOKUP(G545,'Product Master'!$A$5:$K$104,2,FALSE())</f>
        <v>Premium Packaging Item 030</v>
      </c>
      <c r="I545" s="20" t="str">
        <f aca="false">VLOOKUP(G545,'Product Master'!$A$5:$K$104,3,FALSE())</f>
        <v>Packaging</v>
      </c>
      <c r="J545" s="17" t="n">
        <v>18</v>
      </c>
      <c r="K545" s="16" t="n">
        <v>6643.61</v>
      </c>
      <c r="L545" s="16" t="n">
        <f aca="false">J545*K545</f>
        <v>119584.98</v>
      </c>
      <c r="M545" s="18" t="s">
        <v>39</v>
      </c>
      <c r="N545" s="25"/>
      <c r="O545" s="25" t="n">
        <v>46182</v>
      </c>
      <c r="P545" s="25"/>
      <c r="Q545" s="17" t="n">
        <f aca="false">IF(P545&lt;&gt;"",MAX(1,P545-B545),IF(M545="Dispatched",MAX(1,O545-B545),0))</f>
        <v>0</v>
      </c>
      <c r="R545" s="17" t="n">
        <f aca="false">IF(M545="Cancelled",0,IF(P545&lt;&gt;"",MAX(0,P545-O545),IF(T545&lt;&gt;"None",MAX(1,O545-B545-2),0)))</f>
        <v>0</v>
      </c>
      <c r="S545" s="18" t="s">
        <v>352</v>
      </c>
      <c r="T545" s="20" t="s">
        <v>317</v>
      </c>
    </row>
    <row r="546" customFormat="false" ht="15" hidden="false" customHeight="false" outlineLevel="0" collapsed="false">
      <c r="A546" s="26" t="s">
        <v>1250</v>
      </c>
      <c r="B546" s="34" t="n">
        <v>46150</v>
      </c>
      <c r="C546" s="26" t="s">
        <v>761</v>
      </c>
      <c r="D546" s="27" t="s">
        <v>1251</v>
      </c>
      <c r="E546" s="26" t="s">
        <v>111</v>
      </c>
      <c r="F546" s="27" t="s">
        <v>77</v>
      </c>
      <c r="G546" s="26" t="s">
        <v>293</v>
      </c>
      <c r="H546" s="27" t="str">
        <f aca="false">VLOOKUP(G546,'Product Master'!$A$5:$K$104,2,FALSE())</f>
        <v>Eco Office Item 099</v>
      </c>
      <c r="I546" s="27" t="str">
        <f aca="false">VLOOKUP(G546,'Product Master'!$A$5:$K$104,3,FALSE())</f>
        <v>Office Supplies</v>
      </c>
      <c r="J546" s="28" t="n">
        <v>15</v>
      </c>
      <c r="K546" s="29" t="n">
        <v>8700.35</v>
      </c>
      <c r="L546" s="29" t="n">
        <f aca="false">J546*K546</f>
        <v>130505.25</v>
      </c>
      <c r="M546" s="26" t="s">
        <v>35</v>
      </c>
      <c r="N546" s="34" t="n">
        <v>46152</v>
      </c>
      <c r="O546" s="34" t="n">
        <v>46152</v>
      </c>
      <c r="P546" s="34" t="n">
        <v>46152</v>
      </c>
      <c r="Q546" s="28" t="n">
        <f aca="false">IF(P546&lt;&gt;"",MAX(1,P546-B546),IF(M546="Dispatched",MAX(1,O546-B546),0))</f>
        <v>2</v>
      </c>
      <c r="R546" s="28" t="n">
        <f aca="false">IF(M546="Cancelled",0,IF(P546&lt;&gt;"",MAX(0,P546-O546),IF(T546&lt;&gt;"None",MAX(1,O546-B546-2),0)))</f>
        <v>0</v>
      </c>
      <c r="S546" s="26" t="s">
        <v>352</v>
      </c>
      <c r="T546" s="27" t="s">
        <v>317</v>
      </c>
    </row>
    <row r="547" customFormat="false" ht="15" hidden="false" customHeight="false" outlineLevel="0" collapsed="false">
      <c r="A547" s="18" t="s">
        <v>1252</v>
      </c>
      <c r="B547" s="25" t="n">
        <v>45935</v>
      </c>
      <c r="C547" s="18" t="s">
        <v>538</v>
      </c>
      <c r="D547" s="20" t="s">
        <v>740</v>
      </c>
      <c r="E547" s="18" t="s">
        <v>109</v>
      </c>
      <c r="F547" s="20" t="s">
        <v>78</v>
      </c>
      <c r="G547" s="18" t="s">
        <v>258</v>
      </c>
      <c r="H547" s="20" t="str">
        <f aca="false">VLOOKUP(G547,'Product Master'!$A$5:$K$104,2,FALSE())</f>
        <v>Compact Automotive Item 064</v>
      </c>
      <c r="I547" s="20" t="str">
        <f aca="false">VLOOKUP(G547,'Product Master'!$A$5:$K$104,3,FALSE())</f>
        <v>Automotive</v>
      </c>
      <c r="J547" s="17" t="n">
        <v>8</v>
      </c>
      <c r="K547" s="16" t="n">
        <v>4156.81</v>
      </c>
      <c r="L547" s="16" t="n">
        <f aca="false">J547*K547</f>
        <v>33254.48</v>
      </c>
      <c r="M547" s="18" t="s">
        <v>35</v>
      </c>
      <c r="N547" s="25" t="n">
        <v>45937</v>
      </c>
      <c r="O547" s="25" t="n">
        <v>45943</v>
      </c>
      <c r="P547" s="25" t="n">
        <v>45944</v>
      </c>
      <c r="Q547" s="17" t="n">
        <f aca="false">IF(P547&lt;&gt;"",MAX(1,P547-B547),IF(M547="Dispatched",MAX(1,O547-B547),0))</f>
        <v>9</v>
      </c>
      <c r="R547" s="17" t="n">
        <f aca="false">IF(M547="Cancelled",0,IF(P547&lt;&gt;"",MAX(0,P547-O547),IF(T547&lt;&gt;"None",MAX(1,O547-B547-2),0)))</f>
        <v>1</v>
      </c>
      <c r="S547" s="18" t="s">
        <v>310</v>
      </c>
      <c r="T547" s="20" t="s">
        <v>110</v>
      </c>
    </row>
    <row r="548" customFormat="false" ht="15" hidden="false" customHeight="false" outlineLevel="0" collapsed="false">
      <c r="A548" s="26" t="s">
        <v>1253</v>
      </c>
      <c r="B548" s="34" t="n">
        <v>46100</v>
      </c>
      <c r="C548" s="26" t="s">
        <v>1254</v>
      </c>
      <c r="D548" s="27" t="s">
        <v>736</v>
      </c>
      <c r="E548" s="26" t="s">
        <v>113</v>
      </c>
      <c r="F548" s="27" t="s">
        <v>80</v>
      </c>
      <c r="G548" s="26" t="s">
        <v>267</v>
      </c>
      <c r="H548" s="27" t="str">
        <f aca="false">VLOOKUP(G548,'Product Master'!$A$5:$K$104,2,FALSE())</f>
        <v>Essential Electronics Item 073</v>
      </c>
      <c r="I548" s="27" t="str">
        <f aca="false">VLOOKUP(G548,'Product Master'!$A$5:$K$104,3,FALSE())</f>
        <v>Electronics</v>
      </c>
      <c r="J548" s="28" t="n">
        <v>19</v>
      </c>
      <c r="K548" s="29" t="n">
        <v>8260.77</v>
      </c>
      <c r="L548" s="29" t="n">
        <f aca="false">J548*K548</f>
        <v>156954.63</v>
      </c>
      <c r="M548" s="26" t="s">
        <v>41</v>
      </c>
      <c r="N548" s="34" t="n">
        <v>46101</v>
      </c>
      <c r="O548" s="34" t="n">
        <v>46108</v>
      </c>
      <c r="P548" s="34"/>
      <c r="Q548" s="28" t="n">
        <f aca="false">IF(P548&lt;&gt;"",MAX(1,P548-B548),IF(M548="Dispatched",MAX(1,O548-B548),0))</f>
        <v>8</v>
      </c>
      <c r="R548" s="28" t="n">
        <f aca="false">IF(M548="Cancelled",0,IF(P548&lt;&gt;"",MAX(0,P548-O548),IF(T548&lt;&gt;"None",MAX(1,O548-B548-2),0)))</f>
        <v>0</v>
      </c>
      <c r="S548" s="26" t="s">
        <v>310</v>
      </c>
      <c r="T548" s="27" t="s">
        <v>317</v>
      </c>
    </row>
    <row r="549" customFormat="false" ht="15" hidden="false" customHeight="false" outlineLevel="0" collapsed="false">
      <c r="A549" s="18" t="s">
        <v>1255</v>
      </c>
      <c r="B549" s="25" t="n">
        <v>46174</v>
      </c>
      <c r="C549" s="18" t="s">
        <v>520</v>
      </c>
      <c r="D549" s="20" t="s">
        <v>595</v>
      </c>
      <c r="E549" s="18" t="s">
        <v>109</v>
      </c>
      <c r="F549" s="20" t="s">
        <v>80</v>
      </c>
      <c r="G549" s="18" t="s">
        <v>208</v>
      </c>
      <c r="H549" s="20" t="str">
        <f aca="false">VLOOKUP(G549,'Product Master'!$A$5:$K$104,2,FALSE())</f>
        <v>Pro Packaging Item 014</v>
      </c>
      <c r="I549" s="20" t="str">
        <f aca="false">VLOOKUP(G549,'Product Master'!$A$5:$K$104,3,FALSE())</f>
        <v>Packaging</v>
      </c>
      <c r="J549" s="17" t="n">
        <v>15</v>
      </c>
      <c r="K549" s="16" t="n">
        <v>4696.7</v>
      </c>
      <c r="L549" s="16" t="n">
        <f aca="false">J549*K549</f>
        <v>70450.5</v>
      </c>
      <c r="M549" s="18" t="s">
        <v>37</v>
      </c>
      <c r="N549" s="25"/>
      <c r="O549" s="25" t="n">
        <v>46180</v>
      </c>
      <c r="P549" s="25"/>
      <c r="Q549" s="17" t="n">
        <f aca="false">IF(P549&lt;&gt;"",MAX(1,P549-B549),IF(M549="Dispatched",MAX(1,O549-B549),0))</f>
        <v>0</v>
      </c>
      <c r="R549" s="17" t="n">
        <f aca="false">IF(M549="Cancelled",0,IF(P549&lt;&gt;"",MAX(0,P549-O549),IF(T549&lt;&gt;"None",MAX(1,O549-B549-2),0)))</f>
        <v>0</v>
      </c>
      <c r="S549" s="18" t="s">
        <v>310</v>
      </c>
      <c r="T549" s="20" t="s">
        <v>317</v>
      </c>
    </row>
    <row r="550" customFormat="false" ht="15" hidden="false" customHeight="false" outlineLevel="0" collapsed="false">
      <c r="A550" s="26" t="s">
        <v>1256</v>
      </c>
      <c r="B550" s="34" t="n">
        <v>45947</v>
      </c>
      <c r="C550" s="26" t="s">
        <v>951</v>
      </c>
      <c r="D550" s="27" t="s">
        <v>1257</v>
      </c>
      <c r="E550" s="26" t="s">
        <v>113</v>
      </c>
      <c r="F550" s="27" t="s">
        <v>79</v>
      </c>
      <c r="G550" s="26" t="s">
        <v>283</v>
      </c>
      <c r="H550" s="27" t="str">
        <f aca="false">VLOOKUP(G550,'Product Master'!$A$5:$K$104,2,FALSE())</f>
        <v>Everyday Electronics Item 089</v>
      </c>
      <c r="I550" s="27" t="str">
        <f aca="false">VLOOKUP(G550,'Product Master'!$A$5:$K$104,3,FALSE())</f>
        <v>Electronics</v>
      </c>
      <c r="J550" s="28" t="n">
        <v>1</v>
      </c>
      <c r="K550" s="29" t="n">
        <v>2282.32</v>
      </c>
      <c r="L550" s="29" t="n">
        <f aca="false">J550*K550</f>
        <v>2282.32</v>
      </c>
      <c r="M550" s="26" t="s">
        <v>35</v>
      </c>
      <c r="N550" s="34" t="n">
        <v>45950</v>
      </c>
      <c r="O550" s="34" t="n">
        <v>45950</v>
      </c>
      <c r="P550" s="34" t="n">
        <v>45950</v>
      </c>
      <c r="Q550" s="28" t="n">
        <f aca="false">IF(P550&lt;&gt;"",MAX(1,P550-B550),IF(M550="Dispatched",MAX(1,O550-B550),0))</f>
        <v>3</v>
      </c>
      <c r="R550" s="28" t="n">
        <f aca="false">IF(M550="Cancelled",0,IF(P550&lt;&gt;"",MAX(0,P550-O550),IF(T550&lt;&gt;"None",MAX(1,O550-B550-2),0)))</f>
        <v>0</v>
      </c>
      <c r="S550" s="26" t="s">
        <v>310</v>
      </c>
      <c r="T550" s="27" t="s">
        <v>317</v>
      </c>
    </row>
    <row r="551" customFormat="false" ht="15" hidden="false" customHeight="false" outlineLevel="0" collapsed="false">
      <c r="A551" s="18" t="s">
        <v>1258</v>
      </c>
      <c r="B551" s="25" t="n">
        <v>45966</v>
      </c>
      <c r="C551" s="18" t="s">
        <v>424</v>
      </c>
      <c r="D551" s="20" t="s">
        <v>1069</v>
      </c>
      <c r="E551" s="18" t="s">
        <v>105</v>
      </c>
      <c r="F551" s="20" t="s">
        <v>78</v>
      </c>
      <c r="G551" s="18" t="s">
        <v>253</v>
      </c>
      <c r="H551" s="20" t="str">
        <f aca="false">VLOOKUP(G551,'Product Master'!$A$5:$K$104,2,FALSE())</f>
        <v>Eco Office Item 059</v>
      </c>
      <c r="I551" s="20" t="str">
        <f aca="false">VLOOKUP(G551,'Product Master'!$A$5:$K$104,3,FALSE())</f>
        <v>Office Supplies</v>
      </c>
      <c r="J551" s="17" t="n">
        <v>17</v>
      </c>
      <c r="K551" s="16" t="n">
        <v>348.69</v>
      </c>
      <c r="L551" s="16" t="n">
        <f aca="false">J551*K551</f>
        <v>5927.73</v>
      </c>
      <c r="M551" s="18" t="s">
        <v>35</v>
      </c>
      <c r="N551" s="25" t="n">
        <v>45969</v>
      </c>
      <c r="O551" s="25" t="n">
        <v>45973</v>
      </c>
      <c r="P551" s="25" t="n">
        <v>45975</v>
      </c>
      <c r="Q551" s="17" t="n">
        <f aca="false">IF(P551&lt;&gt;"",MAX(1,P551-B551),IF(M551="Dispatched",MAX(1,O551-B551),0))</f>
        <v>9</v>
      </c>
      <c r="R551" s="17" t="n">
        <f aca="false">IF(M551="Cancelled",0,IF(P551&lt;&gt;"",MAX(0,P551-O551),IF(T551&lt;&gt;"None",MAX(1,O551-B551-2),0)))</f>
        <v>2</v>
      </c>
      <c r="S551" s="18" t="s">
        <v>310</v>
      </c>
      <c r="T551" s="20" t="s">
        <v>106</v>
      </c>
    </row>
    <row r="552" customFormat="false" ht="15" hidden="false" customHeight="false" outlineLevel="0" collapsed="false">
      <c r="A552" s="26" t="s">
        <v>1259</v>
      </c>
      <c r="B552" s="34" t="n">
        <v>46311</v>
      </c>
      <c r="C552" s="26" t="s">
        <v>1260</v>
      </c>
      <c r="D552" s="27" t="s">
        <v>640</v>
      </c>
      <c r="E552" s="26" t="s">
        <v>111</v>
      </c>
      <c r="F552" s="27" t="s">
        <v>77</v>
      </c>
      <c r="G552" s="26" t="s">
        <v>203</v>
      </c>
      <c r="H552" s="27" t="str">
        <f aca="false">VLOOKUP(G552,'Product Master'!$A$5:$K$104,2,FALSE())</f>
        <v>Essential Electronics Item 009</v>
      </c>
      <c r="I552" s="27" t="str">
        <f aca="false">VLOOKUP(G552,'Product Master'!$A$5:$K$104,3,FALSE())</f>
        <v>Electronics</v>
      </c>
      <c r="J552" s="28" t="n">
        <v>5</v>
      </c>
      <c r="K552" s="29" t="n">
        <v>5778.46</v>
      </c>
      <c r="L552" s="29" t="n">
        <f aca="false">J552*K552</f>
        <v>28892.3</v>
      </c>
      <c r="M552" s="26" t="s">
        <v>41</v>
      </c>
      <c r="N552" s="34" t="n">
        <v>46314</v>
      </c>
      <c r="O552" s="34" t="n">
        <v>46317</v>
      </c>
      <c r="P552" s="34"/>
      <c r="Q552" s="28" t="n">
        <f aca="false">IF(P552&lt;&gt;"",MAX(1,P552-B552),IF(M552="Dispatched",MAX(1,O552-B552),0))</f>
        <v>6</v>
      </c>
      <c r="R552" s="28" t="n">
        <f aca="false">IF(M552="Cancelled",0,IF(P552&lt;&gt;"",MAX(0,P552-O552),IF(T552&lt;&gt;"None",MAX(1,O552-B552-2),0)))</f>
        <v>4</v>
      </c>
      <c r="S552" s="26" t="s">
        <v>310</v>
      </c>
      <c r="T552" s="27" t="s">
        <v>115</v>
      </c>
    </row>
    <row r="553" customFormat="false" ht="15" hidden="false" customHeight="false" outlineLevel="0" collapsed="false">
      <c r="A553" s="18" t="s">
        <v>1261</v>
      </c>
      <c r="B553" s="25" t="n">
        <v>46089</v>
      </c>
      <c r="C553" s="18" t="s">
        <v>366</v>
      </c>
      <c r="D553" s="20" t="s">
        <v>649</v>
      </c>
      <c r="E553" s="18" t="s">
        <v>107</v>
      </c>
      <c r="F553" s="20" t="s">
        <v>80</v>
      </c>
      <c r="G553" s="18" t="s">
        <v>270</v>
      </c>
      <c r="H553" s="20" t="str">
        <f aca="false">VLOOKUP(G553,'Product Master'!$A$5:$K$104,2,FALSE())</f>
        <v>Everyday Personal Item 076</v>
      </c>
      <c r="I553" s="20" t="str">
        <f aca="false">VLOOKUP(G553,'Product Master'!$A$5:$K$104,3,FALSE())</f>
        <v>Personal Care</v>
      </c>
      <c r="J553" s="17" t="n">
        <v>23</v>
      </c>
      <c r="K553" s="16" t="n">
        <v>9870.63</v>
      </c>
      <c r="L553" s="16" t="n">
        <f aca="false">J553*K553</f>
        <v>227024.49</v>
      </c>
      <c r="M553" s="18" t="s">
        <v>37</v>
      </c>
      <c r="N553" s="25"/>
      <c r="O553" s="25" t="n">
        <v>46095</v>
      </c>
      <c r="P553" s="25"/>
      <c r="Q553" s="17" t="n">
        <f aca="false">IF(P553&lt;&gt;"",MAX(1,P553-B553),IF(M553="Dispatched",MAX(1,O553-B553),0))</f>
        <v>0</v>
      </c>
      <c r="R553" s="17" t="n">
        <f aca="false">IF(M553="Cancelled",0,IF(P553&lt;&gt;"",MAX(0,P553-O553),IF(T553&lt;&gt;"None",MAX(1,O553-B553-2),0)))</f>
        <v>0</v>
      </c>
      <c r="S553" s="18" t="s">
        <v>310</v>
      </c>
      <c r="T553" s="20" t="s">
        <v>317</v>
      </c>
    </row>
    <row r="554" customFormat="false" ht="15" hidden="false" customHeight="false" outlineLevel="0" collapsed="false">
      <c r="A554" s="26" t="s">
        <v>1262</v>
      </c>
      <c r="B554" s="34" t="n">
        <v>46135</v>
      </c>
      <c r="C554" s="26" t="s">
        <v>385</v>
      </c>
      <c r="D554" s="27" t="s">
        <v>708</v>
      </c>
      <c r="E554" s="26" t="s">
        <v>107</v>
      </c>
      <c r="F554" s="27" t="s">
        <v>80</v>
      </c>
      <c r="G554" s="26" t="s">
        <v>272</v>
      </c>
      <c r="H554" s="27" t="str">
        <f aca="false">VLOOKUP(G554,'Product Master'!$A$5:$K$104,2,FALSE())</f>
        <v>Smart Packaging Item 078</v>
      </c>
      <c r="I554" s="27" t="str">
        <f aca="false">VLOOKUP(G554,'Product Master'!$A$5:$K$104,3,FALSE())</f>
        <v>Packaging</v>
      </c>
      <c r="J554" s="28" t="n">
        <v>11</v>
      </c>
      <c r="K554" s="29" t="n">
        <v>627.95</v>
      </c>
      <c r="L554" s="29" t="n">
        <f aca="false">J554*K554</f>
        <v>6907.45</v>
      </c>
      <c r="M554" s="26" t="s">
        <v>41</v>
      </c>
      <c r="N554" s="34" t="n">
        <v>46138</v>
      </c>
      <c r="O554" s="34" t="n">
        <v>46144</v>
      </c>
      <c r="P554" s="34"/>
      <c r="Q554" s="28" t="n">
        <f aca="false">IF(P554&lt;&gt;"",MAX(1,P554-B554),IF(M554="Dispatched",MAX(1,O554-B554),0))</f>
        <v>9</v>
      </c>
      <c r="R554" s="28" t="n">
        <f aca="false">IF(M554="Cancelled",0,IF(P554&lt;&gt;"",MAX(0,P554-O554),IF(T554&lt;&gt;"None",MAX(1,O554-B554-2),0)))</f>
        <v>0</v>
      </c>
      <c r="S554" s="26" t="s">
        <v>310</v>
      </c>
      <c r="T554" s="27" t="s">
        <v>317</v>
      </c>
    </row>
    <row r="555" customFormat="false" ht="15" hidden="false" customHeight="false" outlineLevel="0" collapsed="false">
      <c r="A555" s="18" t="s">
        <v>1263</v>
      </c>
      <c r="B555" s="25" t="n">
        <v>46261</v>
      </c>
      <c r="C555" s="18" t="s">
        <v>513</v>
      </c>
      <c r="D555" s="20" t="s">
        <v>355</v>
      </c>
      <c r="E555" s="18" t="s">
        <v>109</v>
      </c>
      <c r="F555" s="20" t="s">
        <v>78</v>
      </c>
      <c r="G555" s="18" t="s">
        <v>253</v>
      </c>
      <c r="H555" s="20" t="str">
        <f aca="false">VLOOKUP(G555,'Product Master'!$A$5:$K$104,2,FALSE())</f>
        <v>Eco Office Item 059</v>
      </c>
      <c r="I555" s="20" t="str">
        <f aca="false">VLOOKUP(G555,'Product Master'!$A$5:$K$104,3,FALSE())</f>
        <v>Office Supplies</v>
      </c>
      <c r="J555" s="17" t="n">
        <v>13</v>
      </c>
      <c r="K555" s="16" t="n">
        <v>348.69</v>
      </c>
      <c r="L555" s="16" t="n">
        <f aca="false">J555*K555</f>
        <v>4532.97</v>
      </c>
      <c r="M555" s="18" t="s">
        <v>37</v>
      </c>
      <c r="N555" s="25"/>
      <c r="O555" s="25" t="n">
        <v>46265</v>
      </c>
      <c r="P555" s="25"/>
      <c r="Q555" s="17" t="n">
        <f aca="false">IF(P555&lt;&gt;"",MAX(1,P555-B555),IF(M555="Dispatched",MAX(1,O555-B555),0))</f>
        <v>0</v>
      </c>
      <c r="R555" s="17" t="n">
        <f aca="false">IF(M555="Cancelled",0,IF(P555&lt;&gt;"",MAX(0,P555-O555),IF(T555&lt;&gt;"None",MAX(1,O555-B555-2),0)))</f>
        <v>0</v>
      </c>
      <c r="S555" s="18" t="s">
        <v>37</v>
      </c>
      <c r="T555" s="20" t="s">
        <v>317</v>
      </c>
    </row>
    <row r="556" customFormat="false" ht="15" hidden="false" customHeight="false" outlineLevel="0" collapsed="false">
      <c r="A556" s="26" t="s">
        <v>1264</v>
      </c>
      <c r="B556" s="34" t="n">
        <v>46165</v>
      </c>
      <c r="C556" s="26" t="s">
        <v>1265</v>
      </c>
      <c r="D556" s="27" t="s">
        <v>677</v>
      </c>
      <c r="E556" s="26" t="s">
        <v>107</v>
      </c>
      <c r="F556" s="27" t="s">
        <v>80</v>
      </c>
      <c r="G556" s="26" t="s">
        <v>244</v>
      </c>
      <c r="H556" s="27" t="str">
        <f aca="false">VLOOKUP(G556,'Product Master'!$A$5:$K$104,2,FALSE())</f>
        <v>Eco Home Item 050</v>
      </c>
      <c r="I556" s="27" t="str">
        <f aca="false">VLOOKUP(G556,'Product Master'!$A$5:$K$104,3,FALSE())</f>
        <v>Home &amp; Kitchen</v>
      </c>
      <c r="J556" s="28" t="n">
        <v>4</v>
      </c>
      <c r="K556" s="29" t="n">
        <v>5831.62</v>
      </c>
      <c r="L556" s="29" t="n">
        <f aca="false">J556*K556</f>
        <v>23326.48</v>
      </c>
      <c r="M556" s="26" t="s">
        <v>35</v>
      </c>
      <c r="N556" s="34" t="n">
        <v>46166</v>
      </c>
      <c r="O556" s="34" t="n">
        <v>46167</v>
      </c>
      <c r="P556" s="34" t="n">
        <v>46166</v>
      </c>
      <c r="Q556" s="28" t="n">
        <f aca="false">IF(P556&lt;&gt;"",MAX(1,P556-B556),IF(M556="Dispatched",MAX(1,O556-B556),0))</f>
        <v>1</v>
      </c>
      <c r="R556" s="28" t="n">
        <f aca="false">IF(M556="Cancelled",0,IF(P556&lt;&gt;"",MAX(0,P556-O556),IF(T556&lt;&gt;"None",MAX(1,O556-B556-2),0)))</f>
        <v>0</v>
      </c>
      <c r="S556" s="26" t="s">
        <v>352</v>
      </c>
      <c r="T556" s="27" t="s">
        <v>317</v>
      </c>
    </row>
    <row r="557" customFormat="false" ht="15" hidden="false" customHeight="false" outlineLevel="0" collapsed="false">
      <c r="A557" s="18" t="s">
        <v>1266</v>
      </c>
      <c r="B557" s="25" t="n">
        <v>46288</v>
      </c>
      <c r="C557" s="18" t="s">
        <v>322</v>
      </c>
      <c r="D557" s="20" t="s">
        <v>440</v>
      </c>
      <c r="E557" s="18" t="s">
        <v>107</v>
      </c>
      <c r="F557" s="20" t="s">
        <v>79</v>
      </c>
      <c r="G557" s="18" t="s">
        <v>287</v>
      </c>
      <c r="H557" s="20" t="str">
        <f aca="false">VLOOKUP(G557,'Product Master'!$A$5:$K$104,2,FALSE())</f>
        <v>Compact Industrial Item 093</v>
      </c>
      <c r="I557" s="20" t="str">
        <f aca="false">VLOOKUP(G557,'Product Master'!$A$5:$K$104,3,FALSE())</f>
        <v>Industrial</v>
      </c>
      <c r="J557" s="17" t="n">
        <v>14</v>
      </c>
      <c r="K557" s="16" t="n">
        <v>7420.7</v>
      </c>
      <c r="L557" s="16" t="n">
        <f aca="false">J557*K557</f>
        <v>103889.8</v>
      </c>
      <c r="M557" s="18" t="s">
        <v>43</v>
      </c>
      <c r="N557" s="25"/>
      <c r="O557" s="25" t="n">
        <v>46291</v>
      </c>
      <c r="P557" s="25"/>
      <c r="Q557" s="17" t="n">
        <f aca="false">IF(P557&lt;&gt;"",MAX(1,P557-B557),IF(M557="Dispatched",MAX(1,O557-B557),0))</f>
        <v>0</v>
      </c>
      <c r="R557" s="17" t="n">
        <f aca="false">IF(M557="Cancelled",0,IF(P557&lt;&gt;"",MAX(0,P557-O557),IF(T557&lt;&gt;"None",MAX(1,O557-B557-2),0)))</f>
        <v>0</v>
      </c>
      <c r="S557" s="18" t="s">
        <v>310</v>
      </c>
      <c r="T557" s="20" t="s">
        <v>411</v>
      </c>
    </row>
    <row r="558" customFormat="false" ht="15" hidden="false" customHeight="false" outlineLevel="0" collapsed="false">
      <c r="A558" s="26" t="s">
        <v>1267</v>
      </c>
      <c r="B558" s="34" t="n">
        <v>46097</v>
      </c>
      <c r="C558" s="26" t="s">
        <v>936</v>
      </c>
      <c r="D558" s="27" t="s">
        <v>1117</v>
      </c>
      <c r="E558" s="26" t="s">
        <v>111</v>
      </c>
      <c r="F558" s="27" t="s">
        <v>77</v>
      </c>
      <c r="G558" s="26" t="s">
        <v>247</v>
      </c>
      <c r="H558" s="27" t="str">
        <f aca="false">VLOOKUP(G558,'Product Master'!$A$5:$K$104,2,FALSE())</f>
        <v>Classic Industrial Item 053</v>
      </c>
      <c r="I558" s="27" t="str">
        <f aca="false">VLOOKUP(G558,'Product Master'!$A$5:$K$104,3,FALSE())</f>
        <v>Industrial</v>
      </c>
      <c r="J558" s="28" t="n">
        <v>9</v>
      </c>
      <c r="K558" s="29" t="n">
        <v>10730.84</v>
      </c>
      <c r="L558" s="29" t="n">
        <f aca="false">J558*K558</f>
        <v>96577.56</v>
      </c>
      <c r="M558" s="26" t="s">
        <v>35</v>
      </c>
      <c r="N558" s="34" t="n">
        <v>46100</v>
      </c>
      <c r="O558" s="34" t="n">
        <v>46104</v>
      </c>
      <c r="P558" s="34" t="n">
        <v>46102</v>
      </c>
      <c r="Q558" s="28" t="n">
        <f aca="false">IF(P558&lt;&gt;"",MAX(1,P558-B558),IF(M558="Dispatched",MAX(1,O558-B558),0))</f>
        <v>5</v>
      </c>
      <c r="R558" s="28" t="n">
        <f aca="false">IF(M558="Cancelled",0,IF(P558&lt;&gt;"",MAX(0,P558-O558),IF(T558&lt;&gt;"None",MAX(1,O558-B558-2),0)))</f>
        <v>0</v>
      </c>
      <c r="S558" s="26" t="s">
        <v>310</v>
      </c>
      <c r="T558" s="27" t="s">
        <v>317</v>
      </c>
    </row>
    <row r="559" customFormat="false" ht="15" hidden="false" customHeight="false" outlineLevel="0" collapsed="false">
      <c r="A559" s="18" t="s">
        <v>1268</v>
      </c>
      <c r="B559" s="25" t="n">
        <v>46135</v>
      </c>
      <c r="C559" s="18" t="s">
        <v>385</v>
      </c>
      <c r="D559" s="20" t="s">
        <v>872</v>
      </c>
      <c r="E559" s="18" t="s">
        <v>111</v>
      </c>
      <c r="F559" s="20" t="s">
        <v>76</v>
      </c>
      <c r="G559" s="18" t="s">
        <v>219</v>
      </c>
      <c r="H559" s="20" t="str">
        <f aca="false">VLOOKUP(G559,'Product Master'!$A$5:$K$104,2,FALSE())</f>
        <v>Pro Electronics Item 025</v>
      </c>
      <c r="I559" s="20" t="str">
        <f aca="false">VLOOKUP(G559,'Product Master'!$A$5:$K$104,3,FALSE())</f>
        <v>Electronics</v>
      </c>
      <c r="J559" s="17" t="n">
        <v>1</v>
      </c>
      <c r="K559" s="16" t="n">
        <v>9400.79</v>
      </c>
      <c r="L559" s="16" t="n">
        <f aca="false">J559*K559</f>
        <v>9400.79</v>
      </c>
      <c r="M559" s="18" t="s">
        <v>35</v>
      </c>
      <c r="N559" s="25" t="n">
        <v>46137</v>
      </c>
      <c r="O559" s="25" t="n">
        <v>46139</v>
      </c>
      <c r="P559" s="25" t="n">
        <v>46143</v>
      </c>
      <c r="Q559" s="17" t="n">
        <f aca="false">IF(P559&lt;&gt;"",MAX(1,P559-B559),IF(M559="Dispatched",MAX(1,O559-B559),0))</f>
        <v>8</v>
      </c>
      <c r="R559" s="17" t="n">
        <f aca="false">IF(M559="Cancelled",0,IF(P559&lt;&gt;"",MAX(0,P559-O559),IF(T559&lt;&gt;"None",MAX(1,O559-B559-2),0)))</f>
        <v>4</v>
      </c>
      <c r="S559" s="18" t="s">
        <v>310</v>
      </c>
      <c r="T559" s="20" t="s">
        <v>114</v>
      </c>
    </row>
    <row r="560" customFormat="false" ht="15" hidden="false" customHeight="false" outlineLevel="0" collapsed="false">
      <c r="A560" s="26" t="s">
        <v>1269</v>
      </c>
      <c r="B560" s="34" t="n">
        <v>46055</v>
      </c>
      <c r="C560" s="26" t="s">
        <v>331</v>
      </c>
      <c r="D560" s="27" t="s">
        <v>628</v>
      </c>
      <c r="E560" s="26" t="s">
        <v>111</v>
      </c>
      <c r="F560" s="27" t="s">
        <v>77</v>
      </c>
      <c r="G560" s="26" t="s">
        <v>286</v>
      </c>
      <c r="H560" s="27" t="str">
        <f aca="false">VLOOKUP(G560,'Product Master'!$A$5:$K$104,2,FALSE())</f>
        <v>Essential Personal Item 092</v>
      </c>
      <c r="I560" s="27" t="str">
        <f aca="false">VLOOKUP(G560,'Product Master'!$A$5:$K$104,3,FALSE())</f>
        <v>Personal Care</v>
      </c>
      <c r="J560" s="28" t="n">
        <v>16</v>
      </c>
      <c r="K560" s="29" t="n">
        <v>8774.84</v>
      </c>
      <c r="L560" s="29" t="n">
        <f aca="false">J560*K560</f>
        <v>140397.44</v>
      </c>
      <c r="M560" s="26" t="s">
        <v>41</v>
      </c>
      <c r="N560" s="34" t="n">
        <v>46056</v>
      </c>
      <c r="O560" s="34" t="n">
        <v>46059</v>
      </c>
      <c r="P560" s="34"/>
      <c r="Q560" s="28" t="n">
        <f aca="false">IF(P560&lt;&gt;"",MAX(1,P560-B560),IF(M560="Dispatched",MAX(1,O560-B560),0))</f>
        <v>4</v>
      </c>
      <c r="R560" s="28" t="n">
        <f aca="false">IF(M560="Cancelled",0,IF(P560&lt;&gt;"",MAX(0,P560-O560),IF(T560&lt;&gt;"None",MAX(1,O560-B560-2),0)))</f>
        <v>0</v>
      </c>
      <c r="S560" s="26" t="s">
        <v>310</v>
      </c>
      <c r="T560" s="27" t="s">
        <v>317</v>
      </c>
    </row>
    <row r="561" customFormat="false" ht="15" hidden="false" customHeight="false" outlineLevel="0" collapsed="false">
      <c r="A561" s="18" t="s">
        <v>1270</v>
      </c>
      <c r="B561" s="25" t="n">
        <v>46081</v>
      </c>
      <c r="C561" s="18" t="s">
        <v>1186</v>
      </c>
      <c r="D561" s="20" t="s">
        <v>856</v>
      </c>
      <c r="E561" s="18" t="s">
        <v>113</v>
      </c>
      <c r="F561" s="20" t="s">
        <v>79</v>
      </c>
      <c r="G561" s="18" t="s">
        <v>210</v>
      </c>
      <c r="H561" s="20" t="str">
        <f aca="false">VLOOKUP(G561,'Product Master'!$A$5:$K$104,2,FALSE())</f>
        <v>Pro Automotive Item 016</v>
      </c>
      <c r="I561" s="20" t="str">
        <f aca="false">VLOOKUP(G561,'Product Master'!$A$5:$K$104,3,FALSE())</f>
        <v>Automotive</v>
      </c>
      <c r="J561" s="17" t="n">
        <v>6</v>
      </c>
      <c r="K561" s="16" t="n">
        <v>5263.77</v>
      </c>
      <c r="L561" s="16" t="n">
        <f aca="false">J561*K561</f>
        <v>31582.62</v>
      </c>
      <c r="M561" s="18" t="s">
        <v>35</v>
      </c>
      <c r="N561" s="25" t="n">
        <v>46083</v>
      </c>
      <c r="O561" s="25" t="n">
        <v>46083</v>
      </c>
      <c r="P561" s="25" t="n">
        <v>46083</v>
      </c>
      <c r="Q561" s="17" t="n">
        <f aca="false">IF(P561&lt;&gt;"",MAX(1,P561-B561),IF(M561="Dispatched",MAX(1,O561-B561),0))</f>
        <v>2</v>
      </c>
      <c r="R561" s="17" t="n">
        <f aca="false">IF(M561="Cancelled",0,IF(P561&lt;&gt;"",MAX(0,P561-O561),IF(T561&lt;&gt;"None",MAX(1,O561-B561-2),0)))</f>
        <v>0</v>
      </c>
      <c r="S561" s="18" t="s">
        <v>310</v>
      </c>
      <c r="T561" s="20" t="s">
        <v>317</v>
      </c>
    </row>
    <row r="562" customFormat="false" ht="15" hidden="false" customHeight="false" outlineLevel="0" collapsed="false">
      <c r="A562" s="26" t="s">
        <v>1271</v>
      </c>
      <c r="B562" s="34" t="n">
        <v>45948</v>
      </c>
      <c r="C562" s="26" t="s">
        <v>757</v>
      </c>
      <c r="D562" s="27" t="s">
        <v>367</v>
      </c>
      <c r="E562" s="26" t="s">
        <v>113</v>
      </c>
      <c r="F562" s="27" t="s">
        <v>77</v>
      </c>
      <c r="G562" s="26" t="s">
        <v>281</v>
      </c>
      <c r="H562" s="27" t="str">
        <f aca="false">VLOOKUP(G562,'Product Master'!$A$5:$K$104,2,FALSE())</f>
        <v>Compact Apparel Item 087</v>
      </c>
      <c r="I562" s="27" t="str">
        <f aca="false">VLOOKUP(G562,'Product Master'!$A$5:$K$104,3,FALSE())</f>
        <v>Apparel</v>
      </c>
      <c r="J562" s="28" t="n">
        <v>15</v>
      </c>
      <c r="K562" s="29" t="n">
        <v>8400.02</v>
      </c>
      <c r="L562" s="29" t="n">
        <f aca="false">J562*K562</f>
        <v>126000.3</v>
      </c>
      <c r="M562" s="26" t="s">
        <v>37</v>
      </c>
      <c r="N562" s="34"/>
      <c r="O562" s="34" t="n">
        <v>45951</v>
      </c>
      <c r="P562" s="34"/>
      <c r="Q562" s="28" t="n">
        <f aca="false">IF(P562&lt;&gt;"",MAX(1,P562-B562),IF(M562="Dispatched",MAX(1,O562-B562),0))</f>
        <v>0</v>
      </c>
      <c r="R562" s="28" t="n">
        <f aca="false">IF(M562="Cancelled",0,IF(P562&lt;&gt;"",MAX(0,P562-O562),IF(T562&lt;&gt;"None",MAX(1,O562-B562-2),0)))</f>
        <v>1</v>
      </c>
      <c r="S562" s="26" t="s">
        <v>310</v>
      </c>
      <c r="T562" s="27" t="s">
        <v>116</v>
      </c>
    </row>
    <row r="563" customFormat="false" ht="15" hidden="false" customHeight="false" outlineLevel="0" collapsed="false">
      <c r="A563" s="18" t="s">
        <v>1272</v>
      </c>
      <c r="B563" s="25" t="n">
        <v>45933</v>
      </c>
      <c r="C563" s="18" t="s">
        <v>337</v>
      </c>
      <c r="D563" s="20" t="s">
        <v>494</v>
      </c>
      <c r="E563" s="18" t="s">
        <v>111</v>
      </c>
      <c r="F563" s="20" t="s">
        <v>77</v>
      </c>
      <c r="G563" s="18" t="s">
        <v>201</v>
      </c>
      <c r="H563" s="20" t="str">
        <f aca="false">VLOOKUP(G563,'Product Master'!$A$5:$K$104,2,FALSE())</f>
        <v>Everyday Apparel Item 007</v>
      </c>
      <c r="I563" s="20" t="str">
        <f aca="false">VLOOKUP(G563,'Product Master'!$A$5:$K$104,3,FALSE())</f>
        <v>Apparel</v>
      </c>
      <c r="J563" s="17" t="n">
        <v>8</v>
      </c>
      <c r="K563" s="16" t="n">
        <v>10301.86</v>
      </c>
      <c r="L563" s="16" t="n">
        <f aca="false">J563*K563</f>
        <v>82414.88</v>
      </c>
      <c r="M563" s="18" t="s">
        <v>35</v>
      </c>
      <c r="N563" s="25" t="n">
        <v>45934</v>
      </c>
      <c r="O563" s="25" t="n">
        <v>45938</v>
      </c>
      <c r="P563" s="25" t="n">
        <v>45936</v>
      </c>
      <c r="Q563" s="17" t="n">
        <f aca="false">IF(P563&lt;&gt;"",MAX(1,P563-B563),IF(M563="Dispatched",MAX(1,O563-B563),0))</f>
        <v>3</v>
      </c>
      <c r="R563" s="17" t="n">
        <f aca="false">IF(M563="Cancelled",0,IF(P563&lt;&gt;"",MAX(0,P563-O563),IF(T563&lt;&gt;"None",MAX(1,O563-B563-2),0)))</f>
        <v>0</v>
      </c>
      <c r="S563" s="18" t="s">
        <v>339</v>
      </c>
      <c r="T563" s="20" t="s">
        <v>317</v>
      </c>
    </row>
    <row r="564" customFormat="false" ht="15" hidden="false" customHeight="false" outlineLevel="0" collapsed="false">
      <c r="A564" s="26" t="s">
        <v>1273</v>
      </c>
      <c r="B564" s="34" t="n">
        <v>46103</v>
      </c>
      <c r="C564" s="26" t="s">
        <v>350</v>
      </c>
      <c r="D564" s="27" t="s">
        <v>1219</v>
      </c>
      <c r="E564" s="26" t="s">
        <v>105</v>
      </c>
      <c r="F564" s="27" t="s">
        <v>77</v>
      </c>
      <c r="G564" s="26" t="s">
        <v>219</v>
      </c>
      <c r="H564" s="27" t="str">
        <f aca="false">VLOOKUP(G564,'Product Master'!$A$5:$K$104,2,FALSE())</f>
        <v>Pro Electronics Item 025</v>
      </c>
      <c r="I564" s="27" t="str">
        <f aca="false">VLOOKUP(G564,'Product Master'!$A$5:$K$104,3,FALSE())</f>
        <v>Electronics</v>
      </c>
      <c r="J564" s="28" t="n">
        <v>4</v>
      </c>
      <c r="K564" s="29" t="n">
        <v>9400.79</v>
      </c>
      <c r="L564" s="29" t="n">
        <f aca="false">J564*K564</f>
        <v>37603.16</v>
      </c>
      <c r="M564" s="26" t="s">
        <v>39</v>
      </c>
      <c r="N564" s="34"/>
      <c r="O564" s="34" t="n">
        <v>46107</v>
      </c>
      <c r="P564" s="34"/>
      <c r="Q564" s="28" t="n">
        <f aca="false">IF(P564&lt;&gt;"",MAX(1,P564-B564),IF(M564="Dispatched",MAX(1,O564-B564),0))</f>
        <v>0</v>
      </c>
      <c r="R564" s="28" t="n">
        <f aca="false">IF(M564="Cancelled",0,IF(P564&lt;&gt;"",MAX(0,P564-O564),IF(T564&lt;&gt;"None",MAX(1,O564-B564-2),0)))</f>
        <v>2</v>
      </c>
      <c r="S564" s="26" t="s">
        <v>310</v>
      </c>
      <c r="T564" s="27" t="s">
        <v>106</v>
      </c>
    </row>
    <row r="565" customFormat="false" ht="15" hidden="false" customHeight="false" outlineLevel="0" collapsed="false">
      <c r="A565" s="18" t="s">
        <v>1274</v>
      </c>
      <c r="B565" s="25" t="n">
        <v>46098</v>
      </c>
      <c r="C565" s="18" t="s">
        <v>891</v>
      </c>
      <c r="D565" s="20" t="s">
        <v>838</v>
      </c>
      <c r="E565" s="18" t="s">
        <v>113</v>
      </c>
      <c r="F565" s="20" t="s">
        <v>77</v>
      </c>
      <c r="G565" s="18" t="s">
        <v>236</v>
      </c>
      <c r="H565" s="20" t="str">
        <f aca="false">VLOOKUP(G565,'Product Master'!$A$5:$K$104,2,FALSE())</f>
        <v>Compact Home Item 042</v>
      </c>
      <c r="I565" s="20" t="str">
        <f aca="false">VLOOKUP(G565,'Product Master'!$A$5:$K$104,3,FALSE())</f>
        <v>Home &amp; Kitchen</v>
      </c>
      <c r="J565" s="17" t="n">
        <v>20</v>
      </c>
      <c r="K565" s="16" t="n">
        <v>5892.15</v>
      </c>
      <c r="L565" s="16" t="n">
        <f aca="false">J565*K565</f>
        <v>117843</v>
      </c>
      <c r="M565" s="18" t="s">
        <v>35</v>
      </c>
      <c r="N565" s="25" t="n">
        <v>46101</v>
      </c>
      <c r="O565" s="25" t="n">
        <v>46106</v>
      </c>
      <c r="P565" s="25" t="n">
        <v>46104</v>
      </c>
      <c r="Q565" s="17" t="n">
        <f aca="false">IF(P565&lt;&gt;"",MAX(1,P565-B565),IF(M565="Dispatched",MAX(1,O565-B565),0))</f>
        <v>6</v>
      </c>
      <c r="R565" s="17" t="n">
        <f aca="false">IF(M565="Cancelled",0,IF(P565&lt;&gt;"",MAX(0,P565-O565),IF(T565&lt;&gt;"None",MAX(1,O565-B565-2),0)))</f>
        <v>0</v>
      </c>
      <c r="S565" s="18" t="s">
        <v>310</v>
      </c>
      <c r="T565" s="20" t="s">
        <v>317</v>
      </c>
    </row>
    <row r="566" customFormat="false" ht="15" hidden="false" customHeight="false" outlineLevel="0" collapsed="false">
      <c r="A566" s="26" t="s">
        <v>1275</v>
      </c>
      <c r="B566" s="34" t="n">
        <v>46019</v>
      </c>
      <c r="C566" s="26" t="s">
        <v>387</v>
      </c>
      <c r="D566" s="27" t="s">
        <v>561</v>
      </c>
      <c r="E566" s="26" t="s">
        <v>111</v>
      </c>
      <c r="F566" s="27" t="s">
        <v>78</v>
      </c>
      <c r="G566" s="26" t="s">
        <v>196</v>
      </c>
      <c r="H566" s="27" t="str">
        <f aca="false">VLOOKUP(G566,'Product Master'!$A$5:$K$104,2,FALSE())</f>
        <v>Premium Home Item 002</v>
      </c>
      <c r="I566" s="27" t="str">
        <f aca="false">VLOOKUP(G566,'Product Master'!$A$5:$K$104,3,FALSE())</f>
        <v>Home &amp; Kitchen</v>
      </c>
      <c r="J566" s="28" t="n">
        <v>1</v>
      </c>
      <c r="K566" s="29" t="n">
        <v>9429.37</v>
      </c>
      <c r="L566" s="29" t="n">
        <f aca="false">J566*K566</f>
        <v>9429.37</v>
      </c>
      <c r="M566" s="26" t="s">
        <v>35</v>
      </c>
      <c r="N566" s="34" t="n">
        <v>46020</v>
      </c>
      <c r="O566" s="34" t="n">
        <v>46028</v>
      </c>
      <c r="P566" s="34" t="n">
        <v>46026</v>
      </c>
      <c r="Q566" s="28" t="n">
        <f aca="false">IF(P566&lt;&gt;"",MAX(1,P566-B566),IF(M566="Dispatched",MAX(1,O566-B566),0))</f>
        <v>7</v>
      </c>
      <c r="R566" s="28" t="n">
        <f aca="false">IF(M566="Cancelled",0,IF(P566&lt;&gt;"",MAX(0,P566-O566),IF(T566&lt;&gt;"None",MAX(1,O566-B566-2),0)))</f>
        <v>0</v>
      </c>
      <c r="S566" s="26" t="s">
        <v>310</v>
      </c>
      <c r="T566" s="27" t="s">
        <v>317</v>
      </c>
    </row>
    <row r="567" customFormat="false" ht="15" hidden="false" customHeight="false" outlineLevel="0" collapsed="false">
      <c r="A567" s="18" t="s">
        <v>1276</v>
      </c>
      <c r="B567" s="25" t="n">
        <v>45953</v>
      </c>
      <c r="C567" s="18" t="s">
        <v>900</v>
      </c>
      <c r="D567" s="20" t="s">
        <v>973</v>
      </c>
      <c r="E567" s="18" t="s">
        <v>107</v>
      </c>
      <c r="F567" s="20" t="s">
        <v>79</v>
      </c>
      <c r="G567" s="18" t="s">
        <v>203</v>
      </c>
      <c r="H567" s="20" t="str">
        <f aca="false">VLOOKUP(G567,'Product Master'!$A$5:$K$104,2,FALSE())</f>
        <v>Essential Electronics Item 009</v>
      </c>
      <c r="I567" s="20" t="str">
        <f aca="false">VLOOKUP(G567,'Product Master'!$A$5:$K$104,3,FALSE())</f>
        <v>Electronics</v>
      </c>
      <c r="J567" s="17" t="n">
        <v>10</v>
      </c>
      <c r="K567" s="16" t="n">
        <v>5778.46</v>
      </c>
      <c r="L567" s="16" t="n">
        <f aca="false">J567*K567</f>
        <v>57784.6</v>
      </c>
      <c r="M567" s="18" t="s">
        <v>39</v>
      </c>
      <c r="N567" s="25"/>
      <c r="O567" s="25" t="n">
        <v>45962</v>
      </c>
      <c r="P567" s="25"/>
      <c r="Q567" s="17" t="n">
        <f aca="false">IF(P567&lt;&gt;"",MAX(1,P567-B567),IF(M567="Dispatched",MAX(1,O567-B567),0))</f>
        <v>0</v>
      </c>
      <c r="R567" s="17" t="n">
        <f aca="false">IF(M567="Cancelled",0,IF(P567&lt;&gt;"",MAX(0,P567-O567),IF(T567&lt;&gt;"None",MAX(1,O567-B567-2),0)))</f>
        <v>0</v>
      </c>
      <c r="S567" s="18" t="s">
        <v>339</v>
      </c>
      <c r="T567" s="20" t="s">
        <v>317</v>
      </c>
    </row>
    <row r="568" customFormat="false" ht="15" hidden="false" customHeight="false" outlineLevel="0" collapsed="false">
      <c r="A568" s="26" t="s">
        <v>1277</v>
      </c>
      <c r="B568" s="34" t="n">
        <v>46238</v>
      </c>
      <c r="C568" s="26" t="s">
        <v>880</v>
      </c>
      <c r="D568" s="27" t="s">
        <v>628</v>
      </c>
      <c r="E568" s="26" t="s">
        <v>111</v>
      </c>
      <c r="F568" s="27" t="s">
        <v>77</v>
      </c>
      <c r="G568" s="26" t="s">
        <v>236</v>
      </c>
      <c r="H568" s="27" t="str">
        <f aca="false">VLOOKUP(G568,'Product Master'!$A$5:$K$104,2,FALSE())</f>
        <v>Compact Home Item 042</v>
      </c>
      <c r="I568" s="27" t="str">
        <f aca="false">VLOOKUP(G568,'Product Master'!$A$5:$K$104,3,FALSE())</f>
        <v>Home &amp; Kitchen</v>
      </c>
      <c r="J568" s="28" t="n">
        <v>11</v>
      </c>
      <c r="K568" s="29" t="n">
        <v>5892.15</v>
      </c>
      <c r="L568" s="29" t="n">
        <f aca="false">J568*K568</f>
        <v>64813.65</v>
      </c>
      <c r="M568" s="26" t="s">
        <v>35</v>
      </c>
      <c r="N568" s="34" t="n">
        <v>46241</v>
      </c>
      <c r="O568" s="34" t="n">
        <v>46245</v>
      </c>
      <c r="P568" s="34" t="n">
        <v>46243</v>
      </c>
      <c r="Q568" s="28" t="n">
        <f aca="false">IF(P568&lt;&gt;"",MAX(1,P568-B568),IF(M568="Dispatched",MAX(1,O568-B568),0))</f>
        <v>5</v>
      </c>
      <c r="R568" s="28" t="n">
        <f aca="false">IF(M568="Cancelled",0,IF(P568&lt;&gt;"",MAX(0,P568-O568),IF(T568&lt;&gt;"None",MAX(1,O568-B568-2),0)))</f>
        <v>0</v>
      </c>
      <c r="S568" s="26" t="s">
        <v>352</v>
      </c>
      <c r="T568" s="27" t="s">
        <v>317</v>
      </c>
    </row>
    <row r="569" customFormat="false" ht="15" hidden="false" customHeight="false" outlineLevel="0" collapsed="false">
      <c r="A569" s="18" t="s">
        <v>1278</v>
      </c>
      <c r="B569" s="25" t="n">
        <v>46160</v>
      </c>
      <c r="C569" s="18" t="s">
        <v>538</v>
      </c>
      <c r="D569" s="20" t="s">
        <v>425</v>
      </c>
      <c r="E569" s="18" t="s">
        <v>113</v>
      </c>
      <c r="F569" s="20" t="s">
        <v>77</v>
      </c>
      <c r="G569" s="18" t="s">
        <v>243</v>
      </c>
      <c r="H569" s="20" t="str">
        <f aca="false">VLOOKUP(G569,'Product Master'!$A$5:$K$104,2,FALSE())</f>
        <v>Premium Electronics Item 049</v>
      </c>
      <c r="I569" s="20" t="str">
        <f aca="false">VLOOKUP(G569,'Product Master'!$A$5:$K$104,3,FALSE())</f>
        <v>Electronics</v>
      </c>
      <c r="J569" s="17" t="n">
        <v>17</v>
      </c>
      <c r="K569" s="16" t="n">
        <v>8712.18</v>
      </c>
      <c r="L569" s="16" t="n">
        <f aca="false">J569*K569</f>
        <v>148107.06</v>
      </c>
      <c r="M569" s="18" t="s">
        <v>37</v>
      </c>
      <c r="N569" s="25"/>
      <c r="O569" s="25" t="n">
        <v>46162</v>
      </c>
      <c r="P569" s="25"/>
      <c r="Q569" s="17" t="n">
        <f aca="false">IF(P569&lt;&gt;"",MAX(1,P569-B569),IF(M569="Dispatched",MAX(1,O569-B569),0))</f>
        <v>0</v>
      </c>
      <c r="R569" s="17" t="n">
        <f aca="false">IF(M569="Cancelled",0,IF(P569&lt;&gt;"",MAX(0,P569-O569),IF(T569&lt;&gt;"None",MAX(1,O569-B569-2),0)))</f>
        <v>0</v>
      </c>
      <c r="S569" s="18" t="s">
        <v>310</v>
      </c>
      <c r="T569" s="20" t="s">
        <v>317</v>
      </c>
    </row>
    <row r="570" customFormat="false" ht="15" hidden="false" customHeight="false" outlineLevel="0" collapsed="false">
      <c r="A570" s="26" t="s">
        <v>1279</v>
      </c>
      <c r="B570" s="34" t="n">
        <v>46150</v>
      </c>
      <c r="C570" s="26" t="s">
        <v>931</v>
      </c>
      <c r="D570" s="27" t="s">
        <v>457</v>
      </c>
      <c r="E570" s="26" t="s">
        <v>107</v>
      </c>
      <c r="F570" s="27" t="s">
        <v>80</v>
      </c>
      <c r="G570" s="26" t="s">
        <v>291</v>
      </c>
      <c r="H570" s="27" t="str">
        <f aca="false">VLOOKUP(G570,'Product Master'!$A$5:$K$104,2,FALSE())</f>
        <v>Smart Electronics Item 097</v>
      </c>
      <c r="I570" s="27" t="str">
        <f aca="false">VLOOKUP(G570,'Product Master'!$A$5:$K$104,3,FALSE())</f>
        <v>Electronics</v>
      </c>
      <c r="J570" s="28" t="n">
        <v>3</v>
      </c>
      <c r="K570" s="29" t="n">
        <v>1924.42</v>
      </c>
      <c r="L570" s="29" t="n">
        <f aca="false">J570*K570</f>
        <v>5773.26</v>
      </c>
      <c r="M570" s="26" t="s">
        <v>35</v>
      </c>
      <c r="N570" s="34" t="n">
        <v>46153</v>
      </c>
      <c r="O570" s="34" t="n">
        <v>46157</v>
      </c>
      <c r="P570" s="34" t="n">
        <v>46157</v>
      </c>
      <c r="Q570" s="28" t="n">
        <f aca="false">IF(P570&lt;&gt;"",MAX(1,P570-B570),IF(M570="Dispatched",MAX(1,O570-B570),0))</f>
        <v>7</v>
      </c>
      <c r="R570" s="28" t="n">
        <f aca="false">IF(M570="Cancelled",0,IF(P570&lt;&gt;"",MAX(0,P570-O570),IF(T570&lt;&gt;"None",MAX(1,O570-B570-2),0)))</f>
        <v>0</v>
      </c>
      <c r="S570" s="26" t="s">
        <v>310</v>
      </c>
      <c r="T570" s="27" t="s">
        <v>317</v>
      </c>
    </row>
    <row r="571" customFormat="false" ht="15" hidden="false" customHeight="false" outlineLevel="0" collapsed="false">
      <c r="A571" s="18" t="s">
        <v>1280</v>
      </c>
      <c r="B571" s="25" t="n">
        <v>45950</v>
      </c>
      <c r="C571" s="18" t="s">
        <v>554</v>
      </c>
      <c r="D571" s="20" t="s">
        <v>819</v>
      </c>
      <c r="E571" s="18" t="s">
        <v>113</v>
      </c>
      <c r="F571" s="20" t="s">
        <v>79</v>
      </c>
      <c r="G571" s="18" t="s">
        <v>225</v>
      </c>
      <c r="H571" s="20" t="str">
        <f aca="false">VLOOKUP(G571,'Product Master'!$A$5:$K$104,2,FALSE())</f>
        <v>Essential Apparel Item 031</v>
      </c>
      <c r="I571" s="20" t="str">
        <f aca="false">VLOOKUP(G571,'Product Master'!$A$5:$K$104,3,FALSE())</f>
        <v>Apparel</v>
      </c>
      <c r="J571" s="17" t="n">
        <v>24</v>
      </c>
      <c r="K571" s="16" t="n">
        <v>11597.85</v>
      </c>
      <c r="L571" s="16" t="n">
        <f aca="false">J571*K571</f>
        <v>278348.4</v>
      </c>
      <c r="M571" s="18" t="s">
        <v>41</v>
      </c>
      <c r="N571" s="25" t="n">
        <v>45952</v>
      </c>
      <c r="O571" s="25" t="n">
        <v>45954</v>
      </c>
      <c r="P571" s="25"/>
      <c r="Q571" s="17" t="n">
        <f aca="false">IF(P571&lt;&gt;"",MAX(1,P571-B571),IF(M571="Dispatched",MAX(1,O571-B571),0))</f>
        <v>4</v>
      </c>
      <c r="R571" s="17" t="n">
        <f aca="false">IF(M571="Cancelled",0,IF(P571&lt;&gt;"",MAX(0,P571-O571),IF(T571&lt;&gt;"None",MAX(1,O571-B571-2),0)))</f>
        <v>0</v>
      </c>
      <c r="S571" s="18" t="s">
        <v>37</v>
      </c>
      <c r="T571" s="20" t="s">
        <v>317</v>
      </c>
    </row>
    <row r="572" customFormat="false" ht="15" hidden="false" customHeight="false" outlineLevel="0" collapsed="false">
      <c r="A572" s="26" t="s">
        <v>1281</v>
      </c>
      <c r="B572" s="34" t="n">
        <v>46143</v>
      </c>
      <c r="C572" s="26" t="s">
        <v>475</v>
      </c>
      <c r="D572" s="27" t="s">
        <v>497</v>
      </c>
      <c r="E572" s="26" t="s">
        <v>109</v>
      </c>
      <c r="F572" s="27" t="s">
        <v>76</v>
      </c>
      <c r="G572" s="26" t="s">
        <v>277</v>
      </c>
      <c r="H572" s="27" t="str">
        <f aca="false">VLOOKUP(G572,'Product Master'!$A$5:$K$104,2,FALSE())</f>
        <v>Essential Office Item 083</v>
      </c>
      <c r="I572" s="27" t="str">
        <f aca="false">VLOOKUP(G572,'Product Master'!$A$5:$K$104,3,FALSE())</f>
        <v>Office Supplies</v>
      </c>
      <c r="J572" s="28" t="n">
        <v>8</v>
      </c>
      <c r="K572" s="29" t="n">
        <v>4117.89</v>
      </c>
      <c r="L572" s="29" t="n">
        <f aca="false">J572*K572</f>
        <v>32943.12</v>
      </c>
      <c r="M572" s="26" t="s">
        <v>41</v>
      </c>
      <c r="N572" s="34" t="n">
        <v>46145</v>
      </c>
      <c r="O572" s="34" t="n">
        <v>46150</v>
      </c>
      <c r="P572" s="34"/>
      <c r="Q572" s="28" t="n">
        <f aca="false">IF(P572&lt;&gt;"",MAX(1,P572-B572),IF(M572="Dispatched",MAX(1,O572-B572),0))</f>
        <v>7</v>
      </c>
      <c r="R572" s="28" t="n">
        <f aca="false">IF(M572="Cancelled",0,IF(P572&lt;&gt;"",MAX(0,P572-O572),IF(T572&lt;&gt;"None",MAX(1,O572-B572-2),0)))</f>
        <v>0</v>
      </c>
      <c r="S572" s="26" t="s">
        <v>310</v>
      </c>
      <c r="T572" s="27" t="s">
        <v>317</v>
      </c>
    </row>
    <row r="573" customFormat="false" ht="15" hidden="false" customHeight="false" outlineLevel="0" collapsed="false">
      <c r="A573" s="18" t="s">
        <v>1282</v>
      </c>
      <c r="B573" s="25" t="n">
        <v>46271</v>
      </c>
      <c r="C573" s="18" t="s">
        <v>517</v>
      </c>
      <c r="D573" s="20" t="s">
        <v>1060</v>
      </c>
      <c r="E573" s="18" t="s">
        <v>107</v>
      </c>
      <c r="F573" s="20" t="s">
        <v>80</v>
      </c>
      <c r="G573" s="18" t="s">
        <v>226</v>
      </c>
      <c r="H573" s="20" t="str">
        <f aca="false">VLOOKUP(G573,'Product Master'!$A$5:$K$104,2,FALSE())</f>
        <v>Smart Automotive Item 032</v>
      </c>
      <c r="I573" s="20" t="str">
        <f aca="false">VLOOKUP(G573,'Product Master'!$A$5:$K$104,3,FALSE())</f>
        <v>Automotive</v>
      </c>
      <c r="J573" s="17" t="n">
        <v>13</v>
      </c>
      <c r="K573" s="16" t="n">
        <v>10211.16</v>
      </c>
      <c r="L573" s="16" t="n">
        <f aca="false">J573*K573</f>
        <v>132745.08</v>
      </c>
      <c r="M573" s="18" t="s">
        <v>35</v>
      </c>
      <c r="N573" s="25" t="n">
        <v>46274</v>
      </c>
      <c r="O573" s="25" t="n">
        <v>46275</v>
      </c>
      <c r="P573" s="25" t="n">
        <v>46275</v>
      </c>
      <c r="Q573" s="17" t="n">
        <f aca="false">IF(P573&lt;&gt;"",MAX(1,P573-B573),IF(M573="Dispatched",MAX(1,O573-B573),0))</f>
        <v>4</v>
      </c>
      <c r="R573" s="17" t="n">
        <f aca="false">IF(M573="Cancelled",0,IF(P573&lt;&gt;"",MAX(0,P573-O573),IF(T573&lt;&gt;"None",MAX(1,O573-B573-2),0)))</f>
        <v>0</v>
      </c>
      <c r="S573" s="18" t="s">
        <v>339</v>
      </c>
      <c r="T573" s="20" t="s">
        <v>317</v>
      </c>
    </row>
    <row r="574" customFormat="false" ht="15" hidden="false" customHeight="false" outlineLevel="0" collapsed="false">
      <c r="A574" s="26" t="s">
        <v>1283</v>
      </c>
      <c r="B574" s="34" t="n">
        <v>45957</v>
      </c>
      <c r="C574" s="26" t="s">
        <v>459</v>
      </c>
      <c r="D574" s="27" t="s">
        <v>1038</v>
      </c>
      <c r="E574" s="26" t="s">
        <v>107</v>
      </c>
      <c r="F574" s="27" t="s">
        <v>77</v>
      </c>
      <c r="G574" s="26" t="s">
        <v>276</v>
      </c>
      <c r="H574" s="27" t="str">
        <f aca="false">VLOOKUP(G574,'Product Master'!$A$5:$K$104,2,FALSE())</f>
        <v>Compact Home Item 082</v>
      </c>
      <c r="I574" s="27" t="str">
        <f aca="false">VLOOKUP(G574,'Product Master'!$A$5:$K$104,3,FALSE())</f>
        <v>Home &amp; Kitchen</v>
      </c>
      <c r="J574" s="28" t="n">
        <v>5</v>
      </c>
      <c r="K574" s="29" t="n">
        <v>3454.52</v>
      </c>
      <c r="L574" s="29" t="n">
        <f aca="false">J574*K574</f>
        <v>17272.6</v>
      </c>
      <c r="M574" s="26" t="s">
        <v>35</v>
      </c>
      <c r="N574" s="34" t="n">
        <v>45958</v>
      </c>
      <c r="O574" s="34" t="n">
        <v>45962</v>
      </c>
      <c r="P574" s="34" t="n">
        <v>45970</v>
      </c>
      <c r="Q574" s="28" t="n">
        <f aca="false">IF(P574&lt;&gt;"",MAX(1,P574-B574),IF(M574="Dispatched",MAX(1,O574-B574),0))</f>
        <v>13</v>
      </c>
      <c r="R574" s="28" t="n">
        <f aca="false">IF(M574="Cancelled",0,IF(P574&lt;&gt;"",MAX(0,P574-O574),IF(T574&lt;&gt;"None",MAX(1,O574-B574-2),0)))</f>
        <v>8</v>
      </c>
      <c r="S574" s="26" t="s">
        <v>310</v>
      </c>
      <c r="T574" s="27" t="s">
        <v>115</v>
      </c>
    </row>
    <row r="575" customFormat="false" ht="15" hidden="false" customHeight="false" outlineLevel="0" collapsed="false">
      <c r="A575" s="18" t="s">
        <v>1284</v>
      </c>
      <c r="B575" s="25" t="n">
        <v>46032</v>
      </c>
      <c r="C575" s="18" t="s">
        <v>1285</v>
      </c>
      <c r="D575" s="20" t="s">
        <v>1060</v>
      </c>
      <c r="E575" s="18" t="s">
        <v>111</v>
      </c>
      <c r="F575" s="20" t="s">
        <v>77</v>
      </c>
      <c r="G575" s="18" t="s">
        <v>226</v>
      </c>
      <c r="H575" s="20" t="str">
        <f aca="false">VLOOKUP(G575,'Product Master'!$A$5:$K$104,2,FALSE())</f>
        <v>Smart Automotive Item 032</v>
      </c>
      <c r="I575" s="20" t="str">
        <f aca="false">VLOOKUP(G575,'Product Master'!$A$5:$K$104,3,FALSE())</f>
        <v>Automotive</v>
      </c>
      <c r="J575" s="17" t="n">
        <v>20</v>
      </c>
      <c r="K575" s="16" t="n">
        <v>10211.16</v>
      </c>
      <c r="L575" s="16" t="n">
        <f aca="false">J575*K575</f>
        <v>204223.2</v>
      </c>
      <c r="M575" s="18" t="s">
        <v>35</v>
      </c>
      <c r="N575" s="25" t="n">
        <v>46035</v>
      </c>
      <c r="O575" s="25" t="n">
        <v>46038</v>
      </c>
      <c r="P575" s="25" t="n">
        <v>46038</v>
      </c>
      <c r="Q575" s="17" t="n">
        <f aca="false">IF(P575&lt;&gt;"",MAX(1,P575-B575),IF(M575="Dispatched",MAX(1,O575-B575),0))</f>
        <v>6</v>
      </c>
      <c r="R575" s="17" t="n">
        <f aca="false">IF(M575="Cancelled",0,IF(P575&lt;&gt;"",MAX(0,P575-O575),IF(T575&lt;&gt;"None",MAX(1,O575-B575-2),0)))</f>
        <v>0</v>
      </c>
      <c r="S575" s="18" t="s">
        <v>339</v>
      </c>
      <c r="T575" s="20" t="s">
        <v>317</v>
      </c>
    </row>
    <row r="576" customFormat="false" ht="15" hidden="false" customHeight="false" outlineLevel="0" collapsed="false">
      <c r="A576" s="26" t="s">
        <v>1286</v>
      </c>
      <c r="B576" s="34" t="n">
        <v>46115</v>
      </c>
      <c r="C576" s="26" t="s">
        <v>468</v>
      </c>
      <c r="D576" s="27" t="s">
        <v>705</v>
      </c>
      <c r="E576" s="26" t="s">
        <v>111</v>
      </c>
      <c r="F576" s="27" t="s">
        <v>77</v>
      </c>
      <c r="G576" s="26" t="s">
        <v>245</v>
      </c>
      <c r="H576" s="27" t="str">
        <f aca="false">VLOOKUP(G576,'Product Master'!$A$5:$K$104,2,FALSE())</f>
        <v>Classic Office Item 051</v>
      </c>
      <c r="I576" s="27" t="str">
        <f aca="false">VLOOKUP(G576,'Product Master'!$A$5:$K$104,3,FALSE())</f>
        <v>Office Supplies</v>
      </c>
      <c r="J576" s="28" t="n">
        <v>16</v>
      </c>
      <c r="K576" s="29" t="n">
        <v>4705.56</v>
      </c>
      <c r="L576" s="29" t="n">
        <f aca="false">J576*K576</f>
        <v>75288.96</v>
      </c>
      <c r="M576" s="26" t="s">
        <v>35</v>
      </c>
      <c r="N576" s="34" t="n">
        <v>46116</v>
      </c>
      <c r="O576" s="34" t="n">
        <v>46123</v>
      </c>
      <c r="P576" s="34" t="n">
        <v>46127</v>
      </c>
      <c r="Q576" s="28" t="n">
        <f aca="false">IF(P576&lt;&gt;"",MAX(1,P576-B576),IF(M576="Dispatched",MAX(1,O576-B576),0))</f>
        <v>12</v>
      </c>
      <c r="R576" s="28" t="n">
        <f aca="false">IF(M576="Cancelled",0,IF(P576&lt;&gt;"",MAX(0,P576-O576),IF(T576&lt;&gt;"None",MAX(1,O576-B576-2),0)))</f>
        <v>4</v>
      </c>
      <c r="S576" s="26" t="s">
        <v>352</v>
      </c>
      <c r="T576" s="27" t="s">
        <v>115</v>
      </c>
    </row>
    <row r="577" customFormat="false" ht="15" hidden="false" customHeight="false" outlineLevel="0" collapsed="false">
      <c r="A577" s="18" t="s">
        <v>1287</v>
      </c>
      <c r="B577" s="25" t="n">
        <v>46084</v>
      </c>
      <c r="C577" s="18" t="s">
        <v>385</v>
      </c>
      <c r="D577" s="20" t="s">
        <v>367</v>
      </c>
      <c r="E577" s="18" t="s">
        <v>113</v>
      </c>
      <c r="F577" s="20" t="s">
        <v>77</v>
      </c>
      <c r="G577" s="18" t="s">
        <v>271</v>
      </c>
      <c r="H577" s="20" t="str">
        <f aca="false">VLOOKUP(G577,'Product Master'!$A$5:$K$104,2,FALSE())</f>
        <v>Everyday Industrial Item 077</v>
      </c>
      <c r="I577" s="20" t="str">
        <f aca="false">VLOOKUP(G577,'Product Master'!$A$5:$K$104,3,FALSE())</f>
        <v>Industrial</v>
      </c>
      <c r="J577" s="17" t="n">
        <v>18</v>
      </c>
      <c r="K577" s="16" t="n">
        <v>3653.35</v>
      </c>
      <c r="L577" s="16" t="n">
        <f aca="false">J577*K577</f>
        <v>65760.3</v>
      </c>
      <c r="M577" s="18" t="s">
        <v>39</v>
      </c>
      <c r="N577" s="25"/>
      <c r="O577" s="25" t="n">
        <v>46090</v>
      </c>
      <c r="P577" s="25"/>
      <c r="Q577" s="17" t="n">
        <f aca="false">IF(P577&lt;&gt;"",MAX(1,P577-B577),IF(M577="Dispatched",MAX(1,O577-B577),0))</f>
        <v>0</v>
      </c>
      <c r="R577" s="17" t="n">
        <f aca="false">IF(M577="Cancelled",0,IF(P577&lt;&gt;"",MAX(0,P577-O577),IF(T577&lt;&gt;"None",MAX(1,O577-B577-2),0)))</f>
        <v>0</v>
      </c>
      <c r="S577" s="18" t="s">
        <v>310</v>
      </c>
      <c r="T577" s="20" t="s">
        <v>317</v>
      </c>
    </row>
    <row r="578" customFormat="false" ht="15" hidden="false" customHeight="false" outlineLevel="0" collapsed="false">
      <c r="A578" s="26" t="s">
        <v>1288</v>
      </c>
      <c r="B578" s="34" t="n">
        <v>46218</v>
      </c>
      <c r="C578" s="26" t="s">
        <v>816</v>
      </c>
      <c r="D578" s="27" t="s">
        <v>630</v>
      </c>
      <c r="E578" s="26" t="s">
        <v>111</v>
      </c>
      <c r="F578" s="27" t="s">
        <v>76</v>
      </c>
      <c r="G578" s="26" t="s">
        <v>272</v>
      </c>
      <c r="H578" s="27" t="str">
        <f aca="false">VLOOKUP(G578,'Product Master'!$A$5:$K$104,2,FALSE())</f>
        <v>Smart Packaging Item 078</v>
      </c>
      <c r="I578" s="27" t="str">
        <f aca="false">VLOOKUP(G578,'Product Master'!$A$5:$K$104,3,FALSE())</f>
        <v>Packaging</v>
      </c>
      <c r="J578" s="28" t="n">
        <v>11</v>
      </c>
      <c r="K578" s="29" t="n">
        <v>627.95</v>
      </c>
      <c r="L578" s="29" t="n">
        <f aca="false">J578*K578</f>
        <v>6907.45</v>
      </c>
      <c r="M578" s="26" t="s">
        <v>35</v>
      </c>
      <c r="N578" s="34" t="n">
        <v>46219</v>
      </c>
      <c r="O578" s="34" t="n">
        <v>46227</v>
      </c>
      <c r="P578" s="34" t="n">
        <v>46226</v>
      </c>
      <c r="Q578" s="28" t="n">
        <f aca="false">IF(P578&lt;&gt;"",MAX(1,P578-B578),IF(M578="Dispatched",MAX(1,O578-B578),0))</f>
        <v>8</v>
      </c>
      <c r="R578" s="28" t="n">
        <f aca="false">IF(M578="Cancelled",0,IF(P578&lt;&gt;"",MAX(0,P578-O578),IF(T578&lt;&gt;"None",MAX(1,O578-B578-2),0)))</f>
        <v>0</v>
      </c>
      <c r="S578" s="26" t="s">
        <v>352</v>
      </c>
      <c r="T578" s="27" t="s">
        <v>317</v>
      </c>
    </row>
    <row r="579" customFormat="false" ht="15" hidden="false" customHeight="false" outlineLevel="0" collapsed="false">
      <c r="A579" s="18" t="s">
        <v>1289</v>
      </c>
      <c r="B579" s="25" t="n">
        <v>46304</v>
      </c>
      <c r="C579" s="18" t="s">
        <v>685</v>
      </c>
      <c r="D579" s="20" t="s">
        <v>851</v>
      </c>
      <c r="E579" s="18" t="s">
        <v>109</v>
      </c>
      <c r="F579" s="20" t="s">
        <v>79</v>
      </c>
      <c r="G579" s="18" t="s">
        <v>287</v>
      </c>
      <c r="H579" s="20" t="str">
        <f aca="false">VLOOKUP(G579,'Product Master'!$A$5:$K$104,2,FALSE())</f>
        <v>Compact Industrial Item 093</v>
      </c>
      <c r="I579" s="20" t="str">
        <f aca="false">VLOOKUP(G579,'Product Master'!$A$5:$K$104,3,FALSE())</f>
        <v>Industrial</v>
      </c>
      <c r="J579" s="17" t="n">
        <v>13</v>
      </c>
      <c r="K579" s="16" t="n">
        <v>7420.7</v>
      </c>
      <c r="L579" s="16" t="n">
        <f aca="false">J579*K579</f>
        <v>96469.1</v>
      </c>
      <c r="M579" s="18" t="s">
        <v>43</v>
      </c>
      <c r="N579" s="25"/>
      <c r="O579" s="25" t="n">
        <v>46312</v>
      </c>
      <c r="P579" s="25"/>
      <c r="Q579" s="17" t="n">
        <f aca="false">IF(P579&lt;&gt;"",MAX(1,P579-B579),IF(M579="Dispatched",MAX(1,O579-B579),0))</f>
        <v>0</v>
      </c>
      <c r="R579" s="17" t="n">
        <f aca="false">IF(M579="Cancelled",0,IF(P579&lt;&gt;"",MAX(0,P579-O579),IF(T579&lt;&gt;"None",MAX(1,O579-B579-2),0)))</f>
        <v>0</v>
      </c>
      <c r="S579" s="18" t="s">
        <v>310</v>
      </c>
      <c r="T579" s="20" t="s">
        <v>411</v>
      </c>
    </row>
    <row r="580" customFormat="false" ht="15" hidden="false" customHeight="false" outlineLevel="0" collapsed="false">
      <c r="A580" s="26" t="s">
        <v>1290</v>
      </c>
      <c r="B580" s="34" t="n">
        <v>46259</v>
      </c>
      <c r="C580" s="26" t="s">
        <v>1291</v>
      </c>
      <c r="D580" s="27" t="s">
        <v>1123</v>
      </c>
      <c r="E580" s="26" t="s">
        <v>105</v>
      </c>
      <c r="F580" s="27" t="s">
        <v>79</v>
      </c>
      <c r="G580" s="26" t="s">
        <v>270</v>
      </c>
      <c r="H580" s="27" t="str">
        <f aca="false">VLOOKUP(G580,'Product Master'!$A$5:$K$104,2,FALSE())</f>
        <v>Everyday Personal Item 076</v>
      </c>
      <c r="I580" s="27" t="str">
        <f aca="false">VLOOKUP(G580,'Product Master'!$A$5:$K$104,3,FALSE())</f>
        <v>Personal Care</v>
      </c>
      <c r="J580" s="28" t="n">
        <v>2</v>
      </c>
      <c r="K580" s="29" t="n">
        <v>9870.63</v>
      </c>
      <c r="L580" s="29" t="n">
        <f aca="false">J580*K580</f>
        <v>19741.26</v>
      </c>
      <c r="M580" s="26" t="s">
        <v>43</v>
      </c>
      <c r="N580" s="34"/>
      <c r="O580" s="34" t="n">
        <v>46262</v>
      </c>
      <c r="P580" s="34"/>
      <c r="Q580" s="28" t="n">
        <f aca="false">IF(P580&lt;&gt;"",MAX(1,P580-B580),IF(M580="Dispatched",MAX(1,O580-B580),0))</f>
        <v>0</v>
      </c>
      <c r="R580" s="28" t="n">
        <f aca="false">IF(M580="Cancelled",0,IF(P580&lt;&gt;"",MAX(0,P580-O580),IF(T580&lt;&gt;"None",MAX(1,O580-B580-2),0)))</f>
        <v>0</v>
      </c>
      <c r="S580" s="26" t="s">
        <v>37</v>
      </c>
      <c r="T580" s="27" t="s">
        <v>411</v>
      </c>
    </row>
    <row r="581" customFormat="false" ht="15" hidden="false" customHeight="false" outlineLevel="0" collapsed="false">
      <c r="A581" s="18" t="s">
        <v>1292</v>
      </c>
      <c r="B581" s="25" t="n">
        <v>46061</v>
      </c>
      <c r="C581" s="18" t="s">
        <v>1085</v>
      </c>
      <c r="D581" s="20" t="s">
        <v>854</v>
      </c>
      <c r="E581" s="18" t="s">
        <v>109</v>
      </c>
      <c r="F581" s="20" t="s">
        <v>80</v>
      </c>
      <c r="G581" s="18" t="s">
        <v>293</v>
      </c>
      <c r="H581" s="20" t="str">
        <f aca="false">VLOOKUP(G581,'Product Master'!$A$5:$K$104,2,FALSE())</f>
        <v>Eco Office Item 099</v>
      </c>
      <c r="I581" s="20" t="str">
        <f aca="false">VLOOKUP(G581,'Product Master'!$A$5:$K$104,3,FALSE())</f>
        <v>Office Supplies</v>
      </c>
      <c r="J581" s="17" t="n">
        <v>23</v>
      </c>
      <c r="K581" s="16" t="n">
        <v>8700.35</v>
      </c>
      <c r="L581" s="16" t="n">
        <f aca="false">J581*K581</f>
        <v>200108.05</v>
      </c>
      <c r="M581" s="18" t="s">
        <v>35</v>
      </c>
      <c r="N581" s="25" t="n">
        <v>46061</v>
      </c>
      <c r="O581" s="25" t="n">
        <v>46068</v>
      </c>
      <c r="P581" s="25" t="n">
        <v>46070</v>
      </c>
      <c r="Q581" s="17" t="n">
        <f aca="false">IF(P581&lt;&gt;"",MAX(1,P581-B581),IF(M581="Dispatched",MAX(1,O581-B581),0))</f>
        <v>9</v>
      </c>
      <c r="R581" s="17" t="n">
        <f aca="false">IF(M581="Cancelled",0,IF(P581&lt;&gt;"",MAX(0,P581-O581),IF(T581&lt;&gt;"None",MAX(1,O581-B581-2),0)))</f>
        <v>2</v>
      </c>
      <c r="S581" s="18" t="s">
        <v>310</v>
      </c>
      <c r="T581" s="20" t="s">
        <v>114</v>
      </c>
    </row>
    <row r="582" customFormat="false" ht="15" hidden="false" customHeight="false" outlineLevel="0" collapsed="false">
      <c r="A582" s="26" t="s">
        <v>1293</v>
      </c>
      <c r="B582" s="34" t="n">
        <v>46116</v>
      </c>
      <c r="C582" s="26" t="s">
        <v>513</v>
      </c>
      <c r="D582" s="27" t="s">
        <v>1196</v>
      </c>
      <c r="E582" s="26" t="s">
        <v>105</v>
      </c>
      <c r="F582" s="27" t="s">
        <v>77</v>
      </c>
      <c r="G582" s="26" t="s">
        <v>275</v>
      </c>
      <c r="H582" s="27" t="str">
        <f aca="false">VLOOKUP(G582,'Product Master'!$A$5:$K$104,2,FALSE())</f>
        <v>Premium Electronics Item 081</v>
      </c>
      <c r="I582" s="27" t="str">
        <f aca="false">VLOOKUP(G582,'Product Master'!$A$5:$K$104,3,FALSE())</f>
        <v>Electronics</v>
      </c>
      <c r="J582" s="28" t="n">
        <v>9</v>
      </c>
      <c r="K582" s="29" t="n">
        <v>5895.61</v>
      </c>
      <c r="L582" s="29" t="n">
        <f aca="false">J582*K582</f>
        <v>53060.49</v>
      </c>
      <c r="M582" s="26" t="s">
        <v>37</v>
      </c>
      <c r="N582" s="34"/>
      <c r="O582" s="34" t="n">
        <v>46120</v>
      </c>
      <c r="P582" s="34"/>
      <c r="Q582" s="28" t="n">
        <f aca="false">IF(P582&lt;&gt;"",MAX(1,P582-B582),IF(M582="Dispatched",MAX(1,O582-B582),0))</f>
        <v>0</v>
      </c>
      <c r="R582" s="28" t="n">
        <f aca="false">IF(M582="Cancelled",0,IF(P582&lt;&gt;"",MAX(0,P582-O582),IF(T582&lt;&gt;"None",MAX(1,O582-B582-2),0)))</f>
        <v>2</v>
      </c>
      <c r="S582" s="26" t="s">
        <v>310</v>
      </c>
      <c r="T582" s="27" t="s">
        <v>116</v>
      </c>
    </row>
    <row r="583" customFormat="false" ht="15" hidden="false" customHeight="false" outlineLevel="0" collapsed="false">
      <c r="A583" s="18" t="s">
        <v>1294</v>
      </c>
      <c r="B583" s="25" t="n">
        <v>45978</v>
      </c>
      <c r="C583" s="18" t="s">
        <v>816</v>
      </c>
      <c r="D583" s="20" t="s">
        <v>1295</v>
      </c>
      <c r="E583" s="18" t="s">
        <v>111</v>
      </c>
      <c r="F583" s="20" t="s">
        <v>79</v>
      </c>
      <c r="G583" s="18" t="s">
        <v>277</v>
      </c>
      <c r="H583" s="20" t="str">
        <f aca="false">VLOOKUP(G583,'Product Master'!$A$5:$K$104,2,FALSE())</f>
        <v>Essential Office Item 083</v>
      </c>
      <c r="I583" s="20" t="str">
        <f aca="false">VLOOKUP(G583,'Product Master'!$A$5:$K$104,3,FALSE())</f>
        <v>Office Supplies</v>
      </c>
      <c r="J583" s="17" t="n">
        <v>23</v>
      </c>
      <c r="K583" s="16" t="n">
        <v>4117.89</v>
      </c>
      <c r="L583" s="16" t="n">
        <f aca="false">J583*K583</f>
        <v>94711.47</v>
      </c>
      <c r="M583" s="18" t="s">
        <v>37</v>
      </c>
      <c r="N583" s="25"/>
      <c r="O583" s="25" t="n">
        <v>45981</v>
      </c>
      <c r="P583" s="25"/>
      <c r="Q583" s="17" t="n">
        <f aca="false">IF(P583&lt;&gt;"",MAX(1,P583-B583),IF(M583="Dispatched",MAX(1,O583-B583),0))</f>
        <v>0</v>
      </c>
      <c r="R583" s="17" t="n">
        <f aca="false">IF(M583="Cancelled",0,IF(P583&lt;&gt;"",MAX(0,P583-O583),IF(T583&lt;&gt;"None",MAX(1,O583-B583-2),0)))</f>
        <v>0</v>
      </c>
      <c r="S583" s="18" t="s">
        <v>37</v>
      </c>
      <c r="T583" s="20" t="s">
        <v>317</v>
      </c>
    </row>
    <row r="584" customFormat="false" ht="15" hidden="false" customHeight="false" outlineLevel="0" collapsed="false">
      <c r="A584" s="26" t="s">
        <v>1296</v>
      </c>
      <c r="B584" s="34" t="n">
        <v>46060</v>
      </c>
      <c r="C584" s="26" t="s">
        <v>948</v>
      </c>
      <c r="D584" s="27" t="s">
        <v>738</v>
      </c>
      <c r="E584" s="26" t="s">
        <v>109</v>
      </c>
      <c r="F584" s="27" t="s">
        <v>80</v>
      </c>
      <c r="G584" s="26" t="s">
        <v>283</v>
      </c>
      <c r="H584" s="27" t="str">
        <f aca="false">VLOOKUP(G584,'Product Master'!$A$5:$K$104,2,FALSE())</f>
        <v>Everyday Electronics Item 089</v>
      </c>
      <c r="I584" s="27" t="str">
        <f aca="false">VLOOKUP(G584,'Product Master'!$A$5:$K$104,3,FALSE())</f>
        <v>Electronics</v>
      </c>
      <c r="J584" s="28" t="n">
        <v>18</v>
      </c>
      <c r="K584" s="29" t="n">
        <v>2282.32</v>
      </c>
      <c r="L584" s="29" t="n">
        <f aca="false">J584*K584</f>
        <v>41081.76</v>
      </c>
      <c r="M584" s="26" t="s">
        <v>37</v>
      </c>
      <c r="N584" s="34"/>
      <c r="O584" s="34" t="n">
        <v>46068</v>
      </c>
      <c r="P584" s="34"/>
      <c r="Q584" s="28" t="n">
        <f aca="false">IF(P584&lt;&gt;"",MAX(1,P584-B584),IF(M584="Dispatched",MAX(1,O584-B584),0))</f>
        <v>0</v>
      </c>
      <c r="R584" s="28" t="n">
        <f aca="false">IF(M584="Cancelled",0,IF(P584&lt;&gt;"",MAX(0,P584-O584),IF(T584&lt;&gt;"None",MAX(1,O584-B584-2),0)))</f>
        <v>6</v>
      </c>
      <c r="S584" s="26" t="s">
        <v>352</v>
      </c>
      <c r="T584" s="27" t="s">
        <v>106</v>
      </c>
    </row>
    <row r="585" customFormat="false" ht="15" hidden="false" customHeight="false" outlineLevel="0" collapsed="false">
      <c r="A585" s="18" t="s">
        <v>1297</v>
      </c>
      <c r="B585" s="25" t="n">
        <v>46303</v>
      </c>
      <c r="C585" s="18" t="s">
        <v>782</v>
      </c>
      <c r="D585" s="20" t="s">
        <v>316</v>
      </c>
      <c r="E585" s="18" t="s">
        <v>105</v>
      </c>
      <c r="F585" s="20" t="s">
        <v>80</v>
      </c>
      <c r="G585" s="18" t="s">
        <v>206</v>
      </c>
      <c r="H585" s="20" t="str">
        <f aca="false">VLOOKUP(G585,'Product Master'!$A$5:$K$104,2,FALSE())</f>
        <v>Eco Personal Item 012</v>
      </c>
      <c r="I585" s="20" t="str">
        <f aca="false">VLOOKUP(G585,'Product Master'!$A$5:$K$104,3,FALSE())</f>
        <v>Personal Care</v>
      </c>
      <c r="J585" s="17" t="n">
        <v>25</v>
      </c>
      <c r="K585" s="16" t="n">
        <v>7685.49</v>
      </c>
      <c r="L585" s="16" t="n">
        <f aca="false">J585*K585</f>
        <v>192137.25</v>
      </c>
      <c r="M585" s="18" t="s">
        <v>39</v>
      </c>
      <c r="N585" s="25"/>
      <c r="O585" s="25" t="n">
        <v>46307</v>
      </c>
      <c r="P585" s="25"/>
      <c r="Q585" s="17" t="n">
        <f aca="false">IF(P585&lt;&gt;"",MAX(1,P585-B585),IF(M585="Dispatched",MAX(1,O585-B585),0))</f>
        <v>0</v>
      </c>
      <c r="R585" s="17" t="n">
        <f aca="false">IF(M585="Cancelled",0,IF(P585&lt;&gt;"",MAX(0,P585-O585),IF(T585&lt;&gt;"None",MAX(1,O585-B585-2),0)))</f>
        <v>0</v>
      </c>
      <c r="S585" s="18" t="s">
        <v>310</v>
      </c>
      <c r="T585" s="20" t="s">
        <v>317</v>
      </c>
    </row>
    <row r="586" customFormat="false" ht="15" hidden="false" customHeight="false" outlineLevel="0" collapsed="false">
      <c r="A586" s="26" t="s">
        <v>1298</v>
      </c>
      <c r="B586" s="34" t="n">
        <v>46088</v>
      </c>
      <c r="C586" s="26" t="s">
        <v>479</v>
      </c>
      <c r="D586" s="27" t="s">
        <v>1295</v>
      </c>
      <c r="E586" s="26" t="s">
        <v>107</v>
      </c>
      <c r="F586" s="27" t="s">
        <v>79</v>
      </c>
      <c r="G586" s="26" t="s">
        <v>195</v>
      </c>
      <c r="H586" s="27" t="str">
        <f aca="false">VLOOKUP(G586,'Product Master'!$A$5:$K$104,2,FALSE())</f>
        <v>Everyday Electronics Item 001</v>
      </c>
      <c r="I586" s="27" t="str">
        <f aca="false">VLOOKUP(G586,'Product Master'!$A$5:$K$104,3,FALSE())</f>
        <v>Electronics</v>
      </c>
      <c r="J586" s="28" t="n">
        <v>1</v>
      </c>
      <c r="K586" s="29" t="n">
        <v>2912.4</v>
      </c>
      <c r="L586" s="29" t="n">
        <f aca="false">J586*K586</f>
        <v>2912.4</v>
      </c>
      <c r="M586" s="26" t="s">
        <v>35</v>
      </c>
      <c r="N586" s="34" t="n">
        <v>46091</v>
      </c>
      <c r="O586" s="34" t="n">
        <v>46096</v>
      </c>
      <c r="P586" s="34" t="n">
        <v>46096</v>
      </c>
      <c r="Q586" s="28" t="n">
        <f aca="false">IF(P586&lt;&gt;"",MAX(1,P586-B586),IF(M586="Dispatched",MAX(1,O586-B586),0))</f>
        <v>8</v>
      </c>
      <c r="R586" s="28" t="n">
        <f aca="false">IF(M586="Cancelled",0,IF(P586&lt;&gt;"",MAX(0,P586-O586),IF(T586&lt;&gt;"None",MAX(1,O586-B586-2),0)))</f>
        <v>0</v>
      </c>
      <c r="S586" s="26" t="s">
        <v>310</v>
      </c>
      <c r="T586" s="27" t="s">
        <v>317</v>
      </c>
    </row>
    <row r="587" customFormat="false" ht="15" hidden="false" customHeight="false" outlineLevel="0" collapsed="false">
      <c r="A587" s="18" t="s">
        <v>1299</v>
      </c>
      <c r="B587" s="25" t="n">
        <v>46026</v>
      </c>
      <c r="C587" s="18" t="s">
        <v>893</v>
      </c>
      <c r="D587" s="20" t="s">
        <v>622</v>
      </c>
      <c r="E587" s="18" t="s">
        <v>107</v>
      </c>
      <c r="F587" s="20" t="s">
        <v>77</v>
      </c>
      <c r="G587" s="18" t="s">
        <v>285</v>
      </c>
      <c r="H587" s="20" t="str">
        <f aca="false">VLOOKUP(G587,'Product Master'!$A$5:$K$104,2,FALSE())</f>
        <v>Premium Office Item 091</v>
      </c>
      <c r="I587" s="20" t="str">
        <f aca="false">VLOOKUP(G587,'Product Master'!$A$5:$K$104,3,FALSE())</f>
        <v>Office Supplies</v>
      </c>
      <c r="J587" s="17" t="n">
        <v>16</v>
      </c>
      <c r="K587" s="16" t="n">
        <v>6977.08</v>
      </c>
      <c r="L587" s="16" t="n">
        <f aca="false">J587*K587</f>
        <v>111633.28</v>
      </c>
      <c r="M587" s="18" t="s">
        <v>35</v>
      </c>
      <c r="N587" s="25" t="n">
        <v>46029</v>
      </c>
      <c r="O587" s="25" t="n">
        <v>46029</v>
      </c>
      <c r="P587" s="25" t="n">
        <v>46029</v>
      </c>
      <c r="Q587" s="17" t="n">
        <f aca="false">IF(P587&lt;&gt;"",MAX(1,P587-B587),IF(M587="Dispatched",MAX(1,O587-B587),0))</f>
        <v>3</v>
      </c>
      <c r="R587" s="17" t="n">
        <f aca="false">IF(M587="Cancelled",0,IF(P587&lt;&gt;"",MAX(0,P587-O587),IF(T587&lt;&gt;"None",MAX(1,O587-B587-2),0)))</f>
        <v>0</v>
      </c>
      <c r="S587" s="18" t="s">
        <v>37</v>
      </c>
      <c r="T587" s="20" t="s">
        <v>317</v>
      </c>
    </row>
    <row r="588" customFormat="false" ht="15" hidden="false" customHeight="false" outlineLevel="0" collapsed="false">
      <c r="A588" s="26" t="s">
        <v>1300</v>
      </c>
      <c r="B588" s="34" t="n">
        <v>46029</v>
      </c>
      <c r="C588" s="26" t="s">
        <v>565</v>
      </c>
      <c r="D588" s="27" t="s">
        <v>1301</v>
      </c>
      <c r="E588" s="26" t="s">
        <v>111</v>
      </c>
      <c r="F588" s="27" t="s">
        <v>79</v>
      </c>
      <c r="G588" s="26" t="s">
        <v>228</v>
      </c>
      <c r="H588" s="27" t="str">
        <f aca="false">VLOOKUP(G588,'Product Master'!$A$5:$K$104,2,FALSE())</f>
        <v>Classic Home Item 034</v>
      </c>
      <c r="I588" s="27" t="str">
        <f aca="false">VLOOKUP(G588,'Product Master'!$A$5:$K$104,3,FALSE())</f>
        <v>Home &amp; Kitchen</v>
      </c>
      <c r="J588" s="28" t="n">
        <v>21</v>
      </c>
      <c r="K588" s="29" t="n">
        <v>3243.31</v>
      </c>
      <c r="L588" s="29" t="n">
        <f aca="false">J588*K588</f>
        <v>68109.51</v>
      </c>
      <c r="M588" s="26" t="s">
        <v>41</v>
      </c>
      <c r="N588" s="34" t="n">
        <v>46030</v>
      </c>
      <c r="O588" s="34" t="n">
        <v>46032</v>
      </c>
      <c r="P588" s="34"/>
      <c r="Q588" s="28" t="n">
        <f aca="false">IF(P588&lt;&gt;"",MAX(1,P588-B588),IF(M588="Dispatched",MAX(1,O588-B588),0))</f>
        <v>3</v>
      </c>
      <c r="R588" s="28" t="n">
        <f aca="false">IF(M588="Cancelled",0,IF(P588&lt;&gt;"",MAX(0,P588-O588),IF(T588&lt;&gt;"None",MAX(1,O588-B588-2),0)))</f>
        <v>1</v>
      </c>
      <c r="S588" s="26" t="s">
        <v>310</v>
      </c>
      <c r="T588" s="27" t="s">
        <v>115</v>
      </c>
    </row>
    <row r="589" customFormat="false" ht="15" hidden="false" customHeight="false" outlineLevel="0" collapsed="false">
      <c r="A589" s="18" t="s">
        <v>1302</v>
      </c>
      <c r="B589" s="25" t="n">
        <v>46072</v>
      </c>
      <c r="C589" s="18" t="s">
        <v>1200</v>
      </c>
      <c r="D589" s="20" t="s">
        <v>361</v>
      </c>
      <c r="E589" s="18" t="s">
        <v>109</v>
      </c>
      <c r="F589" s="20" t="s">
        <v>76</v>
      </c>
      <c r="G589" s="18" t="s">
        <v>203</v>
      </c>
      <c r="H589" s="20" t="str">
        <f aca="false">VLOOKUP(G589,'Product Master'!$A$5:$K$104,2,FALSE())</f>
        <v>Essential Electronics Item 009</v>
      </c>
      <c r="I589" s="20" t="str">
        <f aca="false">VLOOKUP(G589,'Product Master'!$A$5:$K$104,3,FALSE())</f>
        <v>Electronics</v>
      </c>
      <c r="J589" s="17" t="n">
        <v>19</v>
      </c>
      <c r="K589" s="16" t="n">
        <v>5778.46</v>
      </c>
      <c r="L589" s="16" t="n">
        <f aca="false">J589*K589</f>
        <v>109790.74</v>
      </c>
      <c r="M589" s="18" t="s">
        <v>35</v>
      </c>
      <c r="N589" s="25" t="n">
        <v>46072</v>
      </c>
      <c r="O589" s="25" t="n">
        <v>46081</v>
      </c>
      <c r="P589" s="25" t="n">
        <v>46077</v>
      </c>
      <c r="Q589" s="17" t="n">
        <f aca="false">IF(P589&lt;&gt;"",MAX(1,P589-B589),IF(M589="Dispatched",MAX(1,O589-B589),0))</f>
        <v>5</v>
      </c>
      <c r="R589" s="17" t="n">
        <f aca="false">IF(M589="Cancelled",0,IF(P589&lt;&gt;"",MAX(0,P589-O589),IF(T589&lt;&gt;"None",MAX(1,O589-B589-2),0)))</f>
        <v>0</v>
      </c>
      <c r="S589" s="18" t="s">
        <v>339</v>
      </c>
      <c r="T589" s="20" t="s">
        <v>317</v>
      </c>
    </row>
    <row r="590" customFormat="false" ht="15" hidden="false" customHeight="false" outlineLevel="0" collapsed="false">
      <c r="A590" s="26" t="s">
        <v>1303</v>
      </c>
      <c r="B590" s="34" t="n">
        <v>46271</v>
      </c>
      <c r="C590" s="26" t="s">
        <v>416</v>
      </c>
      <c r="D590" s="27" t="s">
        <v>443</v>
      </c>
      <c r="E590" s="26" t="s">
        <v>105</v>
      </c>
      <c r="F590" s="27" t="s">
        <v>76</v>
      </c>
      <c r="G590" s="26" t="s">
        <v>269</v>
      </c>
      <c r="H590" s="27" t="str">
        <f aca="false">VLOOKUP(G590,'Product Master'!$A$5:$K$104,2,FALSE())</f>
        <v>Everyday Office Item 075</v>
      </c>
      <c r="I590" s="27" t="str">
        <f aca="false">VLOOKUP(G590,'Product Master'!$A$5:$K$104,3,FALSE())</f>
        <v>Office Supplies</v>
      </c>
      <c r="J590" s="28" t="n">
        <v>7</v>
      </c>
      <c r="K590" s="29" t="n">
        <v>6952.03</v>
      </c>
      <c r="L590" s="29" t="n">
        <f aca="false">J590*K590</f>
        <v>48664.21</v>
      </c>
      <c r="M590" s="26" t="s">
        <v>35</v>
      </c>
      <c r="N590" s="34" t="n">
        <v>46274</v>
      </c>
      <c r="O590" s="34" t="n">
        <v>46278</v>
      </c>
      <c r="P590" s="34" t="n">
        <v>46281</v>
      </c>
      <c r="Q590" s="28" t="n">
        <f aca="false">IF(P590&lt;&gt;"",MAX(1,P590-B590),IF(M590="Dispatched",MAX(1,O590-B590),0))</f>
        <v>10</v>
      </c>
      <c r="R590" s="28" t="n">
        <f aca="false">IF(M590="Cancelled",0,IF(P590&lt;&gt;"",MAX(0,P590-O590),IF(T590&lt;&gt;"None",MAX(1,O590-B590-2),0)))</f>
        <v>3</v>
      </c>
      <c r="S590" s="26" t="s">
        <v>310</v>
      </c>
      <c r="T590" s="27" t="s">
        <v>112</v>
      </c>
    </row>
    <row r="591" customFormat="false" ht="15" hidden="false" customHeight="false" outlineLevel="0" collapsed="false">
      <c r="A591" s="18" t="s">
        <v>1304</v>
      </c>
      <c r="B591" s="25" t="n">
        <v>46150</v>
      </c>
      <c r="C591" s="18" t="s">
        <v>312</v>
      </c>
      <c r="D591" s="20" t="s">
        <v>1305</v>
      </c>
      <c r="E591" s="18" t="s">
        <v>109</v>
      </c>
      <c r="F591" s="20" t="s">
        <v>78</v>
      </c>
      <c r="G591" s="18" t="s">
        <v>238</v>
      </c>
      <c r="H591" s="20" t="str">
        <f aca="false">VLOOKUP(G591,'Product Master'!$A$5:$K$104,2,FALSE())</f>
        <v>Essential Personal Item 044</v>
      </c>
      <c r="I591" s="20" t="str">
        <f aca="false">VLOOKUP(G591,'Product Master'!$A$5:$K$104,3,FALSE())</f>
        <v>Personal Care</v>
      </c>
      <c r="J591" s="17" t="n">
        <v>11</v>
      </c>
      <c r="K591" s="16" t="n">
        <v>958.86</v>
      </c>
      <c r="L591" s="16" t="n">
        <f aca="false">J591*K591</f>
        <v>10547.46</v>
      </c>
      <c r="M591" s="18" t="s">
        <v>39</v>
      </c>
      <c r="N591" s="25"/>
      <c r="O591" s="25" t="n">
        <v>46157</v>
      </c>
      <c r="P591" s="25"/>
      <c r="Q591" s="17" t="n">
        <f aca="false">IF(P591&lt;&gt;"",MAX(1,P591-B591),IF(M591="Dispatched",MAX(1,O591-B591),0))</f>
        <v>0</v>
      </c>
      <c r="R591" s="17" t="n">
        <f aca="false">IF(M591="Cancelled",0,IF(P591&lt;&gt;"",MAX(0,P591-O591),IF(T591&lt;&gt;"None",MAX(1,O591-B591-2),0)))</f>
        <v>0</v>
      </c>
      <c r="S591" s="18" t="s">
        <v>352</v>
      </c>
      <c r="T591" s="20" t="s">
        <v>317</v>
      </c>
    </row>
    <row r="592" customFormat="false" ht="15" hidden="false" customHeight="false" outlineLevel="0" collapsed="false">
      <c r="A592" s="26" t="s">
        <v>1306</v>
      </c>
      <c r="B592" s="34" t="n">
        <v>45982</v>
      </c>
      <c r="C592" s="26" t="s">
        <v>547</v>
      </c>
      <c r="D592" s="27" t="s">
        <v>924</v>
      </c>
      <c r="E592" s="26" t="s">
        <v>111</v>
      </c>
      <c r="F592" s="27" t="s">
        <v>79</v>
      </c>
      <c r="G592" s="26" t="s">
        <v>195</v>
      </c>
      <c r="H592" s="27" t="str">
        <f aca="false">VLOOKUP(G592,'Product Master'!$A$5:$K$104,2,FALSE())</f>
        <v>Everyday Electronics Item 001</v>
      </c>
      <c r="I592" s="27" t="str">
        <f aca="false">VLOOKUP(G592,'Product Master'!$A$5:$K$104,3,FALSE())</f>
        <v>Electronics</v>
      </c>
      <c r="J592" s="28" t="n">
        <v>24</v>
      </c>
      <c r="K592" s="29" t="n">
        <v>2912.4</v>
      </c>
      <c r="L592" s="29" t="n">
        <f aca="false">J592*K592</f>
        <v>69897.6</v>
      </c>
      <c r="M592" s="26" t="s">
        <v>41</v>
      </c>
      <c r="N592" s="34" t="n">
        <v>45982</v>
      </c>
      <c r="O592" s="34" t="n">
        <v>45986</v>
      </c>
      <c r="P592" s="34"/>
      <c r="Q592" s="28" t="n">
        <f aca="false">IF(P592&lt;&gt;"",MAX(1,P592-B592),IF(M592="Dispatched",MAX(1,O592-B592),0))</f>
        <v>4</v>
      </c>
      <c r="R592" s="28" t="n">
        <f aca="false">IF(M592="Cancelled",0,IF(P592&lt;&gt;"",MAX(0,P592-O592),IF(T592&lt;&gt;"None",MAX(1,O592-B592-2),0)))</f>
        <v>0</v>
      </c>
      <c r="S592" s="26" t="s">
        <v>310</v>
      </c>
      <c r="T592" s="27" t="s">
        <v>317</v>
      </c>
    </row>
    <row r="593" customFormat="false" ht="15" hidden="false" customHeight="false" outlineLevel="0" collapsed="false">
      <c r="A593" s="18" t="s">
        <v>1307</v>
      </c>
      <c r="B593" s="25" t="n">
        <v>46289</v>
      </c>
      <c r="C593" s="18" t="s">
        <v>802</v>
      </c>
      <c r="D593" s="20" t="s">
        <v>622</v>
      </c>
      <c r="E593" s="18" t="s">
        <v>107</v>
      </c>
      <c r="F593" s="20" t="s">
        <v>78</v>
      </c>
      <c r="G593" s="18" t="s">
        <v>291</v>
      </c>
      <c r="H593" s="20" t="str">
        <f aca="false">VLOOKUP(G593,'Product Master'!$A$5:$K$104,2,FALSE())</f>
        <v>Smart Electronics Item 097</v>
      </c>
      <c r="I593" s="20" t="str">
        <f aca="false">VLOOKUP(G593,'Product Master'!$A$5:$K$104,3,FALSE())</f>
        <v>Electronics</v>
      </c>
      <c r="J593" s="17" t="n">
        <v>15</v>
      </c>
      <c r="K593" s="16" t="n">
        <v>1924.42</v>
      </c>
      <c r="L593" s="16" t="n">
        <f aca="false">J593*K593</f>
        <v>28866.3</v>
      </c>
      <c r="M593" s="18" t="s">
        <v>37</v>
      </c>
      <c r="N593" s="25"/>
      <c r="O593" s="25" t="n">
        <v>46298</v>
      </c>
      <c r="P593" s="25"/>
      <c r="Q593" s="17" t="n">
        <f aca="false">IF(P593&lt;&gt;"",MAX(1,P593-B593),IF(M593="Dispatched",MAX(1,O593-B593),0))</f>
        <v>0</v>
      </c>
      <c r="R593" s="17" t="n">
        <f aca="false">IF(M593="Cancelled",0,IF(P593&lt;&gt;"",MAX(0,P593-O593),IF(T593&lt;&gt;"None",MAX(1,O593-B593-2),0)))</f>
        <v>0</v>
      </c>
      <c r="S593" s="18" t="s">
        <v>339</v>
      </c>
      <c r="T593" s="20" t="s">
        <v>317</v>
      </c>
    </row>
    <row r="594" customFormat="false" ht="15" hidden="false" customHeight="false" outlineLevel="0" collapsed="false">
      <c r="A594" s="26" t="s">
        <v>1308</v>
      </c>
      <c r="B594" s="34" t="n">
        <v>46095</v>
      </c>
      <c r="C594" s="26" t="s">
        <v>1309</v>
      </c>
      <c r="D594" s="27" t="s">
        <v>376</v>
      </c>
      <c r="E594" s="26" t="s">
        <v>109</v>
      </c>
      <c r="F594" s="27" t="s">
        <v>76</v>
      </c>
      <c r="G594" s="26" t="s">
        <v>197</v>
      </c>
      <c r="H594" s="27" t="str">
        <f aca="false">VLOOKUP(G594,'Product Master'!$A$5:$K$104,2,FALSE())</f>
        <v>Premium Office Item 003</v>
      </c>
      <c r="I594" s="27" t="str">
        <f aca="false">VLOOKUP(G594,'Product Master'!$A$5:$K$104,3,FALSE())</f>
        <v>Office Supplies</v>
      </c>
      <c r="J594" s="28" t="n">
        <v>24</v>
      </c>
      <c r="K594" s="29" t="n">
        <v>1653.15</v>
      </c>
      <c r="L594" s="29" t="n">
        <f aca="false">J594*K594</f>
        <v>39675.6</v>
      </c>
      <c r="M594" s="26" t="s">
        <v>35</v>
      </c>
      <c r="N594" s="34" t="n">
        <v>46096</v>
      </c>
      <c r="O594" s="34" t="n">
        <v>46104</v>
      </c>
      <c r="P594" s="34" t="n">
        <v>46108</v>
      </c>
      <c r="Q594" s="28" t="n">
        <f aca="false">IF(P594&lt;&gt;"",MAX(1,P594-B594),IF(M594="Dispatched",MAX(1,O594-B594),0))</f>
        <v>13</v>
      </c>
      <c r="R594" s="28" t="n">
        <f aca="false">IF(M594="Cancelled",0,IF(P594&lt;&gt;"",MAX(0,P594-O594),IF(T594&lt;&gt;"None",MAX(1,O594-B594-2),0)))</f>
        <v>4</v>
      </c>
      <c r="S594" s="26" t="s">
        <v>310</v>
      </c>
      <c r="T594" s="27" t="s">
        <v>114</v>
      </c>
    </row>
    <row r="595" customFormat="false" ht="15" hidden="false" customHeight="false" outlineLevel="0" collapsed="false">
      <c r="A595" s="18" t="s">
        <v>1310</v>
      </c>
      <c r="B595" s="25" t="n">
        <v>46174</v>
      </c>
      <c r="C595" s="18" t="s">
        <v>571</v>
      </c>
      <c r="D595" s="20" t="s">
        <v>740</v>
      </c>
      <c r="E595" s="18" t="s">
        <v>105</v>
      </c>
      <c r="F595" s="20" t="s">
        <v>79</v>
      </c>
      <c r="G595" s="18" t="s">
        <v>279</v>
      </c>
      <c r="H595" s="20" t="str">
        <f aca="false">VLOOKUP(G595,'Product Master'!$A$5:$K$104,2,FALSE())</f>
        <v>Classic Industrial Item 085</v>
      </c>
      <c r="I595" s="20" t="str">
        <f aca="false">VLOOKUP(G595,'Product Master'!$A$5:$K$104,3,FALSE())</f>
        <v>Industrial</v>
      </c>
      <c r="J595" s="17" t="n">
        <v>10</v>
      </c>
      <c r="K595" s="16" t="n">
        <v>2284.18</v>
      </c>
      <c r="L595" s="16" t="n">
        <f aca="false">J595*K595</f>
        <v>22841.8</v>
      </c>
      <c r="M595" s="18" t="s">
        <v>37</v>
      </c>
      <c r="N595" s="25"/>
      <c r="O595" s="25" t="n">
        <v>46178</v>
      </c>
      <c r="P595" s="25"/>
      <c r="Q595" s="17" t="n">
        <f aca="false">IF(P595&lt;&gt;"",MAX(1,P595-B595),IF(M595="Dispatched",MAX(1,O595-B595),0))</f>
        <v>0</v>
      </c>
      <c r="R595" s="17" t="n">
        <f aca="false">IF(M595="Cancelled",0,IF(P595&lt;&gt;"",MAX(0,P595-O595),IF(T595&lt;&gt;"None",MAX(1,O595-B595-2),0)))</f>
        <v>0</v>
      </c>
      <c r="S595" s="18" t="s">
        <v>310</v>
      </c>
      <c r="T595" s="20" t="s">
        <v>317</v>
      </c>
    </row>
    <row r="596" customFormat="false" ht="15" hidden="false" customHeight="false" outlineLevel="0" collapsed="false">
      <c r="A596" s="26" t="s">
        <v>1311</v>
      </c>
      <c r="B596" s="34" t="n">
        <v>45975</v>
      </c>
      <c r="C596" s="26" t="s">
        <v>604</v>
      </c>
      <c r="D596" s="27" t="s">
        <v>854</v>
      </c>
      <c r="E596" s="26" t="s">
        <v>113</v>
      </c>
      <c r="F596" s="27" t="s">
        <v>79</v>
      </c>
      <c r="G596" s="26" t="s">
        <v>233</v>
      </c>
      <c r="H596" s="27" t="str">
        <f aca="false">VLOOKUP(G596,'Product Master'!$A$5:$K$104,2,FALSE())</f>
        <v>Eco Apparel Item 039</v>
      </c>
      <c r="I596" s="27" t="str">
        <f aca="false">VLOOKUP(G596,'Product Master'!$A$5:$K$104,3,FALSE())</f>
        <v>Apparel</v>
      </c>
      <c r="J596" s="28" t="n">
        <v>6</v>
      </c>
      <c r="K596" s="29" t="n">
        <v>3575.06</v>
      </c>
      <c r="L596" s="29" t="n">
        <f aca="false">J596*K596</f>
        <v>21450.36</v>
      </c>
      <c r="M596" s="26" t="s">
        <v>41</v>
      </c>
      <c r="N596" s="34" t="n">
        <v>45978</v>
      </c>
      <c r="O596" s="34" t="n">
        <v>45982</v>
      </c>
      <c r="P596" s="34"/>
      <c r="Q596" s="28" t="n">
        <f aca="false">IF(P596&lt;&gt;"",MAX(1,P596-B596),IF(M596="Dispatched",MAX(1,O596-B596),0))</f>
        <v>7</v>
      </c>
      <c r="R596" s="28" t="n">
        <f aca="false">IF(M596="Cancelled",0,IF(P596&lt;&gt;"",MAX(0,P596-O596),IF(T596&lt;&gt;"None",MAX(1,O596-B596-2),0)))</f>
        <v>0</v>
      </c>
      <c r="S596" s="26" t="s">
        <v>310</v>
      </c>
      <c r="T596" s="27" t="s">
        <v>317</v>
      </c>
    </row>
    <row r="597" customFormat="false" ht="15" hidden="false" customHeight="false" outlineLevel="0" collapsed="false">
      <c r="A597" s="18" t="s">
        <v>1312</v>
      </c>
      <c r="B597" s="25" t="n">
        <v>46268</v>
      </c>
      <c r="C597" s="18" t="s">
        <v>800</v>
      </c>
      <c r="D597" s="20" t="s">
        <v>323</v>
      </c>
      <c r="E597" s="18" t="s">
        <v>105</v>
      </c>
      <c r="F597" s="20" t="s">
        <v>76</v>
      </c>
      <c r="G597" s="18" t="s">
        <v>284</v>
      </c>
      <c r="H597" s="20" t="str">
        <f aca="false">VLOOKUP(G597,'Product Master'!$A$5:$K$104,2,FALSE())</f>
        <v>Compact Home Item 090</v>
      </c>
      <c r="I597" s="20" t="str">
        <f aca="false">VLOOKUP(G597,'Product Master'!$A$5:$K$104,3,FALSE())</f>
        <v>Home &amp; Kitchen</v>
      </c>
      <c r="J597" s="17" t="n">
        <v>14</v>
      </c>
      <c r="K597" s="16" t="n">
        <v>10789.39</v>
      </c>
      <c r="L597" s="16" t="n">
        <f aca="false">J597*K597</f>
        <v>151051.46</v>
      </c>
      <c r="M597" s="18" t="s">
        <v>43</v>
      </c>
      <c r="N597" s="25"/>
      <c r="O597" s="25" t="n">
        <v>46270</v>
      </c>
      <c r="P597" s="25"/>
      <c r="Q597" s="17" t="n">
        <f aca="false">IF(P597&lt;&gt;"",MAX(1,P597-B597),IF(M597="Dispatched",MAX(1,O597-B597),0))</f>
        <v>0</v>
      </c>
      <c r="R597" s="17" t="n">
        <f aca="false">IF(M597="Cancelled",0,IF(P597&lt;&gt;"",MAX(0,P597-O597),IF(T597&lt;&gt;"None",MAX(1,O597-B597-2),0)))</f>
        <v>0</v>
      </c>
      <c r="S597" s="18" t="s">
        <v>37</v>
      </c>
      <c r="T597" s="20" t="s">
        <v>411</v>
      </c>
    </row>
    <row r="598" customFormat="false" ht="15" hidden="false" customHeight="false" outlineLevel="0" collapsed="false">
      <c r="A598" s="26" t="s">
        <v>1313</v>
      </c>
      <c r="B598" s="34" t="n">
        <v>46043</v>
      </c>
      <c r="C598" s="26" t="s">
        <v>697</v>
      </c>
      <c r="D598" s="27" t="s">
        <v>453</v>
      </c>
      <c r="E598" s="26" t="s">
        <v>109</v>
      </c>
      <c r="F598" s="27" t="s">
        <v>79</v>
      </c>
      <c r="G598" s="26" t="s">
        <v>287</v>
      </c>
      <c r="H598" s="27" t="str">
        <f aca="false">VLOOKUP(G598,'Product Master'!$A$5:$K$104,2,FALSE())</f>
        <v>Compact Industrial Item 093</v>
      </c>
      <c r="I598" s="27" t="str">
        <f aca="false">VLOOKUP(G598,'Product Master'!$A$5:$K$104,3,FALSE())</f>
        <v>Industrial</v>
      </c>
      <c r="J598" s="28" t="n">
        <v>22</v>
      </c>
      <c r="K598" s="29" t="n">
        <v>7420.7</v>
      </c>
      <c r="L598" s="29" t="n">
        <f aca="false">J598*K598</f>
        <v>163255.4</v>
      </c>
      <c r="M598" s="26" t="s">
        <v>35</v>
      </c>
      <c r="N598" s="34" t="n">
        <v>46046</v>
      </c>
      <c r="O598" s="34" t="n">
        <v>46047</v>
      </c>
      <c r="P598" s="34" t="n">
        <v>46047</v>
      </c>
      <c r="Q598" s="28" t="n">
        <f aca="false">IF(P598&lt;&gt;"",MAX(1,P598-B598),IF(M598="Dispatched",MAX(1,O598-B598),0))</f>
        <v>4</v>
      </c>
      <c r="R598" s="28" t="n">
        <f aca="false">IF(M598="Cancelled",0,IF(P598&lt;&gt;"",MAX(0,P598-O598),IF(T598&lt;&gt;"None",MAX(1,O598-B598-2),0)))</f>
        <v>0</v>
      </c>
      <c r="S598" s="26" t="s">
        <v>310</v>
      </c>
      <c r="T598" s="27" t="s">
        <v>317</v>
      </c>
    </row>
    <row r="599" customFormat="false" ht="15" hidden="false" customHeight="false" outlineLevel="0" collapsed="false">
      <c r="A599" s="18" t="s">
        <v>1314</v>
      </c>
      <c r="B599" s="25" t="n">
        <v>46225</v>
      </c>
      <c r="C599" s="18" t="s">
        <v>959</v>
      </c>
      <c r="D599" s="20" t="s">
        <v>555</v>
      </c>
      <c r="E599" s="18" t="s">
        <v>113</v>
      </c>
      <c r="F599" s="20" t="s">
        <v>76</v>
      </c>
      <c r="G599" s="18" t="s">
        <v>293</v>
      </c>
      <c r="H599" s="20" t="str">
        <f aca="false">VLOOKUP(G599,'Product Master'!$A$5:$K$104,2,FALSE())</f>
        <v>Eco Office Item 099</v>
      </c>
      <c r="I599" s="20" t="str">
        <f aca="false">VLOOKUP(G599,'Product Master'!$A$5:$K$104,3,FALSE())</f>
        <v>Office Supplies</v>
      </c>
      <c r="J599" s="17" t="n">
        <v>21</v>
      </c>
      <c r="K599" s="16" t="n">
        <v>8700.35</v>
      </c>
      <c r="L599" s="16" t="n">
        <f aca="false">J599*K599</f>
        <v>182707.35</v>
      </c>
      <c r="M599" s="18" t="s">
        <v>35</v>
      </c>
      <c r="N599" s="25" t="n">
        <v>46228</v>
      </c>
      <c r="O599" s="25" t="n">
        <v>46233</v>
      </c>
      <c r="P599" s="25" t="n">
        <v>46233</v>
      </c>
      <c r="Q599" s="17" t="n">
        <f aca="false">IF(P599&lt;&gt;"",MAX(1,P599-B599),IF(M599="Dispatched",MAX(1,O599-B599),0))</f>
        <v>8</v>
      </c>
      <c r="R599" s="17" t="n">
        <f aca="false">IF(M599="Cancelled",0,IF(P599&lt;&gt;"",MAX(0,P599-O599),IF(T599&lt;&gt;"None",MAX(1,O599-B599-2),0)))</f>
        <v>0</v>
      </c>
      <c r="S599" s="18" t="s">
        <v>310</v>
      </c>
      <c r="T599" s="20" t="s">
        <v>317</v>
      </c>
    </row>
    <row r="600" customFormat="false" ht="15" hidden="false" customHeight="false" outlineLevel="0" collapsed="false">
      <c r="A600" s="26" t="s">
        <v>1315</v>
      </c>
      <c r="B600" s="34" t="n">
        <v>45988</v>
      </c>
      <c r="C600" s="26" t="s">
        <v>1007</v>
      </c>
      <c r="D600" s="27" t="s">
        <v>323</v>
      </c>
      <c r="E600" s="26" t="s">
        <v>109</v>
      </c>
      <c r="F600" s="27" t="s">
        <v>80</v>
      </c>
      <c r="G600" s="26" t="s">
        <v>206</v>
      </c>
      <c r="H600" s="27" t="str">
        <f aca="false">VLOOKUP(G600,'Product Master'!$A$5:$K$104,2,FALSE())</f>
        <v>Eco Personal Item 012</v>
      </c>
      <c r="I600" s="27" t="str">
        <f aca="false">VLOOKUP(G600,'Product Master'!$A$5:$K$104,3,FALSE())</f>
        <v>Personal Care</v>
      </c>
      <c r="J600" s="28" t="n">
        <v>7</v>
      </c>
      <c r="K600" s="29" t="n">
        <v>7685.49</v>
      </c>
      <c r="L600" s="29" t="n">
        <f aca="false">J600*K600</f>
        <v>53798.43</v>
      </c>
      <c r="M600" s="26" t="s">
        <v>39</v>
      </c>
      <c r="N600" s="34"/>
      <c r="O600" s="34" t="n">
        <v>45991</v>
      </c>
      <c r="P600" s="34"/>
      <c r="Q600" s="28" t="n">
        <f aca="false">IF(P600&lt;&gt;"",MAX(1,P600-B600),IF(M600="Dispatched",MAX(1,O600-B600),0))</f>
        <v>0</v>
      </c>
      <c r="R600" s="28" t="n">
        <f aca="false">IF(M600="Cancelled",0,IF(P600&lt;&gt;"",MAX(0,P600-O600),IF(T600&lt;&gt;"None",MAX(1,O600-B600-2),0)))</f>
        <v>1</v>
      </c>
      <c r="S600" s="26" t="s">
        <v>310</v>
      </c>
      <c r="T600" s="27" t="s">
        <v>108</v>
      </c>
    </row>
    <row r="601" customFormat="false" ht="15" hidden="false" customHeight="false" outlineLevel="0" collapsed="false">
      <c r="A601" s="18" t="s">
        <v>1316</v>
      </c>
      <c r="B601" s="25" t="n">
        <v>45931</v>
      </c>
      <c r="C601" s="18" t="s">
        <v>363</v>
      </c>
      <c r="D601" s="20" t="s">
        <v>1069</v>
      </c>
      <c r="E601" s="18" t="s">
        <v>105</v>
      </c>
      <c r="F601" s="20" t="s">
        <v>80</v>
      </c>
      <c r="G601" s="18" t="s">
        <v>234</v>
      </c>
      <c r="H601" s="20" t="str">
        <f aca="false">VLOOKUP(G601,'Product Master'!$A$5:$K$104,2,FALSE())</f>
        <v>Smart Automotive Item 040</v>
      </c>
      <c r="I601" s="20" t="str">
        <f aca="false">VLOOKUP(G601,'Product Master'!$A$5:$K$104,3,FALSE())</f>
        <v>Automotive</v>
      </c>
      <c r="J601" s="17" t="n">
        <v>18</v>
      </c>
      <c r="K601" s="16" t="n">
        <v>4502.79</v>
      </c>
      <c r="L601" s="16" t="n">
        <f aca="false">J601*K601</f>
        <v>81050.22</v>
      </c>
      <c r="M601" s="18" t="s">
        <v>35</v>
      </c>
      <c r="N601" s="25" t="n">
        <v>45934</v>
      </c>
      <c r="O601" s="25" t="n">
        <v>45939</v>
      </c>
      <c r="P601" s="25" t="n">
        <v>45940</v>
      </c>
      <c r="Q601" s="17" t="n">
        <f aca="false">IF(P601&lt;&gt;"",MAX(1,P601-B601),IF(M601="Dispatched",MAX(1,O601-B601),0))</f>
        <v>9</v>
      </c>
      <c r="R601" s="17" t="n">
        <f aca="false">IF(M601="Cancelled",0,IF(P601&lt;&gt;"",MAX(0,P601-O601),IF(T601&lt;&gt;"None",MAX(1,O601-B601-2),0)))</f>
        <v>1</v>
      </c>
      <c r="S601" s="18" t="s">
        <v>310</v>
      </c>
      <c r="T601" s="20" t="s">
        <v>112</v>
      </c>
    </row>
    <row r="602" customFormat="false" ht="15" hidden="false" customHeight="false" outlineLevel="0" collapsed="false">
      <c r="A602" s="26" t="s">
        <v>1317</v>
      </c>
      <c r="B602" s="34" t="n">
        <v>46233</v>
      </c>
      <c r="C602" s="26" t="s">
        <v>772</v>
      </c>
      <c r="D602" s="27" t="s">
        <v>1058</v>
      </c>
      <c r="E602" s="26" t="s">
        <v>105</v>
      </c>
      <c r="F602" s="27" t="s">
        <v>79</v>
      </c>
      <c r="G602" s="26" t="s">
        <v>223</v>
      </c>
      <c r="H602" s="27" t="str">
        <f aca="false">VLOOKUP(G602,'Product Master'!$A$5:$K$104,2,FALSE())</f>
        <v>Eco Industrial Item 029</v>
      </c>
      <c r="I602" s="27" t="str">
        <f aca="false">VLOOKUP(G602,'Product Master'!$A$5:$K$104,3,FALSE())</f>
        <v>Industrial</v>
      </c>
      <c r="J602" s="28" t="n">
        <v>1</v>
      </c>
      <c r="K602" s="29" t="n">
        <v>10945.72</v>
      </c>
      <c r="L602" s="29" t="n">
        <f aca="false">J602*K602</f>
        <v>10945.72</v>
      </c>
      <c r="M602" s="26" t="s">
        <v>35</v>
      </c>
      <c r="N602" s="34" t="n">
        <v>46235</v>
      </c>
      <c r="O602" s="34" t="n">
        <v>46242</v>
      </c>
      <c r="P602" s="34" t="n">
        <v>46241</v>
      </c>
      <c r="Q602" s="28" t="n">
        <f aca="false">IF(P602&lt;&gt;"",MAX(1,P602-B602),IF(M602="Dispatched",MAX(1,O602-B602),0))</f>
        <v>8</v>
      </c>
      <c r="R602" s="28" t="n">
        <f aca="false">IF(M602="Cancelled",0,IF(P602&lt;&gt;"",MAX(0,P602-O602),IF(T602&lt;&gt;"None",MAX(1,O602-B602-2),0)))</f>
        <v>0</v>
      </c>
      <c r="S602" s="26" t="s">
        <v>310</v>
      </c>
      <c r="T602" s="27" t="s">
        <v>317</v>
      </c>
    </row>
    <row r="603" customFormat="false" ht="15" hidden="false" customHeight="false" outlineLevel="0" collapsed="false">
      <c r="A603" s="18" t="s">
        <v>1318</v>
      </c>
      <c r="B603" s="25" t="n">
        <v>46279</v>
      </c>
      <c r="C603" s="18" t="s">
        <v>357</v>
      </c>
      <c r="D603" s="20" t="s">
        <v>425</v>
      </c>
      <c r="E603" s="18" t="s">
        <v>107</v>
      </c>
      <c r="F603" s="20" t="s">
        <v>80</v>
      </c>
      <c r="G603" s="18" t="s">
        <v>253</v>
      </c>
      <c r="H603" s="20" t="str">
        <f aca="false">VLOOKUP(G603,'Product Master'!$A$5:$K$104,2,FALSE())</f>
        <v>Eco Office Item 059</v>
      </c>
      <c r="I603" s="20" t="str">
        <f aca="false">VLOOKUP(G603,'Product Master'!$A$5:$K$104,3,FALSE())</f>
        <v>Office Supplies</v>
      </c>
      <c r="J603" s="17" t="n">
        <v>10</v>
      </c>
      <c r="K603" s="16" t="n">
        <v>348.69</v>
      </c>
      <c r="L603" s="16" t="n">
        <f aca="false">J603*K603</f>
        <v>3486.9</v>
      </c>
      <c r="M603" s="18" t="s">
        <v>35</v>
      </c>
      <c r="N603" s="25" t="n">
        <v>46281</v>
      </c>
      <c r="O603" s="25" t="n">
        <v>46281</v>
      </c>
      <c r="P603" s="25" t="n">
        <v>46281</v>
      </c>
      <c r="Q603" s="17" t="n">
        <f aca="false">IF(P603&lt;&gt;"",MAX(1,P603-B603),IF(M603="Dispatched",MAX(1,O603-B603),0))</f>
        <v>2</v>
      </c>
      <c r="R603" s="17" t="n">
        <f aca="false">IF(M603="Cancelled",0,IF(P603&lt;&gt;"",MAX(0,P603-O603),IF(T603&lt;&gt;"None",MAX(1,O603-B603-2),0)))</f>
        <v>0</v>
      </c>
      <c r="S603" s="18" t="s">
        <v>339</v>
      </c>
      <c r="T603" s="20" t="s">
        <v>317</v>
      </c>
    </row>
    <row r="604" customFormat="false" ht="15" hidden="false" customHeight="false" outlineLevel="0" collapsed="false">
      <c r="A604" s="26" t="s">
        <v>1319</v>
      </c>
      <c r="B604" s="34" t="n">
        <v>46292</v>
      </c>
      <c r="C604" s="26" t="s">
        <v>660</v>
      </c>
      <c r="D604" s="27" t="s">
        <v>536</v>
      </c>
      <c r="E604" s="26" t="s">
        <v>111</v>
      </c>
      <c r="F604" s="27" t="s">
        <v>77</v>
      </c>
      <c r="G604" s="26" t="s">
        <v>268</v>
      </c>
      <c r="H604" s="27" t="str">
        <f aca="false">VLOOKUP(G604,'Product Master'!$A$5:$K$104,2,FALSE())</f>
        <v>Pro Home Item 074</v>
      </c>
      <c r="I604" s="27" t="str">
        <f aca="false">VLOOKUP(G604,'Product Master'!$A$5:$K$104,3,FALSE())</f>
        <v>Home &amp; Kitchen</v>
      </c>
      <c r="J604" s="28" t="n">
        <v>16</v>
      </c>
      <c r="K604" s="29" t="n">
        <v>8375.75</v>
      </c>
      <c r="L604" s="29" t="n">
        <f aca="false">J604*K604</f>
        <v>134012</v>
      </c>
      <c r="M604" s="26" t="s">
        <v>35</v>
      </c>
      <c r="N604" s="34" t="n">
        <v>46292</v>
      </c>
      <c r="O604" s="34" t="n">
        <v>46300</v>
      </c>
      <c r="P604" s="34" t="n">
        <v>46301</v>
      </c>
      <c r="Q604" s="28" t="n">
        <f aca="false">IF(P604&lt;&gt;"",MAX(1,P604-B604),IF(M604="Dispatched",MAX(1,O604-B604),0))</f>
        <v>9</v>
      </c>
      <c r="R604" s="28" t="n">
        <f aca="false">IF(M604="Cancelled",0,IF(P604&lt;&gt;"",MAX(0,P604-O604),IF(T604&lt;&gt;"None",MAX(1,O604-B604-2),0)))</f>
        <v>1</v>
      </c>
      <c r="S604" s="26" t="s">
        <v>37</v>
      </c>
      <c r="T604" s="27" t="s">
        <v>106</v>
      </c>
    </row>
  </sheetData>
  <mergeCells count="2">
    <mergeCell ref="A1:T1"/>
    <mergeCell ref="A2:T2"/>
  </mergeCells>
  <conditionalFormatting sqref="R5:R604">
    <cfRule type="cellIs" priority="2" operator="greaterThan" dxfId="0">
      <formula>0</formula>
    </cfRule>
  </conditionalFormatting>
  <conditionalFormatting sqref="M5:M604">
    <cfRule type="cellIs" priority="3" operator="equal" dxfId="2">
      <formula>"Delivered"</formula>
    </cfRule>
    <cfRule type="cellIs" priority="4" operator="equal" dxfId="1">
      <formula>"Pending"</formula>
    </cfRule>
    <cfRule type="cellIs" priority="5" operator="equal" dxfId="0">
      <formula>"Cancelled"</formula>
    </cfRule>
  </conditionalFormatting>
  <dataValidations count="3">
    <dataValidation allowBlank="true" errorStyle="stop" showDropDown="false" showErrorMessage="false" showInputMessage="false" sqref="M5:M604" type="list">
      <formula1>"Delivered,Pending,Processing,Dispatched,Cancelled"</formula1>
    </dataValidation>
    <dataValidation allowBlank="true" errorStyle="stop" showDropDown="false" showErrorMessage="false" showInputMessage="false" sqref="E5:E604" type="list">
      <formula1>"North,South,East,West,Central"</formula1>
    </dataValidation>
    <dataValidation allowBlank="true" errorStyle="stop" showDropDown="false" showErrorMessage="false" showInputMessage="false" sqref="S5:S604" type="list">
      <formula1>"Paid,Pending,Partially Paid,Refunded"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3" min="12" style="0" width="23"/>
    <col collapsed="false" customWidth="true" hidden="false" outlineLevel="0" max="14" min="14" style="0" width="13"/>
    <col collapsed="false" customWidth="true" hidden="false" outlineLevel="0" max="15" min="15" style="0" width="19"/>
    <col collapsed="false" customWidth="true" hidden="false" outlineLevel="0" max="16" min="16" style="0" width="16"/>
    <col collapsed="false" customWidth="true" hidden="false" outlineLevel="0" max="17" min="17" style="0" width="20"/>
  </cols>
  <sheetData>
    <row r="1" customFormat="false" ht="27.75" hidden="false" customHeight="true" outlineLevel="0" collapsed="false">
      <c r="A1" s="1" t="s">
        <v>1320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9.75" hidden="false" customHeight="true" outlineLevel="0" collapsed="false"/>
    <row r="4" customFormat="false" ht="24" hidden="false" customHeight="true" outlineLevel="0" collapsed="false">
      <c r="A4" s="8" t="s">
        <v>86</v>
      </c>
      <c r="B4" s="14" t="s">
        <v>87</v>
      </c>
      <c r="C4" s="14" t="s">
        <v>33</v>
      </c>
      <c r="D4" s="8" t="s">
        <v>139</v>
      </c>
      <c r="E4" s="14" t="s">
        <v>53</v>
      </c>
      <c r="F4" s="14" t="s">
        <v>75</v>
      </c>
      <c r="G4" s="8" t="s">
        <v>1322</v>
      </c>
      <c r="H4" s="8" t="s">
        <v>1323</v>
      </c>
      <c r="I4" s="8" t="s">
        <v>184</v>
      </c>
      <c r="J4" s="8" t="s">
        <v>1324</v>
      </c>
      <c r="K4" s="8" t="s">
        <v>88</v>
      </c>
      <c r="L4" s="8" t="s">
        <v>1325</v>
      </c>
      <c r="M4" s="8" t="s">
        <v>1326</v>
      </c>
      <c r="N4" s="8" t="s">
        <v>189</v>
      </c>
      <c r="O4" s="8" t="s">
        <v>1327</v>
      </c>
      <c r="P4" s="8" t="s">
        <v>90</v>
      </c>
      <c r="Q4" s="8" t="s">
        <v>1328</v>
      </c>
    </row>
    <row r="5" customFormat="false" ht="15" hidden="false" customHeight="false" outlineLevel="0" collapsed="false">
      <c r="A5" s="18" t="s">
        <v>195</v>
      </c>
      <c r="B5" s="20" t="str">
        <f aca="false">VLOOKUP(A5,'Product Master'!$A$5:$K$104,2,FALSE())</f>
        <v>Everyday Electronics Item 001</v>
      </c>
      <c r="C5" s="20" t="s">
        <v>36</v>
      </c>
      <c r="D5" s="18" t="s">
        <v>148</v>
      </c>
      <c r="E5" s="20" t="str">
        <f aca="false">VLOOKUP(D5,'Supplier Database'!$A$5:$K$29,2,FALSE())</f>
        <v>Apex Supplies</v>
      </c>
      <c r="F5" s="20" t="s">
        <v>79</v>
      </c>
      <c r="G5" s="17" t="n">
        <v>22</v>
      </c>
      <c r="H5" s="17" t="n">
        <v>28</v>
      </c>
      <c r="I5" s="17" t="n">
        <f aca="false">SUMIFS('Order Tracking'!$J$5:$J$604,'Order Tracking'!$G$5:$G$604,A5,'Order Tracking'!$M$5:$M$604,"&lt;&gt;Cancelled")</f>
        <v>50</v>
      </c>
      <c r="J5" s="17" t="n">
        <v>0</v>
      </c>
      <c r="K5" s="17" t="n">
        <f aca="false">G5+H5-I5+J5</f>
        <v>0</v>
      </c>
      <c r="L5" s="17" t="n">
        <v>55</v>
      </c>
      <c r="M5" s="17" t="n">
        <v>275</v>
      </c>
      <c r="N5" s="16" t="n">
        <f aca="false">VLOOKUP(A5,'Product Master'!$A$5:$K$104,5,FALSE())</f>
        <v>2345.85</v>
      </c>
      <c r="O5" s="16" t="n">
        <f aca="false">K5*N5</f>
        <v>0</v>
      </c>
      <c r="P5" s="23" t="str">
        <f aca="false">IF(K5&lt;=0,"Out of Stock",IF(K5&lt;L5,"Low Stock",IF(K5&gt;M5,"Overstocked","Healthy Stock")))</f>
        <v>Out of Stock</v>
      </c>
      <c r="Q5" s="17" t="n">
        <f aca="false">IF(K5&lt;L5,MAX(0,M5-K5),0)</f>
        <v>275</v>
      </c>
    </row>
    <row r="6" customFormat="false" ht="15" hidden="false" customHeight="false" outlineLevel="0" collapsed="false">
      <c r="A6" s="26" t="s">
        <v>196</v>
      </c>
      <c r="B6" s="27" t="str">
        <f aca="false">VLOOKUP(A6,'Product Master'!$A$5:$K$104,2,FALSE())</f>
        <v>Premium Home Item 002</v>
      </c>
      <c r="C6" s="27" t="s">
        <v>38</v>
      </c>
      <c r="D6" s="26" t="s">
        <v>149</v>
      </c>
      <c r="E6" s="27" t="str">
        <f aca="false">VLOOKUP(D6,'Supplier Database'!$A$5:$K$29,2,FALSE())</f>
        <v>Bright Distributors</v>
      </c>
      <c r="F6" s="27" t="s">
        <v>80</v>
      </c>
      <c r="G6" s="28" t="n">
        <v>25</v>
      </c>
      <c r="H6" s="28" t="n">
        <v>0</v>
      </c>
      <c r="I6" s="28" t="n">
        <f aca="false">SUMIFS('Order Tracking'!$J$5:$J$604,'Order Tracking'!$G$5:$G$604,A6,'Order Tracking'!$M$5:$M$604,"&lt;&gt;Cancelled")</f>
        <v>16</v>
      </c>
      <c r="J6" s="28" t="n">
        <v>0</v>
      </c>
      <c r="K6" s="28" t="n">
        <f aca="false">G6+H6-I6+J6</f>
        <v>9</v>
      </c>
      <c r="L6" s="28" t="n">
        <v>42</v>
      </c>
      <c r="M6" s="28" t="n">
        <v>294</v>
      </c>
      <c r="N6" s="29" t="n">
        <f aca="false">VLOOKUP(A6,'Product Master'!$A$5:$K$104,5,FALSE())</f>
        <v>7961.45</v>
      </c>
      <c r="O6" s="29" t="n">
        <f aca="false">K6*N6</f>
        <v>71653.05</v>
      </c>
      <c r="P6" s="32" t="str">
        <f aca="false">IF(K6&lt;=0,"Out of Stock",IF(K6&lt;L6,"Low Stock",IF(K6&gt;M6,"Overstocked","Healthy Stock")))</f>
        <v>Low Stock</v>
      </c>
      <c r="Q6" s="28" t="n">
        <f aca="false">IF(K6&lt;L6,MAX(0,M6-K6),0)</f>
        <v>285</v>
      </c>
    </row>
    <row r="7" customFormat="false" ht="15" hidden="false" customHeight="false" outlineLevel="0" collapsed="false">
      <c r="A7" s="18" t="s">
        <v>197</v>
      </c>
      <c r="B7" s="20" t="str">
        <f aca="false">VLOOKUP(A7,'Product Master'!$A$5:$K$104,2,FALSE())</f>
        <v>Premium Office Item 003</v>
      </c>
      <c r="C7" s="20" t="s">
        <v>40</v>
      </c>
      <c r="D7" s="18" t="s">
        <v>150</v>
      </c>
      <c r="E7" s="20" t="str">
        <f aca="false">VLOOKUP(D7,'Supplier Database'!$A$5:$K$29,2,FALSE())</f>
        <v>Core Industries</v>
      </c>
      <c r="F7" s="20" t="s">
        <v>80</v>
      </c>
      <c r="G7" s="17" t="n">
        <v>179</v>
      </c>
      <c r="H7" s="17" t="n">
        <v>270</v>
      </c>
      <c r="I7" s="17" t="n">
        <f aca="false">SUMIFS('Order Tracking'!$J$5:$J$604,'Order Tracking'!$G$5:$G$604,A7,'Order Tracking'!$M$5:$M$604,"&lt;&gt;Cancelled")</f>
        <v>65</v>
      </c>
      <c r="J7" s="17" t="n">
        <v>0</v>
      </c>
      <c r="K7" s="17" t="n">
        <f aca="false">G7+H7-I7+J7</f>
        <v>384</v>
      </c>
      <c r="L7" s="17" t="n">
        <v>62</v>
      </c>
      <c r="M7" s="17" t="n">
        <v>558</v>
      </c>
      <c r="N7" s="16" t="n">
        <f aca="false">VLOOKUP(A7,'Product Master'!$A$5:$K$104,5,FALSE())</f>
        <v>1229.99</v>
      </c>
      <c r="O7" s="16" t="n">
        <f aca="false">K7*N7</f>
        <v>472316.16</v>
      </c>
      <c r="P7" s="23" t="str">
        <f aca="false">IF(K7&lt;=0,"Out of Stock",IF(K7&lt;L7,"Low Stock",IF(K7&gt;M7,"Overstocked","Healthy Stock")))</f>
        <v>Healthy Stock</v>
      </c>
      <c r="Q7" s="17" t="n">
        <f aca="false">IF(K7&lt;L7,MAX(0,M7-K7),0)</f>
        <v>0</v>
      </c>
    </row>
    <row r="8" customFormat="false" ht="15" hidden="false" customHeight="false" outlineLevel="0" collapsed="false">
      <c r="A8" s="26" t="s">
        <v>198</v>
      </c>
      <c r="B8" s="27" t="str">
        <f aca="false">VLOOKUP(A8,'Product Master'!$A$5:$K$104,2,FALSE())</f>
        <v>Everyday Personal Item 004</v>
      </c>
      <c r="C8" s="27" t="s">
        <v>42</v>
      </c>
      <c r="D8" s="26" t="s">
        <v>151</v>
      </c>
      <c r="E8" s="27" t="str">
        <f aca="false">VLOOKUP(D8,'Supplier Database'!$A$5:$K$29,2,FALSE())</f>
        <v>Delta Trading Co.</v>
      </c>
      <c r="F8" s="27" t="s">
        <v>79</v>
      </c>
      <c r="G8" s="28" t="n">
        <v>57</v>
      </c>
      <c r="H8" s="28" t="n">
        <v>87</v>
      </c>
      <c r="I8" s="28" t="n">
        <f aca="false">SUMIFS('Order Tracking'!$J$5:$J$604,'Order Tracking'!$G$5:$G$604,A8,'Order Tracking'!$M$5:$M$604,"&lt;&gt;Cancelled")</f>
        <v>27</v>
      </c>
      <c r="J8" s="28" t="n">
        <v>0</v>
      </c>
      <c r="K8" s="28" t="n">
        <f aca="false">G8+H8-I8+J8</f>
        <v>117</v>
      </c>
      <c r="L8" s="28" t="n">
        <v>53</v>
      </c>
      <c r="M8" s="28" t="n">
        <v>371</v>
      </c>
      <c r="N8" s="29" t="n">
        <f aca="false">VLOOKUP(A8,'Product Master'!$A$5:$K$104,5,FALSE())</f>
        <v>3791.99</v>
      </c>
      <c r="O8" s="29" t="n">
        <f aca="false">K8*N8</f>
        <v>443662.83</v>
      </c>
      <c r="P8" s="32" t="str">
        <f aca="false">IF(K8&lt;=0,"Out of Stock",IF(K8&lt;L8,"Low Stock",IF(K8&gt;M8,"Overstocked","Healthy Stock")))</f>
        <v>Healthy Stock</v>
      </c>
      <c r="Q8" s="28" t="n">
        <f aca="false">IF(K8&lt;L8,MAX(0,M8-K8),0)</f>
        <v>0</v>
      </c>
    </row>
    <row r="9" customFormat="false" ht="15" hidden="false" customHeight="false" outlineLevel="0" collapsed="false">
      <c r="A9" s="18" t="s">
        <v>199</v>
      </c>
      <c r="B9" s="20" t="str">
        <f aca="false">VLOOKUP(A9,'Product Master'!$A$5:$K$104,2,FALSE())</f>
        <v>Everyday Industrial Item 005</v>
      </c>
      <c r="C9" s="20" t="s">
        <v>44</v>
      </c>
      <c r="D9" s="18" t="s">
        <v>152</v>
      </c>
      <c r="E9" s="20" t="str">
        <f aca="false">VLOOKUP(D9,'Supplier Database'!$A$5:$K$29,2,FALSE())</f>
        <v>Ever Logistics</v>
      </c>
      <c r="F9" s="20" t="s">
        <v>76</v>
      </c>
      <c r="G9" s="17" t="n">
        <v>39</v>
      </c>
      <c r="H9" s="17" t="n">
        <v>48</v>
      </c>
      <c r="I9" s="17" t="n">
        <f aca="false">SUMIFS('Order Tracking'!$J$5:$J$604,'Order Tracking'!$G$5:$G$604,A9,'Order Tracking'!$M$5:$M$604,"&lt;&gt;Cancelled")</f>
        <v>87</v>
      </c>
      <c r="J9" s="17" t="n">
        <v>0</v>
      </c>
      <c r="K9" s="17" t="n">
        <f aca="false">G9+H9-I9+J9</f>
        <v>0</v>
      </c>
      <c r="L9" s="17" t="n">
        <v>28</v>
      </c>
      <c r="M9" s="17" t="n">
        <v>112</v>
      </c>
      <c r="N9" s="16" t="n">
        <f aca="false">VLOOKUP(A9,'Product Master'!$A$5:$K$104,5,FALSE())</f>
        <v>988.05</v>
      </c>
      <c r="O9" s="16" t="n">
        <f aca="false">K9*N9</f>
        <v>0</v>
      </c>
      <c r="P9" s="23" t="str">
        <f aca="false">IF(K9&lt;=0,"Out of Stock",IF(K9&lt;L9,"Low Stock",IF(K9&gt;M9,"Overstocked","Healthy Stock")))</f>
        <v>Out of Stock</v>
      </c>
      <c r="Q9" s="17" t="n">
        <f aca="false">IF(K9&lt;L9,MAX(0,M9-K9),0)</f>
        <v>112</v>
      </c>
    </row>
    <row r="10" customFormat="false" ht="15" hidden="false" customHeight="false" outlineLevel="0" collapsed="false">
      <c r="A10" s="26" t="s">
        <v>200</v>
      </c>
      <c r="B10" s="27" t="str">
        <f aca="false">VLOOKUP(A10,'Product Master'!$A$5:$K$104,2,FALSE())</f>
        <v>Pro Packaging Item 006</v>
      </c>
      <c r="C10" s="27" t="s">
        <v>45</v>
      </c>
      <c r="D10" s="26" t="s">
        <v>153</v>
      </c>
      <c r="E10" s="27" t="str">
        <f aca="false">VLOOKUP(D10,'Supplier Database'!$A$5:$K$29,2,FALSE())</f>
        <v>Frontier Wholesale</v>
      </c>
      <c r="F10" s="27" t="s">
        <v>76</v>
      </c>
      <c r="G10" s="28" t="n">
        <v>139</v>
      </c>
      <c r="H10" s="28" t="n">
        <v>209</v>
      </c>
      <c r="I10" s="28" t="n">
        <f aca="false">SUMIFS('Order Tracking'!$J$5:$J$604,'Order Tracking'!$G$5:$G$604,A10,'Order Tracking'!$M$5:$M$604,"&lt;&gt;Cancelled")</f>
        <v>94</v>
      </c>
      <c r="J10" s="28" t="n">
        <v>0</v>
      </c>
      <c r="K10" s="28" t="n">
        <f aca="false">G10+H10-I10+J10</f>
        <v>254</v>
      </c>
      <c r="L10" s="28" t="n">
        <v>41</v>
      </c>
      <c r="M10" s="28" t="n">
        <v>369</v>
      </c>
      <c r="N10" s="29" t="n">
        <f aca="false">VLOOKUP(A10,'Product Master'!$A$5:$K$104,5,FALSE())</f>
        <v>1422.65</v>
      </c>
      <c r="O10" s="29" t="n">
        <f aca="false">K10*N10</f>
        <v>361353.1</v>
      </c>
      <c r="P10" s="32" t="str">
        <f aca="false">IF(K10&lt;=0,"Out of Stock",IF(K10&lt;L10,"Low Stock",IF(K10&gt;M10,"Overstocked","Healthy Stock")))</f>
        <v>Healthy Stock</v>
      </c>
      <c r="Q10" s="28" t="n">
        <f aca="false">IF(K10&lt;L10,MAX(0,M10-K10),0)</f>
        <v>0</v>
      </c>
    </row>
    <row r="11" customFormat="false" ht="15" hidden="false" customHeight="false" outlineLevel="0" collapsed="false">
      <c r="A11" s="18" t="s">
        <v>201</v>
      </c>
      <c r="B11" s="20" t="str">
        <f aca="false">VLOOKUP(A11,'Product Master'!$A$5:$K$104,2,FALSE())</f>
        <v>Everyday Apparel Item 007</v>
      </c>
      <c r="C11" s="20" t="s">
        <v>46</v>
      </c>
      <c r="D11" s="18" t="s">
        <v>154</v>
      </c>
      <c r="E11" s="20" t="str">
        <f aca="false">VLOOKUP(D11,'Supplier Database'!$A$5:$K$29,2,FALSE())</f>
        <v>Global Partners</v>
      </c>
      <c r="F11" s="20" t="s">
        <v>76</v>
      </c>
      <c r="G11" s="17" t="n">
        <v>46</v>
      </c>
      <c r="H11" s="17" t="n">
        <v>71</v>
      </c>
      <c r="I11" s="17" t="n">
        <f aca="false">SUMIFS('Order Tracking'!$J$5:$J$604,'Order Tracking'!$G$5:$G$604,A11,'Order Tracking'!$M$5:$M$604,"&lt;&gt;Cancelled")</f>
        <v>20</v>
      </c>
      <c r="J11" s="17" t="n">
        <v>0</v>
      </c>
      <c r="K11" s="17" t="n">
        <f aca="false">G11+H11-I11+J11</f>
        <v>97</v>
      </c>
      <c r="L11" s="17" t="n">
        <v>26</v>
      </c>
      <c r="M11" s="17" t="n">
        <v>130</v>
      </c>
      <c r="N11" s="16" t="n">
        <f aca="false">VLOOKUP(A11,'Product Master'!$A$5:$K$104,5,FALSE())</f>
        <v>7267.41</v>
      </c>
      <c r="O11" s="16" t="n">
        <f aca="false">K11*N11</f>
        <v>704938.77</v>
      </c>
      <c r="P11" s="23" t="str">
        <f aca="false">IF(K11&lt;=0,"Out of Stock",IF(K11&lt;L11,"Low Stock",IF(K11&gt;M11,"Overstocked","Healthy Stock")))</f>
        <v>Healthy Stock</v>
      </c>
      <c r="Q11" s="17" t="n">
        <f aca="false">IF(K11&lt;L11,MAX(0,M11-K11),0)</f>
        <v>0</v>
      </c>
    </row>
    <row r="12" customFormat="false" ht="15" hidden="false" customHeight="false" outlineLevel="0" collapsed="false">
      <c r="A12" s="26" t="s">
        <v>202</v>
      </c>
      <c r="B12" s="27" t="str">
        <f aca="false">VLOOKUP(A12,'Product Master'!$A$5:$K$104,2,FALSE())</f>
        <v>Smart Automotive Item 008</v>
      </c>
      <c r="C12" s="27" t="s">
        <v>47</v>
      </c>
      <c r="D12" s="26" t="s">
        <v>155</v>
      </c>
      <c r="E12" s="27" t="str">
        <f aca="false">VLOOKUP(D12,'Supplier Database'!$A$5:$K$29,2,FALSE())</f>
        <v>Horizon Supplies</v>
      </c>
      <c r="F12" s="27" t="s">
        <v>80</v>
      </c>
      <c r="G12" s="28" t="n">
        <v>500</v>
      </c>
      <c r="H12" s="28" t="n">
        <v>751</v>
      </c>
      <c r="I12" s="28" t="n">
        <f aca="false">SUMIFS('Order Tracking'!$J$5:$J$604,'Order Tracking'!$G$5:$G$604,A12,'Order Tracking'!$M$5:$M$604,"&lt;&gt;Cancelled")</f>
        <v>149</v>
      </c>
      <c r="J12" s="28" t="n">
        <v>11</v>
      </c>
      <c r="K12" s="28" t="n">
        <f aca="false">G12+H12-I12+J12</f>
        <v>1113</v>
      </c>
      <c r="L12" s="28" t="n">
        <v>48</v>
      </c>
      <c r="M12" s="28" t="n">
        <v>240</v>
      </c>
      <c r="N12" s="29" t="n">
        <f aca="false">VLOOKUP(A12,'Product Master'!$A$5:$K$104,5,FALSE())</f>
        <v>7069.94</v>
      </c>
      <c r="O12" s="29" t="n">
        <f aca="false">K12*N12</f>
        <v>7868843.22</v>
      </c>
      <c r="P12" s="32" t="str">
        <f aca="false">IF(K12&lt;=0,"Out of Stock",IF(K12&lt;L12,"Low Stock",IF(K12&gt;M12,"Overstocked","Healthy Stock")))</f>
        <v>Overstocked</v>
      </c>
      <c r="Q12" s="28" t="n">
        <f aca="false">IF(K12&lt;L12,MAX(0,M12-K12),0)</f>
        <v>0</v>
      </c>
    </row>
    <row r="13" customFormat="false" ht="15" hidden="false" customHeight="false" outlineLevel="0" collapsed="false">
      <c r="A13" s="18" t="s">
        <v>203</v>
      </c>
      <c r="B13" s="20" t="str">
        <f aca="false">VLOOKUP(A13,'Product Master'!$A$5:$K$104,2,FALSE())</f>
        <v>Essential Electronics Item 009</v>
      </c>
      <c r="C13" s="20" t="s">
        <v>36</v>
      </c>
      <c r="D13" s="18" t="s">
        <v>156</v>
      </c>
      <c r="E13" s="20" t="str">
        <f aca="false">VLOOKUP(D13,'Supplier Database'!$A$5:$K$29,2,FALSE())</f>
        <v>Indus Distributors</v>
      </c>
      <c r="F13" s="20" t="s">
        <v>76</v>
      </c>
      <c r="G13" s="17" t="n">
        <v>36</v>
      </c>
      <c r="H13" s="17" t="n">
        <v>44</v>
      </c>
      <c r="I13" s="17" t="n">
        <f aca="false">SUMIFS('Order Tracking'!$J$5:$J$604,'Order Tracking'!$G$5:$G$604,A13,'Order Tracking'!$M$5:$M$604,"&lt;&gt;Cancelled")</f>
        <v>80</v>
      </c>
      <c r="J13" s="17" t="n">
        <v>0</v>
      </c>
      <c r="K13" s="17" t="n">
        <f aca="false">G13+H13-I13+J13</f>
        <v>0</v>
      </c>
      <c r="L13" s="17" t="n">
        <v>24</v>
      </c>
      <c r="M13" s="17" t="n">
        <v>96</v>
      </c>
      <c r="N13" s="16" t="n">
        <f aca="false">VLOOKUP(A13,'Product Master'!$A$5:$K$104,5,FALSE())</f>
        <v>3822.58</v>
      </c>
      <c r="O13" s="16" t="n">
        <f aca="false">K13*N13</f>
        <v>0</v>
      </c>
      <c r="P13" s="23" t="str">
        <f aca="false">IF(K13&lt;=0,"Out of Stock",IF(K13&lt;L13,"Low Stock",IF(K13&gt;M13,"Overstocked","Healthy Stock")))</f>
        <v>Out of Stock</v>
      </c>
      <c r="Q13" s="17" t="n">
        <f aca="false">IF(K13&lt;L13,MAX(0,M13-K13),0)</f>
        <v>96</v>
      </c>
    </row>
    <row r="14" customFormat="false" ht="15" hidden="false" customHeight="false" outlineLevel="0" collapsed="false">
      <c r="A14" s="26" t="s">
        <v>204</v>
      </c>
      <c r="B14" s="27" t="str">
        <f aca="false">VLOOKUP(A14,'Product Master'!$A$5:$K$104,2,FALSE())</f>
        <v>Essential Home Item 010</v>
      </c>
      <c r="C14" s="27" t="s">
        <v>38</v>
      </c>
      <c r="D14" s="26" t="s">
        <v>157</v>
      </c>
      <c r="E14" s="27" t="str">
        <f aca="false">VLOOKUP(D14,'Supplier Database'!$A$5:$K$29,2,FALSE())</f>
        <v>Jupiter Industries</v>
      </c>
      <c r="F14" s="27" t="s">
        <v>76</v>
      </c>
      <c r="G14" s="28" t="n">
        <v>67</v>
      </c>
      <c r="H14" s="28" t="n">
        <v>102</v>
      </c>
      <c r="I14" s="28" t="n">
        <f aca="false">SUMIFS('Order Tracking'!$J$5:$J$604,'Order Tracking'!$G$5:$G$604,A14,'Order Tracking'!$M$5:$M$604,"&lt;&gt;Cancelled")</f>
        <v>147</v>
      </c>
      <c r="J14" s="28" t="n">
        <v>0</v>
      </c>
      <c r="K14" s="28" t="n">
        <f aca="false">G14+H14-I14+J14</f>
        <v>22</v>
      </c>
      <c r="L14" s="28" t="n">
        <v>33</v>
      </c>
      <c r="M14" s="28" t="n">
        <v>297</v>
      </c>
      <c r="N14" s="29" t="n">
        <f aca="false">VLOOKUP(A14,'Product Master'!$A$5:$K$104,5,FALSE())</f>
        <v>5910.74</v>
      </c>
      <c r="O14" s="29" t="n">
        <f aca="false">K14*N14</f>
        <v>130036.28</v>
      </c>
      <c r="P14" s="32" t="str">
        <f aca="false">IF(K14&lt;=0,"Out of Stock",IF(K14&lt;L14,"Low Stock",IF(K14&gt;M14,"Overstocked","Healthy Stock")))</f>
        <v>Low Stock</v>
      </c>
      <c r="Q14" s="28" t="n">
        <f aca="false">IF(K14&lt;L14,MAX(0,M14-K14),0)</f>
        <v>275</v>
      </c>
    </row>
    <row r="15" customFormat="false" ht="15" hidden="false" customHeight="false" outlineLevel="0" collapsed="false">
      <c r="A15" s="18" t="s">
        <v>205</v>
      </c>
      <c r="B15" s="20" t="str">
        <f aca="false">VLOOKUP(A15,'Product Master'!$A$5:$K$104,2,FALSE())</f>
        <v>Essential Office Item 011</v>
      </c>
      <c r="C15" s="20" t="s">
        <v>40</v>
      </c>
      <c r="D15" s="18" t="s">
        <v>158</v>
      </c>
      <c r="E15" s="20" t="str">
        <f aca="false">VLOOKUP(D15,'Supplier Database'!$A$5:$K$29,2,FALSE())</f>
        <v>Kinetic Trading Co.</v>
      </c>
      <c r="F15" s="20" t="s">
        <v>80</v>
      </c>
      <c r="G15" s="17" t="n">
        <v>144</v>
      </c>
      <c r="H15" s="17" t="n">
        <v>217</v>
      </c>
      <c r="I15" s="17" t="n">
        <f aca="false">SUMIFS('Order Tracking'!$J$5:$J$604,'Order Tracking'!$G$5:$G$604,A15,'Order Tracking'!$M$5:$M$604,"&lt;&gt;Cancelled")</f>
        <v>24</v>
      </c>
      <c r="J15" s="17" t="n">
        <v>0</v>
      </c>
      <c r="K15" s="17" t="n">
        <f aca="false">G15+H15-I15+J15</f>
        <v>337</v>
      </c>
      <c r="L15" s="17" t="n">
        <v>41</v>
      </c>
      <c r="M15" s="17" t="n">
        <v>205</v>
      </c>
      <c r="N15" s="16" t="n">
        <f aca="false">VLOOKUP(A15,'Product Master'!$A$5:$K$104,5,FALSE())</f>
        <v>470.53</v>
      </c>
      <c r="O15" s="16" t="n">
        <f aca="false">K15*N15</f>
        <v>158568.61</v>
      </c>
      <c r="P15" s="23" t="str">
        <f aca="false">IF(K15&lt;=0,"Out of Stock",IF(K15&lt;L15,"Low Stock",IF(K15&gt;M15,"Overstocked","Healthy Stock")))</f>
        <v>Overstocked</v>
      </c>
      <c r="Q15" s="17" t="n">
        <f aca="false">IF(K15&lt;L15,MAX(0,M15-K15),0)</f>
        <v>0</v>
      </c>
    </row>
    <row r="16" customFormat="false" ht="15" hidden="false" customHeight="false" outlineLevel="0" collapsed="false">
      <c r="A16" s="26" t="s">
        <v>206</v>
      </c>
      <c r="B16" s="27" t="str">
        <f aca="false">VLOOKUP(A16,'Product Master'!$A$5:$K$104,2,FALSE())</f>
        <v>Eco Personal Item 012</v>
      </c>
      <c r="C16" s="27" t="s">
        <v>42</v>
      </c>
      <c r="D16" s="26" t="s">
        <v>159</v>
      </c>
      <c r="E16" s="27" t="str">
        <f aca="false">VLOOKUP(D16,'Supplier Database'!$A$5:$K$29,2,FALSE())</f>
        <v>Lotus Logistics</v>
      </c>
      <c r="F16" s="27" t="s">
        <v>78</v>
      </c>
      <c r="G16" s="28" t="n">
        <v>123</v>
      </c>
      <c r="H16" s="28" t="n">
        <v>186</v>
      </c>
      <c r="I16" s="28" t="n">
        <f aca="false">SUMIFS('Order Tracking'!$J$5:$J$604,'Order Tracking'!$G$5:$G$604,A16,'Order Tracking'!$M$5:$M$604,"&lt;&gt;Cancelled")</f>
        <v>147</v>
      </c>
      <c r="J16" s="28" t="n">
        <v>0</v>
      </c>
      <c r="K16" s="28" t="n">
        <f aca="false">G16+H16-I16+J16</f>
        <v>162</v>
      </c>
      <c r="L16" s="28" t="n">
        <v>45</v>
      </c>
      <c r="M16" s="28" t="n">
        <v>225</v>
      </c>
      <c r="N16" s="29" t="n">
        <f aca="false">VLOOKUP(A16,'Product Master'!$A$5:$K$104,5,FALSE())</f>
        <v>5708.9</v>
      </c>
      <c r="O16" s="29" t="n">
        <f aca="false">K16*N16</f>
        <v>924841.8</v>
      </c>
      <c r="P16" s="32" t="str">
        <f aca="false">IF(K16&lt;=0,"Out of Stock",IF(K16&lt;L16,"Low Stock",IF(K16&gt;M16,"Overstocked","Healthy Stock")))</f>
        <v>Healthy Stock</v>
      </c>
      <c r="Q16" s="28" t="n">
        <f aca="false">IF(K16&lt;L16,MAX(0,M16-K16),0)</f>
        <v>0</v>
      </c>
    </row>
    <row r="17" customFormat="false" ht="15" hidden="false" customHeight="false" outlineLevel="0" collapsed="false">
      <c r="A17" s="18" t="s">
        <v>207</v>
      </c>
      <c r="B17" s="20" t="str">
        <f aca="false">VLOOKUP(A17,'Product Master'!$A$5:$K$104,2,FALSE())</f>
        <v>Eco Industrial Item 013</v>
      </c>
      <c r="C17" s="20" t="s">
        <v>44</v>
      </c>
      <c r="D17" s="18" t="s">
        <v>160</v>
      </c>
      <c r="E17" s="20" t="str">
        <f aca="false">VLOOKUP(D17,'Supplier Database'!$A$5:$K$29,2,FALSE())</f>
        <v>Meridian Wholesale</v>
      </c>
      <c r="F17" s="20" t="s">
        <v>77</v>
      </c>
      <c r="G17" s="17" t="n">
        <v>90</v>
      </c>
      <c r="H17" s="17" t="n">
        <v>137</v>
      </c>
      <c r="I17" s="17" t="n">
        <f aca="false">SUMIFS('Order Tracking'!$J$5:$J$604,'Order Tracking'!$G$5:$G$604,A17,'Order Tracking'!$M$5:$M$604,"&lt;&gt;Cancelled")</f>
        <v>45</v>
      </c>
      <c r="J17" s="17" t="n">
        <v>0</v>
      </c>
      <c r="K17" s="17" t="n">
        <f aca="false">G17+H17-I17+J17</f>
        <v>182</v>
      </c>
      <c r="L17" s="17" t="n">
        <v>37</v>
      </c>
      <c r="M17" s="17" t="n">
        <v>259</v>
      </c>
      <c r="N17" s="16" t="n">
        <f aca="false">VLOOKUP(A17,'Product Master'!$A$5:$K$104,5,FALSE())</f>
        <v>8300.61</v>
      </c>
      <c r="O17" s="16" t="n">
        <f aca="false">K17*N17</f>
        <v>1510711.02</v>
      </c>
      <c r="P17" s="23" t="str">
        <f aca="false">IF(K17&lt;=0,"Out of Stock",IF(K17&lt;L17,"Low Stock",IF(K17&gt;M17,"Overstocked","Healthy Stock")))</f>
        <v>Healthy Stock</v>
      </c>
      <c r="Q17" s="17" t="n">
        <f aca="false">IF(K17&lt;L17,MAX(0,M17-K17),0)</f>
        <v>0</v>
      </c>
    </row>
    <row r="18" customFormat="false" ht="15" hidden="false" customHeight="false" outlineLevel="0" collapsed="false">
      <c r="A18" s="26" t="s">
        <v>208</v>
      </c>
      <c r="B18" s="27" t="str">
        <f aca="false">VLOOKUP(A18,'Product Master'!$A$5:$K$104,2,FALSE())</f>
        <v>Pro Packaging Item 014</v>
      </c>
      <c r="C18" s="27" t="s">
        <v>45</v>
      </c>
      <c r="D18" s="26" t="s">
        <v>161</v>
      </c>
      <c r="E18" s="27" t="str">
        <f aca="false">VLOOKUP(D18,'Supplier Database'!$A$5:$K$29,2,FALSE())</f>
        <v>Northstar Partners</v>
      </c>
      <c r="F18" s="27" t="s">
        <v>80</v>
      </c>
      <c r="G18" s="28" t="n">
        <v>243</v>
      </c>
      <c r="H18" s="28" t="n">
        <v>366</v>
      </c>
      <c r="I18" s="28" t="n">
        <f aca="false">SUMIFS('Order Tracking'!$J$5:$J$604,'Order Tracking'!$G$5:$G$604,A18,'Order Tracking'!$M$5:$M$604,"&lt;&gt;Cancelled")</f>
        <v>54</v>
      </c>
      <c r="J18" s="28" t="n">
        <v>0</v>
      </c>
      <c r="K18" s="28" t="n">
        <f aca="false">G18+H18-I18+J18</f>
        <v>555</v>
      </c>
      <c r="L18" s="28" t="n">
        <v>35</v>
      </c>
      <c r="M18" s="28" t="n">
        <v>140</v>
      </c>
      <c r="N18" s="29" t="n">
        <f aca="false">VLOOKUP(A18,'Product Master'!$A$5:$K$104,5,FALSE())</f>
        <v>2903.71</v>
      </c>
      <c r="O18" s="29" t="n">
        <f aca="false">K18*N18</f>
        <v>1611559.05</v>
      </c>
      <c r="P18" s="32" t="str">
        <f aca="false">IF(K18&lt;=0,"Out of Stock",IF(K18&lt;L18,"Low Stock",IF(K18&gt;M18,"Overstocked","Healthy Stock")))</f>
        <v>Overstocked</v>
      </c>
      <c r="Q18" s="28" t="n">
        <f aca="false">IF(K18&lt;L18,MAX(0,M18-K18),0)</f>
        <v>0</v>
      </c>
    </row>
    <row r="19" customFormat="false" ht="15" hidden="false" customHeight="false" outlineLevel="0" collapsed="false">
      <c r="A19" s="18" t="s">
        <v>209</v>
      </c>
      <c r="B19" s="20" t="str">
        <f aca="false">VLOOKUP(A19,'Product Master'!$A$5:$K$104,2,FALSE())</f>
        <v>Classic Apparel Item 015</v>
      </c>
      <c r="C19" s="20" t="s">
        <v>46</v>
      </c>
      <c r="D19" s="18" t="s">
        <v>162</v>
      </c>
      <c r="E19" s="20" t="str">
        <f aca="false">VLOOKUP(D19,'Supplier Database'!$A$5:$K$29,2,FALSE())</f>
        <v>Orbit Supplies</v>
      </c>
      <c r="F19" s="20" t="s">
        <v>80</v>
      </c>
      <c r="G19" s="17" t="n">
        <v>87</v>
      </c>
      <c r="H19" s="17" t="n">
        <v>131</v>
      </c>
      <c r="I19" s="17" t="n">
        <f aca="false">SUMIFS('Order Tracking'!$J$5:$J$604,'Order Tracking'!$G$5:$G$604,A19,'Order Tracking'!$M$5:$M$604,"&lt;&gt;Cancelled")</f>
        <v>48</v>
      </c>
      <c r="J19" s="17" t="n">
        <v>0</v>
      </c>
      <c r="K19" s="17" t="n">
        <f aca="false">G19+H19-I19+J19</f>
        <v>170</v>
      </c>
      <c r="L19" s="17" t="n">
        <v>40</v>
      </c>
      <c r="M19" s="17" t="n">
        <v>240</v>
      </c>
      <c r="N19" s="16" t="n">
        <f aca="false">VLOOKUP(A19,'Product Master'!$A$5:$K$104,5,FALSE())</f>
        <v>1025.84</v>
      </c>
      <c r="O19" s="16" t="n">
        <f aca="false">K19*N19</f>
        <v>174392.8</v>
      </c>
      <c r="P19" s="23" t="str">
        <f aca="false">IF(K19&lt;=0,"Out of Stock",IF(K19&lt;L19,"Low Stock",IF(K19&gt;M19,"Overstocked","Healthy Stock")))</f>
        <v>Healthy Stock</v>
      </c>
      <c r="Q19" s="17" t="n">
        <f aca="false">IF(K19&lt;L19,MAX(0,M19-K19),0)</f>
        <v>0</v>
      </c>
    </row>
    <row r="20" customFormat="false" ht="15" hidden="false" customHeight="false" outlineLevel="0" collapsed="false">
      <c r="A20" s="26" t="s">
        <v>210</v>
      </c>
      <c r="B20" s="27" t="str">
        <f aca="false">VLOOKUP(A20,'Product Master'!$A$5:$K$104,2,FALSE())</f>
        <v>Pro Automotive Item 016</v>
      </c>
      <c r="C20" s="27" t="s">
        <v>47</v>
      </c>
      <c r="D20" s="26" t="s">
        <v>163</v>
      </c>
      <c r="E20" s="27" t="str">
        <f aca="false">VLOOKUP(D20,'Supplier Database'!$A$5:$K$29,2,FALSE())</f>
        <v>Pioneer Distributors</v>
      </c>
      <c r="F20" s="27" t="s">
        <v>76</v>
      </c>
      <c r="G20" s="28" t="n">
        <v>60</v>
      </c>
      <c r="H20" s="28" t="n">
        <v>92</v>
      </c>
      <c r="I20" s="28" t="n">
        <f aca="false">SUMIFS('Order Tracking'!$J$5:$J$604,'Order Tracking'!$G$5:$G$604,A20,'Order Tracking'!$M$5:$M$604,"&lt;&gt;Cancelled")</f>
        <v>101</v>
      </c>
      <c r="J20" s="28" t="n">
        <v>2</v>
      </c>
      <c r="K20" s="28" t="n">
        <f aca="false">G20+H20-I20+J20</f>
        <v>53</v>
      </c>
      <c r="L20" s="28" t="n">
        <v>18</v>
      </c>
      <c r="M20" s="28" t="n">
        <v>72</v>
      </c>
      <c r="N20" s="29" t="n">
        <f aca="false">VLOOKUP(A20,'Product Master'!$A$5:$K$104,5,FALSE())</f>
        <v>3977.34</v>
      </c>
      <c r="O20" s="29" t="n">
        <f aca="false">K20*N20</f>
        <v>210799.02</v>
      </c>
      <c r="P20" s="32" t="str">
        <f aca="false">IF(K20&lt;=0,"Out of Stock",IF(K20&lt;L20,"Low Stock",IF(K20&gt;M20,"Overstocked","Healthy Stock")))</f>
        <v>Healthy Stock</v>
      </c>
      <c r="Q20" s="28" t="n">
        <f aca="false">IF(K20&lt;L20,MAX(0,M20-K20),0)</f>
        <v>0</v>
      </c>
    </row>
    <row r="21" customFormat="false" ht="15" hidden="false" customHeight="false" outlineLevel="0" collapsed="false">
      <c r="A21" s="18" t="s">
        <v>211</v>
      </c>
      <c r="B21" s="20" t="str">
        <f aca="false">VLOOKUP(A21,'Product Master'!$A$5:$K$104,2,FALSE())</f>
        <v>Premium Electronics Item 017</v>
      </c>
      <c r="C21" s="20" t="s">
        <v>36</v>
      </c>
      <c r="D21" s="18" t="s">
        <v>164</v>
      </c>
      <c r="E21" s="20" t="str">
        <f aca="false">VLOOKUP(D21,'Supplier Database'!$A$5:$K$29,2,FALSE())</f>
        <v>Quantum Industries</v>
      </c>
      <c r="F21" s="20" t="s">
        <v>78</v>
      </c>
      <c r="G21" s="17" t="n">
        <v>12</v>
      </c>
      <c r="H21" s="17" t="n">
        <v>16</v>
      </c>
      <c r="I21" s="17" t="n">
        <f aca="false">SUMIFS('Order Tracking'!$J$5:$J$604,'Order Tracking'!$G$5:$G$604,A21,'Order Tracking'!$M$5:$M$604,"&lt;&gt;Cancelled")</f>
        <v>28</v>
      </c>
      <c r="J21" s="17" t="n">
        <v>0</v>
      </c>
      <c r="K21" s="17" t="n">
        <f aca="false">G21+H21-I21+J21</f>
        <v>0</v>
      </c>
      <c r="L21" s="17" t="n">
        <v>59</v>
      </c>
      <c r="M21" s="17" t="n">
        <v>472</v>
      </c>
      <c r="N21" s="16" t="n">
        <f aca="false">VLOOKUP(A21,'Product Master'!$A$5:$K$104,5,FALSE())</f>
        <v>3459.14</v>
      </c>
      <c r="O21" s="16" t="n">
        <f aca="false">K21*N21</f>
        <v>0</v>
      </c>
      <c r="P21" s="23" t="str">
        <f aca="false">IF(K21&lt;=0,"Out of Stock",IF(K21&lt;L21,"Low Stock",IF(K21&gt;M21,"Overstocked","Healthy Stock")))</f>
        <v>Out of Stock</v>
      </c>
      <c r="Q21" s="17" t="n">
        <f aca="false">IF(K21&lt;L21,MAX(0,M21-K21),0)</f>
        <v>472</v>
      </c>
    </row>
    <row r="22" customFormat="false" ht="15" hidden="false" customHeight="false" outlineLevel="0" collapsed="false">
      <c r="A22" s="26" t="s">
        <v>212</v>
      </c>
      <c r="B22" s="27" t="str">
        <f aca="false">VLOOKUP(A22,'Product Master'!$A$5:$K$104,2,FALSE())</f>
        <v>Smart Home Item 018</v>
      </c>
      <c r="C22" s="27" t="s">
        <v>38</v>
      </c>
      <c r="D22" s="26" t="s">
        <v>165</v>
      </c>
      <c r="E22" s="27" t="str">
        <f aca="false">VLOOKUP(D22,'Supplier Database'!$A$5:$K$29,2,FALSE())</f>
        <v>Riverstone Trading Co.</v>
      </c>
      <c r="F22" s="27" t="s">
        <v>79</v>
      </c>
      <c r="G22" s="28" t="n">
        <v>48</v>
      </c>
      <c r="H22" s="28" t="n">
        <v>72</v>
      </c>
      <c r="I22" s="28" t="n">
        <f aca="false">SUMIFS('Order Tracking'!$J$5:$J$604,'Order Tracking'!$G$5:$G$604,A22,'Order Tracking'!$M$5:$M$604,"&lt;&gt;Cancelled")</f>
        <v>91</v>
      </c>
      <c r="J22" s="28" t="n">
        <v>0</v>
      </c>
      <c r="K22" s="28" t="n">
        <f aca="false">G22+H22-I22+J22</f>
        <v>29</v>
      </c>
      <c r="L22" s="28" t="n">
        <v>29</v>
      </c>
      <c r="M22" s="28" t="n">
        <v>232</v>
      </c>
      <c r="N22" s="29" t="n">
        <f aca="false">VLOOKUP(A22,'Product Master'!$A$5:$K$104,5,FALSE())</f>
        <v>3469.3</v>
      </c>
      <c r="O22" s="29" t="n">
        <f aca="false">K22*N22</f>
        <v>100609.7</v>
      </c>
      <c r="P22" s="32" t="str">
        <f aca="false">IF(K22&lt;=0,"Out of Stock",IF(K22&lt;L22,"Low Stock",IF(K22&gt;M22,"Overstocked","Healthy Stock")))</f>
        <v>Healthy Stock</v>
      </c>
      <c r="Q22" s="28" t="n">
        <f aca="false">IF(K22&lt;L22,MAX(0,M22-K22),0)</f>
        <v>0</v>
      </c>
    </row>
    <row r="23" customFormat="false" ht="15" hidden="false" customHeight="false" outlineLevel="0" collapsed="false">
      <c r="A23" s="18" t="s">
        <v>213</v>
      </c>
      <c r="B23" s="20" t="str">
        <f aca="false">VLOOKUP(A23,'Product Master'!$A$5:$K$104,2,FALSE())</f>
        <v>Everyday Office Item 019</v>
      </c>
      <c r="C23" s="20" t="s">
        <v>40</v>
      </c>
      <c r="D23" s="18" t="s">
        <v>166</v>
      </c>
      <c r="E23" s="20" t="str">
        <f aca="false">VLOOKUP(D23,'Supplier Database'!$A$5:$K$29,2,FALSE())</f>
        <v>Summit Logistics</v>
      </c>
      <c r="F23" s="20" t="s">
        <v>76</v>
      </c>
      <c r="G23" s="17" t="n">
        <v>58</v>
      </c>
      <c r="H23" s="17" t="n">
        <v>89</v>
      </c>
      <c r="I23" s="17" t="n">
        <f aca="false">SUMIFS('Order Tracking'!$J$5:$J$604,'Order Tracking'!$G$5:$G$604,A23,'Order Tracking'!$M$5:$M$604,"&lt;&gt;Cancelled")</f>
        <v>65</v>
      </c>
      <c r="J23" s="17" t="n">
        <v>0</v>
      </c>
      <c r="K23" s="17" t="n">
        <f aca="false">G23+H23-I23+J23</f>
        <v>82</v>
      </c>
      <c r="L23" s="17" t="n">
        <v>28</v>
      </c>
      <c r="M23" s="17" t="n">
        <v>112</v>
      </c>
      <c r="N23" s="16" t="n">
        <f aca="false">VLOOKUP(A23,'Product Master'!$A$5:$K$104,5,FALSE())</f>
        <v>2308.98</v>
      </c>
      <c r="O23" s="16" t="n">
        <f aca="false">K23*N23</f>
        <v>189336.36</v>
      </c>
      <c r="P23" s="23" t="str">
        <f aca="false">IF(K23&lt;=0,"Out of Stock",IF(K23&lt;L23,"Low Stock",IF(K23&gt;M23,"Overstocked","Healthy Stock")))</f>
        <v>Healthy Stock</v>
      </c>
      <c r="Q23" s="17" t="n">
        <f aca="false">IF(K23&lt;L23,MAX(0,M23-K23),0)</f>
        <v>0</v>
      </c>
    </row>
    <row r="24" customFormat="false" ht="15" hidden="false" customHeight="false" outlineLevel="0" collapsed="false">
      <c r="A24" s="26" t="s">
        <v>214</v>
      </c>
      <c r="B24" s="27" t="str">
        <f aca="false">VLOOKUP(A24,'Product Master'!$A$5:$K$104,2,FALSE())</f>
        <v>Eco Personal Item 020</v>
      </c>
      <c r="C24" s="27" t="s">
        <v>42</v>
      </c>
      <c r="D24" s="26" t="s">
        <v>167</v>
      </c>
      <c r="E24" s="27" t="str">
        <f aca="false">VLOOKUP(D24,'Supplier Database'!$A$5:$K$29,2,FALSE())</f>
        <v>Trident Wholesale</v>
      </c>
      <c r="F24" s="27" t="s">
        <v>79</v>
      </c>
      <c r="G24" s="28" t="n">
        <v>187</v>
      </c>
      <c r="H24" s="28" t="n">
        <v>281</v>
      </c>
      <c r="I24" s="28" t="n">
        <f aca="false">SUMIFS('Order Tracking'!$J$5:$J$604,'Order Tracking'!$G$5:$G$604,A24,'Order Tracking'!$M$5:$M$604,"&lt;&gt;Cancelled")</f>
        <v>63</v>
      </c>
      <c r="J24" s="28" t="n">
        <v>1</v>
      </c>
      <c r="K24" s="28" t="n">
        <f aca="false">G24+H24-I24+J24</f>
        <v>406</v>
      </c>
      <c r="L24" s="28" t="n">
        <v>64</v>
      </c>
      <c r="M24" s="28" t="n">
        <v>448</v>
      </c>
      <c r="N24" s="29" t="n">
        <f aca="false">VLOOKUP(A24,'Product Master'!$A$5:$K$104,5,FALSE())</f>
        <v>3016.86</v>
      </c>
      <c r="O24" s="29" t="n">
        <f aca="false">K24*N24</f>
        <v>1224845.16</v>
      </c>
      <c r="P24" s="32" t="str">
        <f aca="false">IF(K24&lt;=0,"Out of Stock",IF(K24&lt;L24,"Low Stock",IF(K24&gt;M24,"Overstocked","Healthy Stock")))</f>
        <v>Healthy Stock</v>
      </c>
      <c r="Q24" s="28" t="n">
        <f aca="false">IF(K24&lt;L24,MAX(0,M24-K24),0)</f>
        <v>0</v>
      </c>
    </row>
    <row r="25" customFormat="false" ht="15" hidden="false" customHeight="false" outlineLevel="0" collapsed="false">
      <c r="A25" s="18" t="s">
        <v>215</v>
      </c>
      <c r="B25" s="20" t="str">
        <f aca="false">VLOOKUP(A25,'Product Master'!$A$5:$K$104,2,FALSE())</f>
        <v>Eco Industrial Item 021</v>
      </c>
      <c r="C25" s="20" t="s">
        <v>44</v>
      </c>
      <c r="D25" s="18" t="s">
        <v>168</v>
      </c>
      <c r="E25" s="20" t="str">
        <f aca="false">VLOOKUP(D25,'Supplier Database'!$A$5:$K$29,2,FALSE())</f>
        <v>Unity Partners</v>
      </c>
      <c r="F25" s="20" t="s">
        <v>78</v>
      </c>
      <c r="G25" s="17" t="n">
        <v>64</v>
      </c>
      <c r="H25" s="17" t="n">
        <v>97</v>
      </c>
      <c r="I25" s="17" t="n">
        <f aca="false">SUMIFS('Order Tracking'!$J$5:$J$604,'Order Tracking'!$G$5:$G$604,A25,'Order Tracking'!$M$5:$M$604,"&lt;&gt;Cancelled")</f>
        <v>44</v>
      </c>
      <c r="J25" s="17" t="n">
        <v>0</v>
      </c>
      <c r="K25" s="17" t="n">
        <f aca="false">G25+H25-I25+J25</f>
        <v>117</v>
      </c>
      <c r="L25" s="17" t="n">
        <v>40</v>
      </c>
      <c r="M25" s="17" t="n">
        <v>240</v>
      </c>
      <c r="N25" s="16" t="n">
        <f aca="false">VLOOKUP(A25,'Product Master'!$A$5:$K$104,5,FALSE())</f>
        <v>1712.86</v>
      </c>
      <c r="O25" s="16" t="n">
        <f aca="false">K25*N25</f>
        <v>200404.62</v>
      </c>
      <c r="P25" s="23" t="str">
        <f aca="false">IF(K25&lt;=0,"Out of Stock",IF(K25&lt;L25,"Low Stock",IF(K25&gt;M25,"Overstocked","Healthy Stock")))</f>
        <v>Healthy Stock</v>
      </c>
      <c r="Q25" s="17" t="n">
        <f aca="false">IF(K25&lt;L25,MAX(0,M25-K25),0)</f>
        <v>0</v>
      </c>
    </row>
    <row r="26" customFormat="false" ht="15" hidden="false" customHeight="false" outlineLevel="0" collapsed="false">
      <c r="A26" s="26" t="s">
        <v>216</v>
      </c>
      <c r="B26" s="27" t="str">
        <f aca="false">VLOOKUP(A26,'Product Master'!$A$5:$K$104,2,FALSE())</f>
        <v>Smart Packaging Item 022</v>
      </c>
      <c r="C26" s="27" t="s">
        <v>45</v>
      </c>
      <c r="D26" s="26" t="s">
        <v>169</v>
      </c>
      <c r="E26" s="27" t="str">
        <f aca="false">VLOOKUP(D26,'Supplier Database'!$A$5:$K$29,2,FALSE())</f>
        <v>Vertex Supplies</v>
      </c>
      <c r="F26" s="27" t="s">
        <v>79</v>
      </c>
      <c r="G26" s="28" t="n">
        <v>66</v>
      </c>
      <c r="H26" s="28" t="n">
        <v>99</v>
      </c>
      <c r="I26" s="28" t="n">
        <f aca="false">SUMIFS('Order Tracking'!$J$5:$J$604,'Order Tracking'!$G$5:$G$604,A26,'Order Tracking'!$M$5:$M$604,"&lt;&gt;Cancelled")</f>
        <v>41</v>
      </c>
      <c r="J26" s="28" t="n">
        <v>0</v>
      </c>
      <c r="K26" s="28" t="n">
        <f aca="false">G26+H26-I26+J26</f>
        <v>124</v>
      </c>
      <c r="L26" s="28" t="n">
        <v>30</v>
      </c>
      <c r="M26" s="28" t="n">
        <v>270</v>
      </c>
      <c r="N26" s="29" t="n">
        <f aca="false">VLOOKUP(A26,'Product Master'!$A$5:$K$104,5,FALSE())</f>
        <v>706.38</v>
      </c>
      <c r="O26" s="29" t="n">
        <f aca="false">K26*N26</f>
        <v>87591.12</v>
      </c>
      <c r="P26" s="32" t="str">
        <f aca="false">IF(K26&lt;=0,"Out of Stock",IF(K26&lt;L26,"Low Stock",IF(K26&gt;M26,"Overstocked","Healthy Stock")))</f>
        <v>Healthy Stock</v>
      </c>
      <c r="Q26" s="28" t="n">
        <f aca="false">IF(K26&lt;L26,MAX(0,M26-K26),0)</f>
        <v>0</v>
      </c>
    </row>
    <row r="27" customFormat="false" ht="15" hidden="false" customHeight="false" outlineLevel="0" collapsed="false">
      <c r="A27" s="18" t="s">
        <v>217</v>
      </c>
      <c r="B27" s="20" t="str">
        <f aca="false">VLOOKUP(A27,'Product Master'!$A$5:$K$104,2,FALSE())</f>
        <v>Eco Apparel Item 023</v>
      </c>
      <c r="C27" s="20" t="s">
        <v>46</v>
      </c>
      <c r="D27" s="18" t="s">
        <v>170</v>
      </c>
      <c r="E27" s="20" t="str">
        <f aca="false">VLOOKUP(D27,'Supplier Database'!$A$5:$K$29,2,FALSE())</f>
        <v>Westline Distributors</v>
      </c>
      <c r="F27" s="20" t="s">
        <v>76</v>
      </c>
      <c r="G27" s="17" t="n">
        <v>361</v>
      </c>
      <c r="H27" s="17" t="n">
        <v>542</v>
      </c>
      <c r="I27" s="17" t="n">
        <f aca="false">SUMIFS('Order Tracking'!$J$5:$J$604,'Order Tracking'!$G$5:$G$604,A27,'Order Tracking'!$M$5:$M$604,"&lt;&gt;Cancelled")</f>
        <v>28</v>
      </c>
      <c r="J27" s="17" t="n">
        <v>0</v>
      </c>
      <c r="K27" s="17" t="n">
        <f aca="false">G27+H27-I27+J27</f>
        <v>875</v>
      </c>
      <c r="L27" s="17" t="n">
        <v>66</v>
      </c>
      <c r="M27" s="17" t="n">
        <v>594</v>
      </c>
      <c r="N27" s="16" t="n">
        <f aca="false">VLOOKUP(A27,'Product Master'!$A$5:$K$104,5,FALSE())</f>
        <v>2636.7</v>
      </c>
      <c r="O27" s="16" t="n">
        <f aca="false">K27*N27</f>
        <v>2307112.5</v>
      </c>
      <c r="P27" s="23" t="str">
        <f aca="false">IF(K27&lt;=0,"Out of Stock",IF(K27&lt;L27,"Low Stock",IF(K27&gt;M27,"Overstocked","Healthy Stock")))</f>
        <v>Overstocked</v>
      </c>
      <c r="Q27" s="17" t="n">
        <f aca="false">IF(K27&lt;L27,MAX(0,M27-K27),0)</f>
        <v>0</v>
      </c>
    </row>
    <row r="28" customFormat="false" ht="15" hidden="false" customHeight="false" outlineLevel="0" collapsed="false">
      <c r="A28" s="26" t="s">
        <v>218</v>
      </c>
      <c r="B28" s="27" t="str">
        <f aca="false">VLOOKUP(A28,'Product Master'!$A$5:$K$104,2,FALSE())</f>
        <v>Eco Automotive Item 024</v>
      </c>
      <c r="C28" s="27" t="s">
        <v>47</v>
      </c>
      <c r="D28" s="26" t="s">
        <v>171</v>
      </c>
      <c r="E28" s="27" t="str">
        <f aca="false">VLOOKUP(D28,'Supplier Database'!$A$5:$K$29,2,FALSE())</f>
        <v>Yugma Industries</v>
      </c>
      <c r="F28" s="27" t="s">
        <v>76</v>
      </c>
      <c r="G28" s="28" t="n">
        <v>78</v>
      </c>
      <c r="H28" s="28" t="n">
        <v>117</v>
      </c>
      <c r="I28" s="28" t="n">
        <f aca="false">SUMIFS('Order Tracking'!$J$5:$J$604,'Order Tracking'!$G$5:$G$604,A28,'Order Tracking'!$M$5:$M$604,"&lt;&gt;Cancelled")</f>
        <v>5</v>
      </c>
      <c r="J28" s="28" t="n">
        <v>0</v>
      </c>
      <c r="K28" s="28" t="n">
        <f aca="false">G28+H28-I28+J28</f>
        <v>190</v>
      </c>
      <c r="L28" s="28" t="n">
        <v>53</v>
      </c>
      <c r="M28" s="28" t="n">
        <v>265</v>
      </c>
      <c r="N28" s="29" t="n">
        <f aca="false">VLOOKUP(A28,'Product Master'!$A$5:$K$104,5,FALSE())</f>
        <v>4765.98</v>
      </c>
      <c r="O28" s="29" t="n">
        <f aca="false">K28*N28</f>
        <v>905536.2</v>
      </c>
      <c r="P28" s="32" t="str">
        <f aca="false">IF(K28&lt;=0,"Out of Stock",IF(K28&lt;L28,"Low Stock",IF(K28&gt;M28,"Overstocked","Healthy Stock")))</f>
        <v>Healthy Stock</v>
      </c>
      <c r="Q28" s="28" t="n">
        <f aca="false">IF(K28&lt;L28,MAX(0,M28-K28),0)</f>
        <v>0</v>
      </c>
    </row>
    <row r="29" customFormat="false" ht="15" hidden="false" customHeight="false" outlineLevel="0" collapsed="false">
      <c r="A29" s="18" t="s">
        <v>219</v>
      </c>
      <c r="B29" s="20" t="str">
        <f aca="false">VLOOKUP(A29,'Product Master'!$A$5:$K$104,2,FALSE())</f>
        <v>Pro Electronics Item 025</v>
      </c>
      <c r="C29" s="20" t="s">
        <v>36</v>
      </c>
      <c r="D29" s="18" t="s">
        <v>172</v>
      </c>
      <c r="E29" s="20" t="str">
        <f aca="false">VLOOKUP(D29,'Supplier Database'!$A$5:$K$29,2,FALSE())</f>
        <v>Zenith Trading Co.</v>
      </c>
      <c r="F29" s="20" t="s">
        <v>78</v>
      </c>
      <c r="G29" s="17" t="n">
        <v>63</v>
      </c>
      <c r="H29" s="17" t="n">
        <v>78</v>
      </c>
      <c r="I29" s="17" t="n">
        <f aca="false">SUMIFS('Order Tracking'!$J$5:$J$604,'Order Tracking'!$G$5:$G$604,A29,'Order Tracking'!$M$5:$M$604,"&lt;&gt;Cancelled")</f>
        <v>141</v>
      </c>
      <c r="J29" s="17" t="n">
        <v>0</v>
      </c>
      <c r="K29" s="17" t="n">
        <f aca="false">G29+H29-I29+J29</f>
        <v>0</v>
      </c>
      <c r="L29" s="17" t="n">
        <v>56</v>
      </c>
      <c r="M29" s="17" t="n">
        <v>224</v>
      </c>
      <c r="N29" s="16" t="n">
        <f aca="false">VLOOKUP(A29,'Product Master'!$A$5:$K$104,5,FALSE())</f>
        <v>7106.62</v>
      </c>
      <c r="O29" s="16" t="n">
        <f aca="false">K29*N29</f>
        <v>0</v>
      </c>
      <c r="P29" s="23" t="str">
        <f aca="false">IF(K29&lt;=0,"Out of Stock",IF(K29&lt;L29,"Low Stock",IF(K29&gt;M29,"Overstocked","Healthy Stock")))</f>
        <v>Out of Stock</v>
      </c>
      <c r="Q29" s="17" t="n">
        <f aca="false">IF(K29&lt;L29,MAX(0,M29-K29),0)</f>
        <v>224</v>
      </c>
    </row>
    <row r="30" customFormat="false" ht="15" hidden="false" customHeight="false" outlineLevel="0" collapsed="false">
      <c r="A30" s="26" t="s">
        <v>220</v>
      </c>
      <c r="B30" s="27" t="str">
        <f aca="false">VLOOKUP(A30,'Product Master'!$A$5:$K$104,2,FALSE())</f>
        <v>Classic Home Item 026</v>
      </c>
      <c r="C30" s="27" t="s">
        <v>38</v>
      </c>
      <c r="D30" s="26" t="s">
        <v>148</v>
      </c>
      <c r="E30" s="27" t="str">
        <f aca="false">VLOOKUP(D30,'Supplier Database'!$A$5:$K$29,2,FALSE())</f>
        <v>Apex Supplies</v>
      </c>
      <c r="F30" s="27" t="s">
        <v>78</v>
      </c>
      <c r="G30" s="28" t="n">
        <v>50</v>
      </c>
      <c r="H30" s="28" t="n">
        <v>76</v>
      </c>
      <c r="I30" s="28" t="n">
        <f aca="false">SUMIFS('Order Tracking'!$J$5:$J$604,'Order Tracking'!$G$5:$G$604,A30,'Order Tracking'!$M$5:$M$604,"&lt;&gt;Cancelled")</f>
        <v>106</v>
      </c>
      <c r="J30" s="28" t="n">
        <v>0</v>
      </c>
      <c r="K30" s="28" t="n">
        <f aca="false">G30+H30-I30+J30</f>
        <v>20</v>
      </c>
      <c r="L30" s="28" t="n">
        <v>25</v>
      </c>
      <c r="M30" s="28" t="n">
        <v>100</v>
      </c>
      <c r="N30" s="29" t="n">
        <f aca="false">VLOOKUP(A30,'Product Master'!$A$5:$K$104,5,FALSE())</f>
        <v>3825.3</v>
      </c>
      <c r="O30" s="29" t="n">
        <f aca="false">K30*N30</f>
        <v>76506</v>
      </c>
      <c r="P30" s="32" t="str">
        <f aca="false">IF(K30&lt;=0,"Out of Stock",IF(K30&lt;L30,"Low Stock",IF(K30&gt;M30,"Overstocked","Healthy Stock")))</f>
        <v>Low Stock</v>
      </c>
      <c r="Q30" s="28" t="n">
        <f aca="false">IF(K30&lt;L30,MAX(0,M30-K30),0)</f>
        <v>80</v>
      </c>
    </row>
    <row r="31" customFormat="false" ht="15" hidden="false" customHeight="false" outlineLevel="0" collapsed="false">
      <c r="A31" s="18" t="s">
        <v>221</v>
      </c>
      <c r="B31" s="20" t="str">
        <f aca="false">VLOOKUP(A31,'Product Master'!$A$5:$K$104,2,FALSE())</f>
        <v>Premium Office Item 027</v>
      </c>
      <c r="C31" s="20" t="s">
        <v>40</v>
      </c>
      <c r="D31" s="18" t="s">
        <v>149</v>
      </c>
      <c r="E31" s="20" t="str">
        <f aca="false">VLOOKUP(D31,'Supplier Database'!$A$5:$K$29,2,FALSE())</f>
        <v>Bright Distributors</v>
      </c>
      <c r="F31" s="20" t="s">
        <v>76</v>
      </c>
      <c r="G31" s="17" t="n">
        <v>121</v>
      </c>
      <c r="H31" s="17" t="n">
        <v>183</v>
      </c>
      <c r="I31" s="17" t="n">
        <f aca="false">SUMIFS('Order Tracking'!$J$5:$J$604,'Order Tracking'!$G$5:$G$604,A31,'Order Tracking'!$M$5:$M$604,"&lt;&gt;Cancelled")</f>
        <v>75</v>
      </c>
      <c r="J31" s="17" t="n">
        <v>0</v>
      </c>
      <c r="K31" s="17" t="n">
        <f aca="false">G31+H31-I31+J31</f>
        <v>229</v>
      </c>
      <c r="L31" s="17" t="n">
        <v>54</v>
      </c>
      <c r="M31" s="17" t="n">
        <v>324</v>
      </c>
      <c r="N31" s="16" t="n">
        <f aca="false">VLOOKUP(A31,'Product Master'!$A$5:$K$104,5,FALSE())</f>
        <v>5683.1</v>
      </c>
      <c r="O31" s="16" t="n">
        <f aca="false">K31*N31</f>
        <v>1301429.9</v>
      </c>
      <c r="P31" s="23" t="str">
        <f aca="false">IF(K31&lt;=0,"Out of Stock",IF(K31&lt;L31,"Low Stock",IF(K31&gt;M31,"Overstocked","Healthy Stock")))</f>
        <v>Healthy Stock</v>
      </c>
      <c r="Q31" s="17" t="n">
        <f aca="false">IF(K31&lt;L31,MAX(0,M31-K31),0)</f>
        <v>0</v>
      </c>
    </row>
    <row r="32" customFormat="false" ht="15" hidden="false" customHeight="false" outlineLevel="0" collapsed="false">
      <c r="A32" s="26" t="s">
        <v>222</v>
      </c>
      <c r="B32" s="27" t="str">
        <f aca="false">VLOOKUP(A32,'Product Master'!$A$5:$K$104,2,FALSE())</f>
        <v>Pro Personal Item 028</v>
      </c>
      <c r="C32" s="27" t="s">
        <v>42</v>
      </c>
      <c r="D32" s="26" t="s">
        <v>150</v>
      </c>
      <c r="E32" s="27" t="str">
        <f aca="false">VLOOKUP(D32,'Supplier Database'!$A$5:$K$29,2,FALSE())</f>
        <v>Core Industries</v>
      </c>
      <c r="F32" s="27" t="s">
        <v>77</v>
      </c>
      <c r="G32" s="28" t="n">
        <v>44</v>
      </c>
      <c r="H32" s="28" t="n">
        <v>68</v>
      </c>
      <c r="I32" s="28" t="n">
        <f aca="false">SUMIFS('Order Tracking'!$J$5:$J$604,'Order Tracking'!$G$5:$G$604,A32,'Order Tracking'!$M$5:$M$604,"&lt;&gt;Cancelled")</f>
        <v>26</v>
      </c>
      <c r="J32" s="28" t="n">
        <v>0</v>
      </c>
      <c r="K32" s="28" t="n">
        <f aca="false">G32+H32-I32+J32</f>
        <v>86</v>
      </c>
      <c r="L32" s="28" t="n">
        <v>24</v>
      </c>
      <c r="M32" s="28" t="n">
        <v>120</v>
      </c>
      <c r="N32" s="29" t="n">
        <f aca="false">VLOOKUP(A32,'Product Master'!$A$5:$K$104,5,FALSE())</f>
        <v>1788.71</v>
      </c>
      <c r="O32" s="29" t="n">
        <f aca="false">K32*N32</f>
        <v>153829.06</v>
      </c>
      <c r="P32" s="32" t="str">
        <f aca="false">IF(K32&lt;=0,"Out of Stock",IF(K32&lt;L32,"Low Stock",IF(K32&gt;M32,"Overstocked","Healthy Stock")))</f>
        <v>Healthy Stock</v>
      </c>
      <c r="Q32" s="28" t="n">
        <f aca="false">IF(K32&lt;L32,MAX(0,M32-K32),0)</f>
        <v>0</v>
      </c>
    </row>
    <row r="33" customFormat="false" ht="15" hidden="false" customHeight="false" outlineLevel="0" collapsed="false">
      <c r="A33" s="18" t="s">
        <v>223</v>
      </c>
      <c r="B33" s="20" t="str">
        <f aca="false">VLOOKUP(A33,'Product Master'!$A$5:$K$104,2,FALSE())</f>
        <v>Eco Industrial Item 029</v>
      </c>
      <c r="C33" s="20" t="s">
        <v>44</v>
      </c>
      <c r="D33" s="18" t="s">
        <v>151</v>
      </c>
      <c r="E33" s="20" t="str">
        <f aca="false">VLOOKUP(D33,'Supplier Database'!$A$5:$K$29,2,FALSE())</f>
        <v>Delta Trading Co.</v>
      </c>
      <c r="F33" s="20" t="s">
        <v>78</v>
      </c>
      <c r="G33" s="17" t="n">
        <v>472</v>
      </c>
      <c r="H33" s="17" t="n">
        <v>708</v>
      </c>
      <c r="I33" s="17" t="n">
        <f aca="false">SUMIFS('Order Tracking'!$J$5:$J$604,'Order Tracking'!$G$5:$G$604,A33,'Order Tracking'!$M$5:$M$604,"&lt;&gt;Cancelled")</f>
        <v>63</v>
      </c>
      <c r="J33" s="17" t="n">
        <v>0</v>
      </c>
      <c r="K33" s="17" t="n">
        <f aca="false">G33+H33-I33+J33</f>
        <v>1117</v>
      </c>
      <c r="L33" s="17" t="n">
        <v>66</v>
      </c>
      <c r="M33" s="17" t="n">
        <v>528</v>
      </c>
      <c r="N33" s="16" t="n">
        <f aca="false">VLOOKUP(A33,'Product Master'!$A$5:$K$104,5,FALSE())</f>
        <v>7545.83</v>
      </c>
      <c r="O33" s="16" t="n">
        <f aca="false">K33*N33</f>
        <v>8428692.11</v>
      </c>
      <c r="P33" s="23" t="str">
        <f aca="false">IF(K33&lt;=0,"Out of Stock",IF(K33&lt;L33,"Low Stock",IF(K33&gt;M33,"Overstocked","Healthy Stock")))</f>
        <v>Overstocked</v>
      </c>
      <c r="Q33" s="17" t="n">
        <f aca="false">IF(K33&lt;L33,MAX(0,M33-K33),0)</f>
        <v>0</v>
      </c>
    </row>
    <row r="34" customFormat="false" ht="15" hidden="false" customHeight="false" outlineLevel="0" collapsed="false">
      <c r="A34" s="26" t="s">
        <v>224</v>
      </c>
      <c r="B34" s="27" t="str">
        <f aca="false">VLOOKUP(A34,'Product Master'!$A$5:$K$104,2,FALSE())</f>
        <v>Premium Packaging Item 030</v>
      </c>
      <c r="C34" s="27" t="s">
        <v>45</v>
      </c>
      <c r="D34" s="26" t="s">
        <v>152</v>
      </c>
      <c r="E34" s="27" t="str">
        <f aca="false">VLOOKUP(D34,'Supplier Database'!$A$5:$K$29,2,FALSE())</f>
        <v>Ever Logistics</v>
      </c>
      <c r="F34" s="27" t="s">
        <v>79</v>
      </c>
      <c r="G34" s="28" t="n">
        <v>85</v>
      </c>
      <c r="H34" s="28" t="n">
        <v>129</v>
      </c>
      <c r="I34" s="28" t="n">
        <f aca="false">SUMIFS('Order Tracking'!$J$5:$J$604,'Order Tracking'!$G$5:$G$604,A34,'Order Tracking'!$M$5:$M$604,"&lt;&gt;Cancelled")</f>
        <v>60</v>
      </c>
      <c r="J34" s="28" t="n">
        <v>0</v>
      </c>
      <c r="K34" s="28" t="n">
        <f aca="false">G34+H34-I34+J34</f>
        <v>154</v>
      </c>
      <c r="L34" s="28" t="n">
        <v>43</v>
      </c>
      <c r="M34" s="28" t="n">
        <v>215</v>
      </c>
      <c r="N34" s="29" t="n">
        <f aca="false">VLOOKUP(A34,'Product Master'!$A$5:$K$104,5,FALSE())</f>
        <v>5617.77</v>
      </c>
      <c r="O34" s="29" t="n">
        <f aca="false">K34*N34</f>
        <v>865136.58</v>
      </c>
      <c r="P34" s="32" t="str">
        <f aca="false">IF(K34&lt;=0,"Out of Stock",IF(K34&lt;L34,"Low Stock",IF(K34&gt;M34,"Overstocked","Healthy Stock")))</f>
        <v>Healthy Stock</v>
      </c>
      <c r="Q34" s="28" t="n">
        <f aca="false">IF(K34&lt;L34,MAX(0,M34-K34),0)</f>
        <v>0</v>
      </c>
    </row>
    <row r="35" customFormat="false" ht="15" hidden="false" customHeight="false" outlineLevel="0" collapsed="false">
      <c r="A35" s="18" t="s">
        <v>225</v>
      </c>
      <c r="B35" s="20" t="str">
        <f aca="false">VLOOKUP(A35,'Product Master'!$A$5:$K$104,2,FALSE())</f>
        <v>Essential Apparel Item 031</v>
      </c>
      <c r="C35" s="20" t="s">
        <v>46</v>
      </c>
      <c r="D35" s="18" t="s">
        <v>153</v>
      </c>
      <c r="E35" s="20" t="str">
        <f aca="false">VLOOKUP(D35,'Supplier Database'!$A$5:$K$29,2,FALSE())</f>
        <v>Frontier Wholesale</v>
      </c>
      <c r="F35" s="20" t="s">
        <v>78</v>
      </c>
      <c r="G35" s="17" t="n">
        <v>116</v>
      </c>
      <c r="H35" s="17" t="n">
        <v>176</v>
      </c>
      <c r="I35" s="17" t="n">
        <f aca="false">SUMIFS('Order Tracking'!$J$5:$J$604,'Order Tracking'!$G$5:$G$604,A35,'Order Tracking'!$M$5:$M$604,"&lt;&gt;Cancelled")</f>
        <v>106</v>
      </c>
      <c r="J35" s="17" t="n">
        <v>0</v>
      </c>
      <c r="K35" s="17" t="n">
        <f aca="false">G35+H35-I35+J35</f>
        <v>186</v>
      </c>
      <c r="L35" s="17" t="n">
        <v>30</v>
      </c>
      <c r="M35" s="17" t="n">
        <v>270</v>
      </c>
      <c r="N35" s="16" t="n">
        <f aca="false">VLOOKUP(A35,'Product Master'!$A$5:$K$104,5,FALSE())</f>
        <v>8147.76</v>
      </c>
      <c r="O35" s="16" t="n">
        <f aca="false">K35*N35</f>
        <v>1515483.36</v>
      </c>
      <c r="P35" s="23" t="str">
        <f aca="false">IF(K35&lt;=0,"Out of Stock",IF(K35&lt;L35,"Low Stock",IF(K35&gt;M35,"Overstocked","Healthy Stock")))</f>
        <v>Healthy Stock</v>
      </c>
      <c r="Q35" s="17" t="n">
        <f aca="false">IF(K35&lt;L35,MAX(0,M35-K35),0)</f>
        <v>0</v>
      </c>
    </row>
    <row r="36" customFormat="false" ht="15" hidden="false" customHeight="false" outlineLevel="0" collapsed="false">
      <c r="A36" s="26" t="s">
        <v>226</v>
      </c>
      <c r="B36" s="27" t="str">
        <f aca="false">VLOOKUP(A36,'Product Master'!$A$5:$K$104,2,FALSE())</f>
        <v>Smart Automotive Item 032</v>
      </c>
      <c r="C36" s="27" t="s">
        <v>47</v>
      </c>
      <c r="D36" s="26" t="s">
        <v>154</v>
      </c>
      <c r="E36" s="27" t="str">
        <f aca="false">VLOOKUP(D36,'Supplier Database'!$A$5:$K$29,2,FALSE())</f>
        <v>Global Partners</v>
      </c>
      <c r="F36" s="27" t="s">
        <v>78</v>
      </c>
      <c r="G36" s="28" t="n">
        <v>285</v>
      </c>
      <c r="H36" s="28" t="n">
        <v>429</v>
      </c>
      <c r="I36" s="28" t="n">
        <f aca="false">SUMIFS('Order Tracking'!$J$5:$J$604,'Order Tracking'!$G$5:$G$604,A36,'Order Tracking'!$M$5:$M$604,"&lt;&gt;Cancelled")</f>
        <v>130</v>
      </c>
      <c r="J36" s="28" t="n">
        <v>4</v>
      </c>
      <c r="K36" s="28" t="n">
        <f aca="false">G36+H36-I36+J36</f>
        <v>588</v>
      </c>
      <c r="L36" s="28" t="n">
        <v>79</v>
      </c>
      <c r="M36" s="28" t="n">
        <v>474</v>
      </c>
      <c r="N36" s="29" t="n">
        <f aca="false">VLOOKUP(A36,'Product Master'!$A$5:$K$104,5,FALSE())</f>
        <v>6835.87</v>
      </c>
      <c r="O36" s="29" t="n">
        <f aca="false">K36*N36</f>
        <v>4019491.56</v>
      </c>
      <c r="P36" s="32" t="str">
        <f aca="false">IF(K36&lt;=0,"Out of Stock",IF(K36&lt;L36,"Low Stock",IF(K36&gt;M36,"Overstocked","Healthy Stock")))</f>
        <v>Overstocked</v>
      </c>
      <c r="Q36" s="28" t="n">
        <f aca="false">IF(K36&lt;L36,MAX(0,M36-K36),0)</f>
        <v>0</v>
      </c>
    </row>
    <row r="37" customFormat="false" ht="15" hidden="false" customHeight="false" outlineLevel="0" collapsed="false">
      <c r="A37" s="18" t="s">
        <v>227</v>
      </c>
      <c r="B37" s="20" t="str">
        <f aca="false">VLOOKUP(A37,'Product Master'!$A$5:$K$104,2,FALSE())</f>
        <v>Compact Electronics Item 033</v>
      </c>
      <c r="C37" s="20" t="s">
        <v>36</v>
      </c>
      <c r="D37" s="18" t="s">
        <v>155</v>
      </c>
      <c r="E37" s="20" t="str">
        <f aca="false">VLOOKUP(D37,'Supplier Database'!$A$5:$K$29,2,FALSE())</f>
        <v>Horizon Supplies</v>
      </c>
      <c r="F37" s="20" t="s">
        <v>78</v>
      </c>
      <c r="G37" s="17" t="n">
        <v>30</v>
      </c>
      <c r="H37" s="17" t="n">
        <v>38</v>
      </c>
      <c r="I37" s="17" t="n">
        <f aca="false">SUMIFS('Order Tracking'!$J$5:$J$604,'Order Tracking'!$G$5:$G$604,A37,'Order Tracking'!$M$5:$M$604,"&lt;&gt;Cancelled")</f>
        <v>68</v>
      </c>
      <c r="J37" s="17" t="n">
        <v>0</v>
      </c>
      <c r="K37" s="17" t="n">
        <f aca="false">G37+H37-I37+J37</f>
        <v>0</v>
      </c>
      <c r="L37" s="17" t="n">
        <v>72</v>
      </c>
      <c r="M37" s="17" t="n">
        <v>288</v>
      </c>
      <c r="N37" s="16" t="n">
        <f aca="false">VLOOKUP(A37,'Product Master'!$A$5:$K$104,5,FALSE())</f>
        <v>7719.44</v>
      </c>
      <c r="O37" s="16" t="n">
        <f aca="false">K37*N37</f>
        <v>0</v>
      </c>
      <c r="P37" s="23" t="str">
        <f aca="false">IF(K37&lt;=0,"Out of Stock",IF(K37&lt;L37,"Low Stock",IF(K37&gt;M37,"Overstocked","Healthy Stock")))</f>
        <v>Out of Stock</v>
      </c>
      <c r="Q37" s="17" t="n">
        <f aca="false">IF(K37&lt;L37,MAX(0,M37-K37),0)</f>
        <v>288</v>
      </c>
    </row>
    <row r="38" customFormat="false" ht="15" hidden="false" customHeight="false" outlineLevel="0" collapsed="false">
      <c r="A38" s="26" t="s">
        <v>228</v>
      </c>
      <c r="B38" s="27" t="str">
        <f aca="false">VLOOKUP(A38,'Product Master'!$A$5:$K$104,2,FALSE())</f>
        <v>Classic Home Item 034</v>
      </c>
      <c r="C38" s="27" t="s">
        <v>38</v>
      </c>
      <c r="D38" s="26" t="s">
        <v>156</v>
      </c>
      <c r="E38" s="27" t="str">
        <f aca="false">VLOOKUP(D38,'Supplier Database'!$A$5:$K$29,2,FALSE())</f>
        <v>Indus Distributors</v>
      </c>
      <c r="F38" s="27" t="s">
        <v>78</v>
      </c>
      <c r="G38" s="28" t="n">
        <v>46</v>
      </c>
      <c r="H38" s="28" t="n">
        <v>70</v>
      </c>
      <c r="I38" s="28" t="n">
        <f aca="false">SUMIFS('Order Tracking'!$J$5:$J$604,'Order Tracking'!$G$5:$G$604,A38,'Order Tracking'!$M$5:$M$604,"&lt;&gt;Cancelled")</f>
        <v>95</v>
      </c>
      <c r="J38" s="28" t="n">
        <v>3</v>
      </c>
      <c r="K38" s="28" t="n">
        <f aca="false">G38+H38-I38+J38</f>
        <v>24</v>
      </c>
      <c r="L38" s="28" t="n">
        <v>50</v>
      </c>
      <c r="M38" s="28" t="n">
        <v>450</v>
      </c>
      <c r="N38" s="29" t="n">
        <f aca="false">VLOOKUP(A38,'Product Master'!$A$5:$K$104,5,FALSE())</f>
        <v>2191.87</v>
      </c>
      <c r="O38" s="29" t="n">
        <f aca="false">K38*N38</f>
        <v>52604.88</v>
      </c>
      <c r="P38" s="32" t="str">
        <f aca="false">IF(K38&lt;=0,"Out of Stock",IF(K38&lt;L38,"Low Stock",IF(K38&gt;M38,"Overstocked","Healthy Stock")))</f>
        <v>Low Stock</v>
      </c>
      <c r="Q38" s="28" t="n">
        <f aca="false">IF(K38&lt;L38,MAX(0,M38-K38),0)</f>
        <v>426</v>
      </c>
    </row>
    <row r="39" customFormat="false" ht="15" hidden="false" customHeight="false" outlineLevel="0" collapsed="false">
      <c r="A39" s="18" t="s">
        <v>229</v>
      </c>
      <c r="B39" s="20" t="str">
        <f aca="false">VLOOKUP(A39,'Product Master'!$A$5:$K$104,2,FALSE())</f>
        <v>Smart Office Item 035</v>
      </c>
      <c r="C39" s="20" t="s">
        <v>40</v>
      </c>
      <c r="D39" s="18" t="s">
        <v>157</v>
      </c>
      <c r="E39" s="20" t="str">
        <f aca="false">VLOOKUP(D39,'Supplier Database'!$A$5:$K$29,2,FALSE())</f>
        <v>Jupiter Industries</v>
      </c>
      <c r="F39" s="20" t="s">
        <v>76</v>
      </c>
      <c r="G39" s="17" t="n">
        <v>126</v>
      </c>
      <c r="H39" s="17" t="n">
        <v>190</v>
      </c>
      <c r="I39" s="17" t="n">
        <f aca="false">SUMIFS('Order Tracking'!$J$5:$J$604,'Order Tracking'!$G$5:$G$604,A39,'Order Tracking'!$M$5:$M$604,"&lt;&gt;Cancelled")</f>
        <v>62</v>
      </c>
      <c r="J39" s="17" t="n">
        <v>0</v>
      </c>
      <c r="K39" s="17" t="n">
        <f aca="false">G39+H39-I39+J39</f>
        <v>254</v>
      </c>
      <c r="L39" s="17" t="n">
        <v>25</v>
      </c>
      <c r="M39" s="17" t="n">
        <v>225</v>
      </c>
      <c r="N39" s="16" t="n">
        <f aca="false">VLOOKUP(A39,'Product Master'!$A$5:$K$104,5,FALSE())</f>
        <v>6099.51</v>
      </c>
      <c r="O39" s="16" t="n">
        <f aca="false">K39*N39</f>
        <v>1549275.54</v>
      </c>
      <c r="P39" s="23" t="str">
        <f aca="false">IF(K39&lt;=0,"Out of Stock",IF(K39&lt;L39,"Low Stock",IF(K39&gt;M39,"Overstocked","Healthy Stock")))</f>
        <v>Overstocked</v>
      </c>
      <c r="Q39" s="17" t="n">
        <f aca="false">IF(K39&lt;L39,MAX(0,M39-K39),0)</f>
        <v>0</v>
      </c>
    </row>
    <row r="40" customFormat="false" ht="15" hidden="false" customHeight="false" outlineLevel="0" collapsed="false">
      <c r="A40" s="26" t="s">
        <v>230</v>
      </c>
      <c r="B40" s="27" t="str">
        <f aca="false">VLOOKUP(A40,'Product Master'!$A$5:$K$104,2,FALSE())</f>
        <v>Pro Personal Item 036</v>
      </c>
      <c r="C40" s="27" t="s">
        <v>42</v>
      </c>
      <c r="D40" s="26" t="s">
        <v>158</v>
      </c>
      <c r="E40" s="27" t="str">
        <f aca="false">VLOOKUP(D40,'Supplier Database'!$A$5:$K$29,2,FALSE())</f>
        <v>Kinetic Trading Co.</v>
      </c>
      <c r="F40" s="27" t="s">
        <v>77</v>
      </c>
      <c r="G40" s="28" t="n">
        <v>121</v>
      </c>
      <c r="H40" s="28" t="n">
        <v>183</v>
      </c>
      <c r="I40" s="28" t="n">
        <f aca="false">SUMIFS('Order Tracking'!$J$5:$J$604,'Order Tracking'!$G$5:$G$604,A40,'Order Tracking'!$M$5:$M$604,"&lt;&gt;Cancelled")</f>
        <v>60</v>
      </c>
      <c r="J40" s="28" t="n">
        <v>0</v>
      </c>
      <c r="K40" s="28" t="n">
        <f aca="false">G40+H40-I40+J40</f>
        <v>244</v>
      </c>
      <c r="L40" s="28" t="n">
        <v>68</v>
      </c>
      <c r="M40" s="28" t="n">
        <v>340</v>
      </c>
      <c r="N40" s="29" t="n">
        <f aca="false">VLOOKUP(A40,'Product Master'!$A$5:$K$104,5,FALSE())</f>
        <v>2057.97</v>
      </c>
      <c r="O40" s="29" t="n">
        <f aca="false">K40*N40</f>
        <v>502144.68</v>
      </c>
      <c r="P40" s="32" t="str">
        <f aca="false">IF(K40&lt;=0,"Out of Stock",IF(K40&lt;L40,"Low Stock",IF(K40&gt;M40,"Overstocked","Healthy Stock")))</f>
        <v>Healthy Stock</v>
      </c>
      <c r="Q40" s="28" t="n">
        <f aca="false">IF(K40&lt;L40,MAX(0,M40-K40),0)</f>
        <v>0</v>
      </c>
    </row>
    <row r="41" customFormat="false" ht="15" hidden="false" customHeight="false" outlineLevel="0" collapsed="false">
      <c r="A41" s="18" t="s">
        <v>231</v>
      </c>
      <c r="B41" s="20" t="str">
        <f aca="false">VLOOKUP(A41,'Product Master'!$A$5:$K$104,2,FALSE())</f>
        <v>Pro Industrial Item 037</v>
      </c>
      <c r="C41" s="20" t="s">
        <v>44</v>
      </c>
      <c r="D41" s="18" t="s">
        <v>159</v>
      </c>
      <c r="E41" s="20" t="str">
        <f aca="false">VLOOKUP(D41,'Supplier Database'!$A$5:$K$29,2,FALSE())</f>
        <v>Lotus Logistics</v>
      </c>
      <c r="F41" s="20" t="s">
        <v>79</v>
      </c>
      <c r="G41" s="17" t="n">
        <v>143</v>
      </c>
      <c r="H41" s="17" t="n">
        <v>216</v>
      </c>
      <c r="I41" s="17" t="n">
        <f aca="false">SUMIFS('Order Tracking'!$J$5:$J$604,'Order Tracking'!$G$5:$G$604,A41,'Order Tracking'!$M$5:$M$604,"&lt;&gt;Cancelled")</f>
        <v>133</v>
      </c>
      <c r="J41" s="17" t="n">
        <v>4</v>
      </c>
      <c r="K41" s="17" t="n">
        <f aca="false">G41+H41-I41+J41</f>
        <v>230</v>
      </c>
      <c r="L41" s="17" t="n">
        <v>64</v>
      </c>
      <c r="M41" s="17" t="n">
        <v>320</v>
      </c>
      <c r="N41" s="16" t="n">
        <f aca="false">VLOOKUP(A41,'Product Master'!$A$5:$K$104,5,FALSE())</f>
        <v>4667.08</v>
      </c>
      <c r="O41" s="16" t="n">
        <f aca="false">K41*N41</f>
        <v>1073428.4</v>
      </c>
      <c r="P41" s="23" t="str">
        <f aca="false">IF(K41&lt;=0,"Out of Stock",IF(K41&lt;L41,"Low Stock",IF(K41&gt;M41,"Overstocked","Healthy Stock")))</f>
        <v>Healthy Stock</v>
      </c>
      <c r="Q41" s="17" t="n">
        <f aca="false">IF(K41&lt;L41,MAX(0,M41-K41),0)</f>
        <v>0</v>
      </c>
    </row>
    <row r="42" customFormat="false" ht="15" hidden="false" customHeight="false" outlineLevel="0" collapsed="false">
      <c r="A42" s="26" t="s">
        <v>232</v>
      </c>
      <c r="B42" s="27" t="str">
        <f aca="false">VLOOKUP(A42,'Product Master'!$A$5:$K$104,2,FALSE())</f>
        <v>Eco Packaging Item 038</v>
      </c>
      <c r="C42" s="27" t="s">
        <v>45</v>
      </c>
      <c r="D42" s="26" t="s">
        <v>160</v>
      </c>
      <c r="E42" s="27" t="str">
        <f aca="false">VLOOKUP(D42,'Supplier Database'!$A$5:$K$29,2,FALSE())</f>
        <v>Meridian Wholesale</v>
      </c>
      <c r="F42" s="27" t="s">
        <v>79</v>
      </c>
      <c r="G42" s="28" t="n">
        <v>206</v>
      </c>
      <c r="H42" s="28" t="n">
        <v>311</v>
      </c>
      <c r="I42" s="28" t="n">
        <f aca="false">SUMIFS('Order Tracking'!$J$5:$J$604,'Order Tracking'!$G$5:$G$604,A42,'Order Tracking'!$M$5:$M$604,"&lt;&gt;Cancelled")</f>
        <v>68</v>
      </c>
      <c r="J42" s="28" t="n">
        <v>0</v>
      </c>
      <c r="K42" s="28" t="n">
        <f aca="false">G42+H42-I42+J42</f>
        <v>449</v>
      </c>
      <c r="L42" s="28" t="n">
        <v>15</v>
      </c>
      <c r="M42" s="28" t="n">
        <v>135</v>
      </c>
      <c r="N42" s="29" t="n">
        <f aca="false">VLOOKUP(A42,'Product Master'!$A$5:$K$104,5,FALSE())</f>
        <v>5014.59</v>
      </c>
      <c r="O42" s="29" t="n">
        <f aca="false">K42*N42</f>
        <v>2251550.91</v>
      </c>
      <c r="P42" s="32" t="str">
        <f aca="false">IF(K42&lt;=0,"Out of Stock",IF(K42&lt;L42,"Low Stock",IF(K42&gt;M42,"Overstocked","Healthy Stock")))</f>
        <v>Overstocked</v>
      </c>
      <c r="Q42" s="28" t="n">
        <f aca="false">IF(K42&lt;L42,MAX(0,M42-K42),0)</f>
        <v>0</v>
      </c>
    </row>
    <row r="43" customFormat="false" ht="15" hidden="false" customHeight="false" outlineLevel="0" collapsed="false">
      <c r="A43" s="18" t="s">
        <v>233</v>
      </c>
      <c r="B43" s="20" t="str">
        <f aca="false">VLOOKUP(A43,'Product Master'!$A$5:$K$104,2,FALSE())</f>
        <v>Eco Apparel Item 039</v>
      </c>
      <c r="C43" s="20" t="s">
        <v>46</v>
      </c>
      <c r="D43" s="18" t="s">
        <v>161</v>
      </c>
      <c r="E43" s="20" t="str">
        <f aca="false">VLOOKUP(D43,'Supplier Database'!$A$5:$K$29,2,FALSE())</f>
        <v>Northstar Partners</v>
      </c>
      <c r="F43" s="20" t="s">
        <v>76</v>
      </c>
      <c r="G43" s="17" t="n">
        <v>113</v>
      </c>
      <c r="H43" s="17" t="n">
        <v>170</v>
      </c>
      <c r="I43" s="17" t="n">
        <f aca="false">SUMIFS('Order Tracking'!$J$5:$J$604,'Order Tracking'!$G$5:$G$604,A43,'Order Tracking'!$M$5:$M$604,"&lt;&gt;Cancelled")</f>
        <v>56</v>
      </c>
      <c r="J43" s="17" t="n">
        <v>0</v>
      </c>
      <c r="K43" s="17" t="n">
        <f aca="false">G43+H43-I43+J43</f>
        <v>227</v>
      </c>
      <c r="L43" s="17" t="n">
        <v>77</v>
      </c>
      <c r="M43" s="17" t="n">
        <v>308</v>
      </c>
      <c r="N43" s="16" t="n">
        <f aca="false">VLOOKUP(A43,'Product Master'!$A$5:$K$104,5,FALSE())</f>
        <v>2622.37</v>
      </c>
      <c r="O43" s="16" t="n">
        <f aca="false">K43*N43</f>
        <v>595277.99</v>
      </c>
      <c r="P43" s="23" t="str">
        <f aca="false">IF(K43&lt;=0,"Out of Stock",IF(K43&lt;L43,"Low Stock",IF(K43&gt;M43,"Overstocked","Healthy Stock")))</f>
        <v>Healthy Stock</v>
      </c>
      <c r="Q43" s="17" t="n">
        <f aca="false">IF(K43&lt;L43,MAX(0,M43-K43),0)</f>
        <v>0</v>
      </c>
    </row>
    <row r="44" customFormat="false" ht="15" hidden="false" customHeight="false" outlineLevel="0" collapsed="false">
      <c r="A44" s="26" t="s">
        <v>234</v>
      </c>
      <c r="B44" s="27" t="str">
        <f aca="false">VLOOKUP(A44,'Product Master'!$A$5:$K$104,2,FALSE())</f>
        <v>Smart Automotive Item 040</v>
      </c>
      <c r="C44" s="27" t="s">
        <v>47</v>
      </c>
      <c r="D44" s="26" t="s">
        <v>162</v>
      </c>
      <c r="E44" s="27" t="str">
        <f aca="false">VLOOKUP(D44,'Supplier Database'!$A$5:$K$29,2,FALSE())</f>
        <v>Orbit Supplies</v>
      </c>
      <c r="F44" s="27" t="s">
        <v>78</v>
      </c>
      <c r="G44" s="28" t="n">
        <v>100</v>
      </c>
      <c r="H44" s="28" t="n">
        <v>151</v>
      </c>
      <c r="I44" s="28" t="n">
        <f aca="false">SUMIFS('Order Tracking'!$J$5:$J$604,'Order Tracking'!$G$5:$G$604,A44,'Order Tracking'!$M$5:$M$604,"&lt;&gt;Cancelled")</f>
        <v>75</v>
      </c>
      <c r="J44" s="28" t="n">
        <v>0</v>
      </c>
      <c r="K44" s="28" t="n">
        <f aca="false">G44+H44-I44+J44</f>
        <v>176</v>
      </c>
      <c r="L44" s="28" t="n">
        <v>36</v>
      </c>
      <c r="M44" s="28" t="n">
        <v>252</v>
      </c>
      <c r="N44" s="29" t="n">
        <f aca="false">VLOOKUP(A44,'Product Master'!$A$5:$K$104,5,FALSE())</f>
        <v>3772.31</v>
      </c>
      <c r="O44" s="29" t="n">
        <f aca="false">K44*N44</f>
        <v>663926.56</v>
      </c>
      <c r="P44" s="32" t="str">
        <f aca="false">IF(K44&lt;=0,"Out of Stock",IF(K44&lt;L44,"Low Stock",IF(K44&gt;M44,"Overstocked","Healthy Stock")))</f>
        <v>Healthy Stock</v>
      </c>
      <c r="Q44" s="28" t="n">
        <f aca="false">IF(K44&lt;L44,MAX(0,M44-K44),0)</f>
        <v>0</v>
      </c>
    </row>
    <row r="45" customFormat="false" ht="15" hidden="false" customHeight="false" outlineLevel="0" collapsed="false">
      <c r="A45" s="18" t="s">
        <v>235</v>
      </c>
      <c r="B45" s="20" t="str">
        <f aca="false">VLOOKUP(A45,'Product Master'!$A$5:$K$104,2,FALSE())</f>
        <v>Essential Electronics Item 041</v>
      </c>
      <c r="C45" s="20" t="s">
        <v>36</v>
      </c>
      <c r="D45" s="18" t="s">
        <v>163</v>
      </c>
      <c r="E45" s="20" t="str">
        <f aca="false">VLOOKUP(D45,'Supplier Database'!$A$5:$K$29,2,FALSE())</f>
        <v>Pioneer Distributors</v>
      </c>
      <c r="F45" s="20" t="s">
        <v>78</v>
      </c>
      <c r="G45" s="17" t="n">
        <v>21</v>
      </c>
      <c r="H45" s="17" t="n">
        <v>26</v>
      </c>
      <c r="I45" s="17" t="n">
        <f aca="false">SUMIFS('Order Tracking'!$J$5:$J$604,'Order Tracking'!$G$5:$G$604,A45,'Order Tracking'!$M$5:$M$604,"&lt;&gt;Cancelled")</f>
        <v>47</v>
      </c>
      <c r="J45" s="17" t="n">
        <v>0</v>
      </c>
      <c r="K45" s="17" t="n">
        <f aca="false">G45+H45-I45+J45</f>
        <v>0</v>
      </c>
      <c r="L45" s="17" t="n">
        <v>18</v>
      </c>
      <c r="M45" s="17" t="n">
        <v>72</v>
      </c>
      <c r="N45" s="16" t="n">
        <f aca="false">VLOOKUP(A45,'Product Master'!$A$5:$K$104,5,FALSE())</f>
        <v>7825.76</v>
      </c>
      <c r="O45" s="16" t="n">
        <f aca="false">K45*N45</f>
        <v>0</v>
      </c>
      <c r="P45" s="23" t="str">
        <f aca="false">IF(K45&lt;=0,"Out of Stock",IF(K45&lt;L45,"Low Stock",IF(K45&gt;M45,"Overstocked","Healthy Stock")))</f>
        <v>Out of Stock</v>
      </c>
      <c r="Q45" s="17" t="n">
        <f aca="false">IF(K45&lt;L45,MAX(0,M45-K45),0)</f>
        <v>72</v>
      </c>
    </row>
    <row r="46" customFormat="false" ht="15" hidden="false" customHeight="false" outlineLevel="0" collapsed="false">
      <c r="A46" s="26" t="s">
        <v>236</v>
      </c>
      <c r="B46" s="27" t="str">
        <f aca="false">VLOOKUP(A46,'Product Master'!$A$5:$K$104,2,FALSE())</f>
        <v>Compact Home Item 042</v>
      </c>
      <c r="C46" s="27" t="s">
        <v>38</v>
      </c>
      <c r="D46" s="26" t="s">
        <v>164</v>
      </c>
      <c r="E46" s="27" t="str">
        <f aca="false">VLOOKUP(D46,'Supplier Database'!$A$5:$K$29,2,FALSE())</f>
        <v>Quantum Industries</v>
      </c>
      <c r="F46" s="27" t="s">
        <v>78</v>
      </c>
      <c r="G46" s="28" t="n">
        <v>37</v>
      </c>
      <c r="H46" s="28" t="n">
        <v>57</v>
      </c>
      <c r="I46" s="28" t="n">
        <f aca="false">SUMIFS('Order Tracking'!$J$5:$J$604,'Order Tracking'!$G$5:$G$604,A46,'Order Tracking'!$M$5:$M$604,"&lt;&gt;Cancelled")</f>
        <v>69</v>
      </c>
      <c r="J46" s="28" t="n">
        <v>0</v>
      </c>
      <c r="K46" s="28" t="n">
        <f aca="false">G46+H46-I46+J46</f>
        <v>25</v>
      </c>
      <c r="L46" s="28" t="n">
        <v>48</v>
      </c>
      <c r="M46" s="28" t="n">
        <v>240</v>
      </c>
      <c r="N46" s="29" t="n">
        <f aca="false">VLOOKUP(A46,'Product Master'!$A$5:$K$104,5,FALSE())</f>
        <v>3711.78</v>
      </c>
      <c r="O46" s="29" t="n">
        <f aca="false">K46*N46</f>
        <v>92794.5</v>
      </c>
      <c r="P46" s="32" t="str">
        <f aca="false">IF(K46&lt;=0,"Out of Stock",IF(K46&lt;L46,"Low Stock",IF(K46&gt;M46,"Overstocked","Healthy Stock")))</f>
        <v>Low Stock</v>
      </c>
      <c r="Q46" s="28" t="n">
        <f aca="false">IF(K46&lt;L46,MAX(0,M46-K46),0)</f>
        <v>215</v>
      </c>
    </row>
    <row r="47" customFormat="false" ht="15" hidden="false" customHeight="false" outlineLevel="0" collapsed="false">
      <c r="A47" s="18" t="s">
        <v>237</v>
      </c>
      <c r="B47" s="20" t="str">
        <f aca="false">VLOOKUP(A47,'Product Master'!$A$5:$K$104,2,FALSE())</f>
        <v>Eco Office Item 043</v>
      </c>
      <c r="C47" s="20" t="s">
        <v>40</v>
      </c>
      <c r="D47" s="18" t="s">
        <v>165</v>
      </c>
      <c r="E47" s="20" t="str">
        <f aca="false">VLOOKUP(D47,'Supplier Database'!$A$5:$K$29,2,FALSE())</f>
        <v>Riverstone Trading Co.</v>
      </c>
      <c r="F47" s="20" t="s">
        <v>79</v>
      </c>
      <c r="G47" s="17" t="n">
        <v>182</v>
      </c>
      <c r="H47" s="17" t="n">
        <v>273</v>
      </c>
      <c r="I47" s="17" t="n">
        <f aca="false">SUMIFS('Order Tracking'!$J$5:$J$604,'Order Tracking'!$G$5:$G$604,A47,'Order Tracking'!$M$5:$M$604,"&lt;&gt;Cancelled")</f>
        <v>123</v>
      </c>
      <c r="J47" s="17" t="n">
        <v>1</v>
      </c>
      <c r="K47" s="17" t="n">
        <f aca="false">G47+H47-I47+J47</f>
        <v>333</v>
      </c>
      <c r="L47" s="17" t="n">
        <v>68</v>
      </c>
      <c r="M47" s="17" t="n">
        <v>476</v>
      </c>
      <c r="N47" s="16" t="n">
        <f aca="false">VLOOKUP(A47,'Product Master'!$A$5:$K$104,5,FALSE())</f>
        <v>1893.71</v>
      </c>
      <c r="O47" s="16" t="n">
        <f aca="false">K47*N47</f>
        <v>630605.43</v>
      </c>
      <c r="P47" s="23" t="str">
        <f aca="false">IF(K47&lt;=0,"Out of Stock",IF(K47&lt;L47,"Low Stock",IF(K47&gt;M47,"Overstocked","Healthy Stock")))</f>
        <v>Healthy Stock</v>
      </c>
      <c r="Q47" s="17" t="n">
        <f aca="false">IF(K47&lt;L47,MAX(0,M47-K47),0)</f>
        <v>0</v>
      </c>
    </row>
    <row r="48" customFormat="false" ht="15" hidden="false" customHeight="false" outlineLevel="0" collapsed="false">
      <c r="A48" s="26" t="s">
        <v>238</v>
      </c>
      <c r="B48" s="27" t="str">
        <f aca="false">VLOOKUP(A48,'Product Master'!$A$5:$K$104,2,FALSE())</f>
        <v>Essential Personal Item 044</v>
      </c>
      <c r="C48" s="27" t="s">
        <v>42</v>
      </c>
      <c r="D48" s="26" t="s">
        <v>166</v>
      </c>
      <c r="E48" s="27" t="str">
        <f aca="false">VLOOKUP(D48,'Supplier Database'!$A$5:$K$29,2,FALSE())</f>
        <v>Summit Logistics</v>
      </c>
      <c r="F48" s="27" t="s">
        <v>80</v>
      </c>
      <c r="G48" s="28" t="n">
        <v>217</v>
      </c>
      <c r="H48" s="28" t="n">
        <v>326</v>
      </c>
      <c r="I48" s="28" t="n">
        <f aca="false">SUMIFS('Order Tracking'!$J$5:$J$604,'Order Tracking'!$G$5:$G$604,A48,'Order Tracking'!$M$5:$M$604,"&lt;&gt;Cancelled")</f>
        <v>87</v>
      </c>
      <c r="J48" s="28" t="n">
        <v>0</v>
      </c>
      <c r="K48" s="28" t="n">
        <f aca="false">G48+H48-I48+J48</f>
        <v>456</v>
      </c>
      <c r="L48" s="28" t="n">
        <v>43</v>
      </c>
      <c r="M48" s="28" t="n">
        <v>301</v>
      </c>
      <c r="N48" s="29" t="n">
        <f aca="false">VLOOKUP(A48,'Product Master'!$A$5:$K$104,5,FALSE())</f>
        <v>806.37</v>
      </c>
      <c r="O48" s="29" t="n">
        <f aca="false">K48*N48</f>
        <v>367704.72</v>
      </c>
      <c r="P48" s="32" t="str">
        <f aca="false">IF(K48&lt;=0,"Out of Stock",IF(K48&lt;L48,"Low Stock",IF(K48&gt;M48,"Overstocked","Healthy Stock")))</f>
        <v>Overstocked</v>
      </c>
      <c r="Q48" s="28" t="n">
        <f aca="false">IF(K48&lt;L48,MAX(0,M48-K48),0)</f>
        <v>0</v>
      </c>
    </row>
    <row r="49" customFormat="false" ht="15" hidden="false" customHeight="false" outlineLevel="0" collapsed="false">
      <c r="A49" s="18" t="s">
        <v>239</v>
      </c>
      <c r="B49" s="20" t="str">
        <f aca="false">VLOOKUP(A49,'Product Master'!$A$5:$K$104,2,FALSE())</f>
        <v>Essential Industrial Item 045</v>
      </c>
      <c r="C49" s="20" t="s">
        <v>44</v>
      </c>
      <c r="D49" s="18" t="s">
        <v>167</v>
      </c>
      <c r="E49" s="20" t="str">
        <f aca="false">VLOOKUP(D49,'Supplier Database'!$A$5:$K$29,2,FALSE())</f>
        <v>Trident Wholesale</v>
      </c>
      <c r="F49" s="20" t="s">
        <v>78</v>
      </c>
      <c r="G49" s="17" t="n">
        <v>156</v>
      </c>
      <c r="H49" s="17" t="n">
        <v>235</v>
      </c>
      <c r="I49" s="17" t="n">
        <f aca="false">SUMIFS('Order Tracking'!$J$5:$J$604,'Order Tracking'!$G$5:$G$604,A49,'Order Tracking'!$M$5:$M$604,"&lt;&gt;Cancelled")</f>
        <v>143</v>
      </c>
      <c r="J49" s="17" t="n">
        <v>0</v>
      </c>
      <c r="K49" s="17" t="n">
        <f aca="false">G49+H49-I49+J49</f>
        <v>248</v>
      </c>
      <c r="L49" s="17" t="n">
        <v>40</v>
      </c>
      <c r="M49" s="17" t="n">
        <v>360</v>
      </c>
      <c r="N49" s="16" t="n">
        <f aca="false">VLOOKUP(A49,'Product Master'!$A$5:$K$104,5,FALSE())</f>
        <v>6666.73</v>
      </c>
      <c r="O49" s="16" t="n">
        <f aca="false">K49*N49</f>
        <v>1653349.04</v>
      </c>
      <c r="P49" s="23" t="str">
        <f aca="false">IF(K49&lt;=0,"Out of Stock",IF(K49&lt;L49,"Low Stock",IF(K49&gt;M49,"Overstocked","Healthy Stock")))</f>
        <v>Healthy Stock</v>
      </c>
      <c r="Q49" s="17" t="n">
        <f aca="false">IF(K49&lt;L49,MAX(0,M49-K49),0)</f>
        <v>0</v>
      </c>
    </row>
    <row r="50" customFormat="false" ht="15" hidden="false" customHeight="false" outlineLevel="0" collapsed="false">
      <c r="A50" s="26" t="s">
        <v>240</v>
      </c>
      <c r="B50" s="27" t="str">
        <f aca="false">VLOOKUP(A50,'Product Master'!$A$5:$K$104,2,FALSE())</f>
        <v>Classic Packaging Item 046</v>
      </c>
      <c r="C50" s="27" t="s">
        <v>45</v>
      </c>
      <c r="D50" s="26" t="s">
        <v>168</v>
      </c>
      <c r="E50" s="27" t="str">
        <f aca="false">VLOOKUP(D50,'Supplier Database'!$A$5:$K$29,2,FALSE())</f>
        <v>Unity Partners</v>
      </c>
      <c r="F50" s="27" t="s">
        <v>77</v>
      </c>
      <c r="G50" s="28" t="n">
        <v>77</v>
      </c>
      <c r="H50" s="28" t="n">
        <v>116</v>
      </c>
      <c r="I50" s="28" t="n">
        <f aca="false">SUMIFS('Order Tracking'!$J$5:$J$604,'Order Tracking'!$G$5:$G$604,A50,'Order Tracking'!$M$5:$M$604,"&lt;&gt;Cancelled")</f>
        <v>76</v>
      </c>
      <c r="J50" s="28" t="n">
        <v>2</v>
      </c>
      <c r="K50" s="28" t="n">
        <f aca="false">G50+H50-I50+J50</f>
        <v>119</v>
      </c>
      <c r="L50" s="28" t="n">
        <v>42</v>
      </c>
      <c r="M50" s="28" t="n">
        <v>378</v>
      </c>
      <c r="N50" s="29" t="n">
        <f aca="false">VLOOKUP(A50,'Product Master'!$A$5:$K$104,5,FALSE())</f>
        <v>5326.79</v>
      </c>
      <c r="O50" s="29" t="n">
        <f aca="false">K50*N50</f>
        <v>633888.01</v>
      </c>
      <c r="P50" s="32" t="str">
        <f aca="false">IF(K50&lt;=0,"Out of Stock",IF(K50&lt;L50,"Low Stock",IF(K50&gt;M50,"Overstocked","Healthy Stock")))</f>
        <v>Healthy Stock</v>
      </c>
      <c r="Q50" s="28" t="n">
        <f aca="false">IF(K50&lt;L50,MAX(0,M50-K50),0)</f>
        <v>0</v>
      </c>
    </row>
    <row r="51" customFormat="false" ht="15" hidden="false" customHeight="false" outlineLevel="0" collapsed="false">
      <c r="A51" s="18" t="s">
        <v>241</v>
      </c>
      <c r="B51" s="20" t="str">
        <f aca="false">VLOOKUP(A51,'Product Master'!$A$5:$K$104,2,FALSE())</f>
        <v>Premium Apparel Item 047</v>
      </c>
      <c r="C51" s="20" t="s">
        <v>46</v>
      </c>
      <c r="D51" s="18" t="s">
        <v>169</v>
      </c>
      <c r="E51" s="20" t="str">
        <f aca="false">VLOOKUP(D51,'Supplier Database'!$A$5:$K$29,2,FALSE())</f>
        <v>Vertex Supplies</v>
      </c>
      <c r="F51" s="20" t="s">
        <v>80</v>
      </c>
      <c r="G51" s="17" t="n">
        <v>171</v>
      </c>
      <c r="H51" s="17" t="n">
        <v>258</v>
      </c>
      <c r="I51" s="17" t="n">
        <f aca="false">SUMIFS('Order Tracking'!$J$5:$J$604,'Order Tracking'!$G$5:$G$604,A51,'Order Tracking'!$M$5:$M$604,"&lt;&gt;Cancelled")</f>
        <v>74</v>
      </c>
      <c r="J51" s="17" t="n">
        <v>0</v>
      </c>
      <c r="K51" s="17" t="n">
        <f aca="false">G51+H51-I51+J51</f>
        <v>355</v>
      </c>
      <c r="L51" s="17" t="n">
        <v>54</v>
      </c>
      <c r="M51" s="17" t="n">
        <v>378</v>
      </c>
      <c r="N51" s="16" t="n">
        <f aca="false">VLOOKUP(A51,'Product Master'!$A$5:$K$104,5,FALSE())</f>
        <v>2267.32</v>
      </c>
      <c r="O51" s="16" t="n">
        <f aca="false">K51*N51</f>
        <v>804898.6</v>
      </c>
      <c r="P51" s="23" t="str">
        <f aca="false">IF(K51&lt;=0,"Out of Stock",IF(K51&lt;L51,"Low Stock",IF(K51&gt;M51,"Overstocked","Healthy Stock")))</f>
        <v>Healthy Stock</v>
      </c>
      <c r="Q51" s="17" t="n">
        <f aca="false">IF(K51&lt;L51,MAX(0,M51-K51),0)</f>
        <v>0</v>
      </c>
    </row>
    <row r="52" customFormat="false" ht="15" hidden="false" customHeight="false" outlineLevel="0" collapsed="false">
      <c r="A52" s="26" t="s">
        <v>242</v>
      </c>
      <c r="B52" s="27" t="str">
        <f aca="false">VLOOKUP(A52,'Product Master'!$A$5:$K$104,2,FALSE())</f>
        <v>Eco Automotive Item 048</v>
      </c>
      <c r="C52" s="27" t="s">
        <v>47</v>
      </c>
      <c r="D52" s="26" t="s">
        <v>170</v>
      </c>
      <c r="E52" s="27" t="str">
        <f aca="false">VLOOKUP(D52,'Supplier Database'!$A$5:$K$29,2,FALSE())</f>
        <v>Westline Distributors</v>
      </c>
      <c r="F52" s="27" t="s">
        <v>80</v>
      </c>
      <c r="G52" s="28" t="n">
        <v>150</v>
      </c>
      <c r="H52" s="28" t="n">
        <v>226</v>
      </c>
      <c r="I52" s="28" t="n">
        <f aca="false">SUMIFS('Order Tracking'!$J$5:$J$604,'Order Tracking'!$G$5:$G$604,A52,'Order Tracking'!$M$5:$M$604,"&lt;&gt;Cancelled")</f>
        <v>154</v>
      </c>
      <c r="J52" s="28" t="n">
        <v>0</v>
      </c>
      <c r="K52" s="28" t="n">
        <f aca="false">G52+H52-I52+J52</f>
        <v>222</v>
      </c>
      <c r="L52" s="28" t="n">
        <v>40</v>
      </c>
      <c r="M52" s="28" t="n">
        <v>320</v>
      </c>
      <c r="N52" s="29" t="n">
        <f aca="false">VLOOKUP(A52,'Product Master'!$A$5:$K$104,5,FALSE())</f>
        <v>335.19</v>
      </c>
      <c r="O52" s="29" t="n">
        <f aca="false">K52*N52</f>
        <v>74412.18</v>
      </c>
      <c r="P52" s="32" t="str">
        <f aca="false">IF(K52&lt;=0,"Out of Stock",IF(K52&lt;L52,"Low Stock",IF(K52&gt;M52,"Overstocked","Healthy Stock")))</f>
        <v>Healthy Stock</v>
      </c>
      <c r="Q52" s="28" t="n">
        <f aca="false">IF(K52&lt;L52,MAX(0,M52-K52),0)</f>
        <v>0</v>
      </c>
    </row>
    <row r="53" customFormat="false" ht="15" hidden="false" customHeight="false" outlineLevel="0" collapsed="false">
      <c r="A53" s="18" t="s">
        <v>243</v>
      </c>
      <c r="B53" s="20" t="str">
        <f aca="false">VLOOKUP(A53,'Product Master'!$A$5:$K$104,2,FALSE())</f>
        <v>Premium Electronics Item 049</v>
      </c>
      <c r="C53" s="20" t="s">
        <v>36</v>
      </c>
      <c r="D53" s="18" t="s">
        <v>171</v>
      </c>
      <c r="E53" s="20" t="str">
        <f aca="false">VLOOKUP(D53,'Supplier Database'!$A$5:$K$29,2,FALSE())</f>
        <v>Yugma Industries</v>
      </c>
      <c r="F53" s="20" t="s">
        <v>80</v>
      </c>
      <c r="G53" s="17" t="n">
        <v>41</v>
      </c>
      <c r="H53" s="17" t="n">
        <v>51</v>
      </c>
      <c r="I53" s="17" t="n">
        <f aca="false">SUMIFS('Order Tracking'!$J$5:$J$604,'Order Tracking'!$G$5:$G$604,A53,'Order Tracking'!$M$5:$M$604,"&lt;&gt;Cancelled")</f>
        <v>98</v>
      </c>
      <c r="J53" s="17" t="n">
        <v>6</v>
      </c>
      <c r="K53" s="17" t="n">
        <f aca="false">G53+H53-I53+J53</f>
        <v>0</v>
      </c>
      <c r="L53" s="17" t="n">
        <v>30</v>
      </c>
      <c r="M53" s="17" t="n">
        <v>240</v>
      </c>
      <c r="N53" s="16" t="n">
        <f aca="false">VLOOKUP(A53,'Product Master'!$A$5:$K$104,5,FALSE())</f>
        <v>5907.35</v>
      </c>
      <c r="O53" s="16" t="n">
        <f aca="false">K53*N53</f>
        <v>0</v>
      </c>
      <c r="P53" s="23" t="str">
        <f aca="false">IF(K53&lt;=0,"Out of Stock",IF(K53&lt;L53,"Low Stock",IF(K53&gt;M53,"Overstocked","Healthy Stock")))</f>
        <v>Out of Stock</v>
      </c>
      <c r="Q53" s="17" t="n">
        <f aca="false">IF(K53&lt;L53,MAX(0,M53-K53),0)</f>
        <v>240</v>
      </c>
    </row>
    <row r="54" customFormat="false" ht="15" hidden="false" customHeight="false" outlineLevel="0" collapsed="false">
      <c r="A54" s="26" t="s">
        <v>244</v>
      </c>
      <c r="B54" s="27" t="str">
        <f aca="false">VLOOKUP(A54,'Product Master'!$A$5:$K$104,2,FALSE())</f>
        <v>Eco Home Item 050</v>
      </c>
      <c r="C54" s="27" t="s">
        <v>38</v>
      </c>
      <c r="D54" s="26" t="s">
        <v>172</v>
      </c>
      <c r="E54" s="27" t="str">
        <f aca="false">VLOOKUP(D54,'Supplier Database'!$A$5:$K$29,2,FALSE())</f>
        <v>Zenith Trading Co.</v>
      </c>
      <c r="F54" s="27" t="s">
        <v>76</v>
      </c>
      <c r="G54" s="28" t="n">
        <v>25</v>
      </c>
      <c r="H54" s="28" t="n">
        <v>33</v>
      </c>
      <c r="I54" s="28" t="n">
        <f aca="false">SUMIFS('Order Tracking'!$J$5:$J$604,'Order Tracking'!$G$5:$G$604,A54,'Order Tracking'!$M$5:$M$604,"&lt;&gt;Cancelled")</f>
        <v>45</v>
      </c>
      <c r="J54" s="28" t="n">
        <v>0</v>
      </c>
      <c r="K54" s="28" t="n">
        <f aca="false">G54+H54-I54+J54</f>
        <v>13</v>
      </c>
      <c r="L54" s="28" t="n">
        <v>23</v>
      </c>
      <c r="M54" s="28" t="n">
        <v>115</v>
      </c>
      <c r="N54" s="29" t="n">
        <f aca="false">VLOOKUP(A54,'Product Master'!$A$5:$K$104,5,FALSE())</f>
        <v>4862.51</v>
      </c>
      <c r="O54" s="29" t="n">
        <f aca="false">K54*N54</f>
        <v>63212.63</v>
      </c>
      <c r="P54" s="32" t="str">
        <f aca="false">IF(K54&lt;=0,"Out of Stock",IF(K54&lt;L54,"Low Stock",IF(K54&gt;M54,"Overstocked","Healthy Stock")))</f>
        <v>Low Stock</v>
      </c>
      <c r="Q54" s="28" t="n">
        <f aca="false">IF(K54&lt;L54,MAX(0,M54-K54),0)</f>
        <v>102</v>
      </c>
    </row>
    <row r="55" customFormat="false" ht="15" hidden="false" customHeight="false" outlineLevel="0" collapsed="false">
      <c r="A55" s="18" t="s">
        <v>245</v>
      </c>
      <c r="B55" s="20" t="str">
        <f aca="false">VLOOKUP(A55,'Product Master'!$A$5:$K$104,2,FALSE())</f>
        <v>Classic Office Item 051</v>
      </c>
      <c r="C55" s="20" t="s">
        <v>40</v>
      </c>
      <c r="D55" s="18" t="s">
        <v>148</v>
      </c>
      <c r="E55" s="20" t="str">
        <f aca="false">VLOOKUP(D55,'Supplier Database'!$A$5:$K$29,2,FALSE())</f>
        <v>Apex Supplies</v>
      </c>
      <c r="F55" s="20" t="s">
        <v>80</v>
      </c>
      <c r="G55" s="17" t="n">
        <v>194</v>
      </c>
      <c r="H55" s="17" t="n">
        <v>293</v>
      </c>
      <c r="I55" s="17" t="n">
        <f aca="false">SUMIFS('Order Tracking'!$J$5:$J$604,'Order Tracking'!$G$5:$G$604,A55,'Order Tracking'!$M$5:$M$604,"&lt;&gt;Cancelled")</f>
        <v>53</v>
      </c>
      <c r="J55" s="17" t="n">
        <v>0</v>
      </c>
      <c r="K55" s="17" t="n">
        <f aca="false">G55+H55-I55+J55</f>
        <v>434</v>
      </c>
      <c r="L55" s="17" t="n">
        <v>70</v>
      </c>
      <c r="M55" s="17" t="n">
        <v>630</v>
      </c>
      <c r="N55" s="16" t="n">
        <f aca="false">VLOOKUP(A55,'Product Master'!$A$5:$K$104,5,FALSE())</f>
        <v>2979.52</v>
      </c>
      <c r="O55" s="16" t="n">
        <f aca="false">K55*N55</f>
        <v>1293111.68</v>
      </c>
      <c r="P55" s="23" t="str">
        <f aca="false">IF(K55&lt;=0,"Out of Stock",IF(K55&lt;L55,"Low Stock",IF(K55&gt;M55,"Overstocked","Healthy Stock")))</f>
        <v>Healthy Stock</v>
      </c>
      <c r="Q55" s="17" t="n">
        <f aca="false">IF(K55&lt;L55,MAX(0,M55-K55),0)</f>
        <v>0</v>
      </c>
    </row>
    <row r="56" customFormat="false" ht="15" hidden="false" customHeight="false" outlineLevel="0" collapsed="false">
      <c r="A56" s="26" t="s">
        <v>246</v>
      </c>
      <c r="B56" s="27" t="str">
        <f aca="false">VLOOKUP(A56,'Product Master'!$A$5:$K$104,2,FALSE())</f>
        <v>Compact Personal Item 052</v>
      </c>
      <c r="C56" s="27" t="s">
        <v>42</v>
      </c>
      <c r="D56" s="26" t="s">
        <v>149</v>
      </c>
      <c r="E56" s="27" t="str">
        <f aca="false">VLOOKUP(D56,'Supplier Database'!$A$5:$K$29,2,FALSE())</f>
        <v>Bright Distributors</v>
      </c>
      <c r="F56" s="27" t="s">
        <v>77</v>
      </c>
      <c r="G56" s="28" t="n">
        <v>121</v>
      </c>
      <c r="H56" s="28" t="n">
        <v>182</v>
      </c>
      <c r="I56" s="28" t="n">
        <f aca="false">SUMIFS('Order Tracking'!$J$5:$J$604,'Order Tracking'!$G$5:$G$604,A56,'Order Tracking'!$M$5:$M$604,"&lt;&gt;Cancelled")</f>
        <v>74</v>
      </c>
      <c r="J56" s="28" t="n">
        <v>0</v>
      </c>
      <c r="K56" s="28" t="n">
        <f aca="false">G56+H56-I56+J56</f>
        <v>229</v>
      </c>
      <c r="L56" s="28" t="n">
        <v>37</v>
      </c>
      <c r="M56" s="28" t="n">
        <v>333</v>
      </c>
      <c r="N56" s="29" t="n">
        <f aca="false">VLOOKUP(A56,'Product Master'!$A$5:$K$104,5,FALSE())</f>
        <v>5446.2</v>
      </c>
      <c r="O56" s="29" t="n">
        <f aca="false">K56*N56</f>
        <v>1247179.8</v>
      </c>
      <c r="P56" s="32" t="str">
        <f aca="false">IF(K56&lt;=0,"Out of Stock",IF(K56&lt;L56,"Low Stock",IF(K56&gt;M56,"Overstocked","Healthy Stock")))</f>
        <v>Healthy Stock</v>
      </c>
      <c r="Q56" s="28" t="n">
        <f aca="false">IF(K56&lt;L56,MAX(0,M56-K56),0)</f>
        <v>0</v>
      </c>
    </row>
    <row r="57" customFormat="false" ht="15" hidden="false" customHeight="false" outlineLevel="0" collapsed="false">
      <c r="A57" s="18" t="s">
        <v>247</v>
      </c>
      <c r="B57" s="20" t="str">
        <f aca="false">VLOOKUP(A57,'Product Master'!$A$5:$K$104,2,FALSE())</f>
        <v>Classic Industrial Item 053</v>
      </c>
      <c r="C57" s="20" t="s">
        <v>44</v>
      </c>
      <c r="D57" s="18" t="s">
        <v>150</v>
      </c>
      <c r="E57" s="20" t="str">
        <f aca="false">VLOOKUP(D57,'Supplier Database'!$A$5:$K$29,2,FALSE())</f>
        <v>Core Industries</v>
      </c>
      <c r="F57" s="20" t="s">
        <v>77</v>
      </c>
      <c r="G57" s="17" t="n">
        <v>163</v>
      </c>
      <c r="H57" s="17" t="n">
        <v>246</v>
      </c>
      <c r="I57" s="17" t="n">
        <f aca="false">SUMIFS('Order Tracking'!$J$5:$J$604,'Order Tracking'!$G$5:$G$604,A57,'Order Tracking'!$M$5:$M$604,"&lt;&gt;Cancelled")</f>
        <v>96</v>
      </c>
      <c r="J57" s="17" t="n">
        <v>0</v>
      </c>
      <c r="K57" s="17" t="n">
        <f aca="false">G57+H57-I57+J57</f>
        <v>313</v>
      </c>
      <c r="L57" s="17" t="n">
        <v>70</v>
      </c>
      <c r="M57" s="17" t="n">
        <v>280</v>
      </c>
      <c r="N57" s="16" t="n">
        <f aca="false">VLOOKUP(A57,'Product Master'!$A$5:$K$104,5,FALSE())</f>
        <v>8210.67</v>
      </c>
      <c r="O57" s="16" t="n">
        <f aca="false">K57*N57</f>
        <v>2569939.71</v>
      </c>
      <c r="P57" s="23" t="str">
        <f aca="false">IF(K57&lt;=0,"Out of Stock",IF(K57&lt;L57,"Low Stock",IF(K57&gt;M57,"Overstocked","Healthy Stock")))</f>
        <v>Overstocked</v>
      </c>
      <c r="Q57" s="17" t="n">
        <f aca="false">IF(K57&lt;L57,MAX(0,M57-K57),0)</f>
        <v>0</v>
      </c>
    </row>
    <row r="58" customFormat="false" ht="15" hidden="false" customHeight="false" outlineLevel="0" collapsed="false">
      <c r="A58" s="26" t="s">
        <v>248</v>
      </c>
      <c r="B58" s="27" t="str">
        <f aca="false">VLOOKUP(A58,'Product Master'!$A$5:$K$104,2,FALSE())</f>
        <v>Pro Packaging Item 054</v>
      </c>
      <c r="C58" s="27" t="s">
        <v>45</v>
      </c>
      <c r="D58" s="26" t="s">
        <v>151</v>
      </c>
      <c r="E58" s="27" t="str">
        <f aca="false">VLOOKUP(D58,'Supplier Database'!$A$5:$K$29,2,FALSE())</f>
        <v>Delta Trading Co.</v>
      </c>
      <c r="F58" s="27" t="s">
        <v>77</v>
      </c>
      <c r="G58" s="28" t="n">
        <v>102</v>
      </c>
      <c r="H58" s="28" t="n">
        <v>155</v>
      </c>
      <c r="I58" s="28" t="n">
        <f aca="false">SUMIFS('Order Tracking'!$J$5:$J$604,'Order Tracking'!$G$5:$G$604,A58,'Order Tracking'!$M$5:$M$604,"&lt;&gt;Cancelled")</f>
        <v>110</v>
      </c>
      <c r="J58" s="28" t="n">
        <v>0</v>
      </c>
      <c r="K58" s="28" t="n">
        <f aca="false">G58+H58-I58+J58</f>
        <v>147</v>
      </c>
      <c r="L58" s="28" t="n">
        <v>50</v>
      </c>
      <c r="M58" s="28" t="n">
        <v>200</v>
      </c>
      <c r="N58" s="29" t="n">
        <f aca="false">VLOOKUP(A58,'Product Master'!$A$5:$K$104,5,FALSE())</f>
        <v>5084.94</v>
      </c>
      <c r="O58" s="29" t="n">
        <f aca="false">K58*N58</f>
        <v>747486.18</v>
      </c>
      <c r="P58" s="32" t="str">
        <f aca="false">IF(K58&lt;=0,"Out of Stock",IF(K58&lt;L58,"Low Stock",IF(K58&gt;M58,"Overstocked","Healthy Stock")))</f>
        <v>Healthy Stock</v>
      </c>
      <c r="Q58" s="28" t="n">
        <f aca="false">IF(K58&lt;L58,MAX(0,M58-K58),0)</f>
        <v>0</v>
      </c>
    </row>
    <row r="59" customFormat="false" ht="15" hidden="false" customHeight="false" outlineLevel="0" collapsed="false">
      <c r="A59" s="18" t="s">
        <v>249</v>
      </c>
      <c r="B59" s="20" t="str">
        <f aca="false">VLOOKUP(A59,'Product Master'!$A$5:$K$104,2,FALSE())</f>
        <v>Eco Apparel Item 055</v>
      </c>
      <c r="C59" s="20" t="s">
        <v>46</v>
      </c>
      <c r="D59" s="18" t="s">
        <v>152</v>
      </c>
      <c r="E59" s="20" t="str">
        <f aca="false">VLOOKUP(D59,'Supplier Database'!$A$5:$K$29,2,FALSE())</f>
        <v>Ever Logistics</v>
      </c>
      <c r="F59" s="20" t="s">
        <v>78</v>
      </c>
      <c r="G59" s="17" t="n">
        <v>38</v>
      </c>
      <c r="H59" s="17" t="n">
        <v>58</v>
      </c>
      <c r="I59" s="17" t="n">
        <f aca="false">SUMIFS('Order Tracking'!$J$5:$J$604,'Order Tracking'!$G$5:$G$604,A59,'Order Tracking'!$M$5:$M$604,"&lt;&gt;Cancelled")</f>
        <v>43</v>
      </c>
      <c r="J59" s="17" t="n">
        <v>0</v>
      </c>
      <c r="K59" s="17" t="n">
        <f aca="false">G59+H59-I59+J59</f>
        <v>53</v>
      </c>
      <c r="L59" s="17" t="n">
        <v>18</v>
      </c>
      <c r="M59" s="17" t="n">
        <v>72</v>
      </c>
      <c r="N59" s="16" t="n">
        <f aca="false">VLOOKUP(A59,'Product Master'!$A$5:$K$104,5,FALSE())</f>
        <v>2163.58</v>
      </c>
      <c r="O59" s="16" t="n">
        <f aca="false">K59*N59</f>
        <v>114669.74</v>
      </c>
      <c r="P59" s="23" t="str">
        <f aca="false">IF(K59&lt;=0,"Out of Stock",IF(K59&lt;L59,"Low Stock",IF(K59&gt;M59,"Overstocked","Healthy Stock")))</f>
        <v>Healthy Stock</v>
      </c>
      <c r="Q59" s="17" t="n">
        <f aca="false">IF(K59&lt;L59,MAX(0,M59-K59),0)</f>
        <v>0</v>
      </c>
    </row>
    <row r="60" customFormat="false" ht="15" hidden="false" customHeight="false" outlineLevel="0" collapsed="false">
      <c r="A60" s="26" t="s">
        <v>250</v>
      </c>
      <c r="B60" s="27" t="str">
        <f aca="false">VLOOKUP(A60,'Product Master'!$A$5:$K$104,2,FALSE())</f>
        <v>Smart Automotive Item 056</v>
      </c>
      <c r="C60" s="27" t="s">
        <v>47</v>
      </c>
      <c r="D60" s="26" t="s">
        <v>153</v>
      </c>
      <c r="E60" s="27" t="str">
        <f aca="false">VLOOKUP(D60,'Supplier Database'!$A$5:$K$29,2,FALSE())</f>
        <v>Frontier Wholesale</v>
      </c>
      <c r="F60" s="27" t="s">
        <v>77</v>
      </c>
      <c r="G60" s="28" t="n">
        <v>261</v>
      </c>
      <c r="H60" s="28" t="n">
        <v>393</v>
      </c>
      <c r="I60" s="28" t="n">
        <f aca="false">SUMIFS('Order Tracking'!$J$5:$J$604,'Order Tracking'!$G$5:$G$604,A60,'Order Tracking'!$M$5:$M$604,"&lt;&gt;Cancelled")</f>
        <v>44</v>
      </c>
      <c r="J60" s="28" t="n">
        <v>2</v>
      </c>
      <c r="K60" s="28" t="n">
        <f aca="false">G60+H60-I60+J60</f>
        <v>612</v>
      </c>
      <c r="L60" s="28" t="n">
        <v>58</v>
      </c>
      <c r="M60" s="28" t="n">
        <v>406</v>
      </c>
      <c r="N60" s="29" t="n">
        <f aca="false">VLOOKUP(A60,'Product Master'!$A$5:$K$104,5,FALSE())</f>
        <v>2843.62</v>
      </c>
      <c r="O60" s="29" t="n">
        <f aca="false">K60*N60</f>
        <v>1740295.44</v>
      </c>
      <c r="P60" s="32" t="str">
        <f aca="false">IF(K60&lt;=0,"Out of Stock",IF(K60&lt;L60,"Low Stock",IF(K60&gt;M60,"Overstocked","Healthy Stock")))</f>
        <v>Overstocked</v>
      </c>
      <c r="Q60" s="28" t="n">
        <f aca="false">IF(K60&lt;L60,MAX(0,M60-K60),0)</f>
        <v>0</v>
      </c>
    </row>
    <row r="61" customFormat="false" ht="15" hidden="false" customHeight="false" outlineLevel="0" collapsed="false">
      <c r="A61" s="18" t="s">
        <v>251</v>
      </c>
      <c r="B61" s="20" t="str">
        <f aca="false">VLOOKUP(A61,'Product Master'!$A$5:$K$104,2,FALSE())</f>
        <v>Essential Electronics Item 057</v>
      </c>
      <c r="C61" s="20" t="s">
        <v>36</v>
      </c>
      <c r="D61" s="18" t="s">
        <v>154</v>
      </c>
      <c r="E61" s="20" t="str">
        <f aca="false">VLOOKUP(D61,'Supplier Database'!$A$5:$K$29,2,FALSE())</f>
        <v>Global Partners</v>
      </c>
      <c r="F61" s="20" t="s">
        <v>78</v>
      </c>
      <c r="G61" s="17" t="n">
        <v>37</v>
      </c>
      <c r="H61" s="17" t="n">
        <v>47</v>
      </c>
      <c r="I61" s="17" t="n">
        <f aca="false">SUMIFS('Order Tracking'!$J$5:$J$604,'Order Tracking'!$G$5:$G$604,A61,'Order Tracking'!$M$5:$M$604,"&lt;&gt;Cancelled")</f>
        <v>84</v>
      </c>
      <c r="J61" s="17" t="n">
        <v>0</v>
      </c>
      <c r="K61" s="17" t="n">
        <f aca="false">G61+H61-I61+J61</f>
        <v>0</v>
      </c>
      <c r="L61" s="17" t="n">
        <v>25</v>
      </c>
      <c r="M61" s="17" t="n">
        <v>100</v>
      </c>
      <c r="N61" s="16" t="n">
        <f aca="false">VLOOKUP(A61,'Product Master'!$A$5:$K$104,5,FALSE())</f>
        <v>5115.78</v>
      </c>
      <c r="O61" s="16" t="n">
        <f aca="false">K61*N61</f>
        <v>0</v>
      </c>
      <c r="P61" s="23" t="str">
        <f aca="false">IF(K61&lt;=0,"Out of Stock",IF(K61&lt;L61,"Low Stock",IF(K61&gt;M61,"Overstocked","Healthy Stock")))</f>
        <v>Out of Stock</v>
      </c>
      <c r="Q61" s="17" t="n">
        <f aca="false">IF(K61&lt;L61,MAX(0,M61-K61),0)</f>
        <v>100</v>
      </c>
    </row>
    <row r="62" customFormat="false" ht="15" hidden="false" customHeight="false" outlineLevel="0" collapsed="false">
      <c r="A62" s="26" t="s">
        <v>252</v>
      </c>
      <c r="B62" s="27" t="str">
        <f aca="false">VLOOKUP(A62,'Product Master'!$A$5:$K$104,2,FALSE())</f>
        <v>Pro Home Item 058</v>
      </c>
      <c r="C62" s="27" t="s">
        <v>38</v>
      </c>
      <c r="D62" s="26" t="s">
        <v>155</v>
      </c>
      <c r="E62" s="27" t="str">
        <f aca="false">VLOOKUP(D62,'Supplier Database'!$A$5:$K$29,2,FALSE())</f>
        <v>Horizon Supplies</v>
      </c>
      <c r="F62" s="27" t="s">
        <v>79</v>
      </c>
      <c r="G62" s="28" t="n">
        <v>27</v>
      </c>
      <c r="H62" s="28" t="n">
        <v>42</v>
      </c>
      <c r="I62" s="28" t="n">
        <f aca="false">SUMIFS('Order Tracking'!$J$5:$J$604,'Order Tracking'!$G$5:$G$604,A62,'Order Tracking'!$M$5:$M$604,"&lt;&gt;Cancelled")</f>
        <v>31</v>
      </c>
      <c r="J62" s="28" t="n">
        <v>0</v>
      </c>
      <c r="K62" s="28" t="n">
        <f aca="false">G62+H62-I62+J62</f>
        <v>38</v>
      </c>
      <c r="L62" s="28" t="n">
        <v>77</v>
      </c>
      <c r="M62" s="28" t="n">
        <v>385</v>
      </c>
      <c r="N62" s="29" t="n">
        <f aca="false">VLOOKUP(A62,'Product Master'!$A$5:$K$104,5,FALSE())</f>
        <v>3525.87</v>
      </c>
      <c r="O62" s="29" t="n">
        <f aca="false">K62*N62</f>
        <v>133983.06</v>
      </c>
      <c r="P62" s="32" t="str">
        <f aca="false">IF(K62&lt;=0,"Out of Stock",IF(K62&lt;L62,"Low Stock",IF(K62&gt;M62,"Overstocked","Healthy Stock")))</f>
        <v>Low Stock</v>
      </c>
      <c r="Q62" s="28" t="n">
        <f aca="false">IF(K62&lt;L62,MAX(0,M62-K62),0)</f>
        <v>347</v>
      </c>
    </row>
    <row r="63" customFormat="false" ht="15" hidden="false" customHeight="false" outlineLevel="0" collapsed="false">
      <c r="A63" s="18" t="s">
        <v>253</v>
      </c>
      <c r="B63" s="20" t="str">
        <f aca="false">VLOOKUP(A63,'Product Master'!$A$5:$K$104,2,FALSE())</f>
        <v>Eco Office Item 059</v>
      </c>
      <c r="C63" s="20" t="s">
        <v>40</v>
      </c>
      <c r="D63" s="18" t="s">
        <v>156</v>
      </c>
      <c r="E63" s="20" t="str">
        <f aca="false">VLOOKUP(D63,'Supplier Database'!$A$5:$K$29,2,FALSE())</f>
        <v>Indus Distributors</v>
      </c>
      <c r="F63" s="20" t="s">
        <v>77</v>
      </c>
      <c r="G63" s="17" t="n">
        <v>276</v>
      </c>
      <c r="H63" s="17" t="n">
        <v>415</v>
      </c>
      <c r="I63" s="17" t="n">
        <f aca="false">SUMIFS('Order Tracking'!$J$5:$J$604,'Order Tracking'!$G$5:$G$604,A63,'Order Tracking'!$M$5:$M$604,"&lt;&gt;Cancelled")</f>
        <v>142</v>
      </c>
      <c r="J63" s="17" t="n">
        <v>0</v>
      </c>
      <c r="K63" s="17" t="n">
        <f aca="false">G63+H63-I63+J63</f>
        <v>549</v>
      </c>
      <c r="L63" s="17" t="n">
        <v>54</v>
      </c>
      <c r="M63" s="17" t="n">
        <v>432</v>
      </c>
      <c r="N63" s="16" t="n">
        <f aca="false">VLOOKUP(A63,'Product Master'!$A$5:$K$104,5,FALSE())</f>
        <v>264.5</v>
      </c>
      <c r="O63" s="16" t="n">
        <f aca="false">K63*N63</f>
        <v>145210.5</v>
      </c>
      <c r="P63" s="23" t="str">
        <f aca="false">IF(K63&lt;=0,"Out of Stock",IF(K63&lt;L63,"Low Stock",IF(K63&gt;M63,"Overstocked","Healthy Stock")))</f>
        <v>Overstocked</v>
      </c>
      <c r="Q63" s="17" t="n">
        <f aca="false">IF(K63&lt;L63,MAX(0,M63-K63),0)</f>
        <v>0</v>
      </c>
    </row>
    <row r="64" customFormat="false" ht="15" hidden="false" customHeight="false" outlineLevel="0" collapsed="false">
      <c r="A64" s="26" t="s">
        <v>254</v>
      </c>
      <c r="B64" s="27" t="str">
        <f aca="false">VLOOKUP(A64,'Product Master'!$A$5:$K$104,2,FALSE())</f>
        <v>Smart Personal Item 060</v>
      </c>
      <c r="C64" s="27" t="s">
        <v>42</v>
      </c>
      <c r="D64" s="26" t="s">
        <v>157</v>
      </c>
      <c r="E64" s="27" t="str">
        <f aca="false">VLOOKUP(D64,'Supplier Database'!$A$5:$K$29,2,FALSE())</f>
        <v>Jupiter Industries</v>
      </c>
      <c r="F64" s="27" t="s">
        <v>76</v>
      </c>
      <c r="G64" s="28" t="n">
        <v>95</v>
      </c>
      <c r="H64" s="28" t="n">
        <v>144</v>
      </c>
      <c r="I64" s="28" t="n">
        <f aca="false">SUMIFS('Order Tracking'!$J$5:$J$604,'Order Tracking'!$G$5:$G$604,A64,'Order Tracking'!$M$5:$M$604,"&lt;&gt;Cancelled")</f>
        <v>37</v>
      </c>
      <c r="J64" s="28" t="n">
        <v>0</v>
      </c>
      <c r="K64" s="28" t="n">
        <f aca="false">G64+H64-I64+J64</f>
        <v>202</v>
      </c>
      <c r="L64" s="28" t="n">
        <v>57</v>
      </c>
      <c r="M64" s="28" t="n">
        <v>285</v>
      </c>
      <c r="N64" s="29" t="n">
        <f aca="false">VLOOKUP(A64,'Product Master'!$A$5:$K$104,5,FALSE())</f>
        <v>3212.39</v>
      </c>
      <c r="O64" s="29" t="n">
        <f aca="false">K64*N64</f>
        <v>648902.78</v>
      </c>
      <c r="P64" s="32" t="str">
        <f aca="false">IF(K64&lt;=0,"Out of Stock",IF(K64&lt;L64,"Low Stock",IF(K64&gt;M64,"Overstocked","Healthy Stock")))</f>
        <v>Healthy Stock</v>
      </c>
      <c r="Q64" s="28" t="n">
        <f aca="false">IF(K64&lt;L64,MAX(0,M64-K64),0)</f>
        <v>0</v>
      </c>
    </row>
    <row r="65" customFormat="false" ht="15" hidden="false" customHeight="false" outlineLevel="0" collapsed="false">
      <c r="A65" s="18" t="s">
        <v>255</v>
      </c>
      <c r="B65" s="20" t="str">
        <f aca="false">VLOOKUP(A65,'Product Master'!$A$5:$K$104,2,FALSE())</f>
        <v>Pro Industrial Item 061</v>
      </c>
      <c r="C65" s="20" t="s">
        <v>44</v>
      </c>
      <c r="D65" s="18" t="s">
        <v>158</v>
      </c>
      <c r="E65" s="20" t="str">
        <f aca="false">VLOOKUP(D65,'Supplier Database'!$A$5:$K$29,2,FALSE())</f>
        <v>Kinetic Trading Co.</v>
      </c>
      <c r="F65" s="20" t="s">
        <v>76</v>
      </c>
      <c r="G65" s="17" t="n">
        <v>84</v>
      </c>
      <c r="H65" s="17" t="n">
        <v>126</v>
      </c>
      <c r="I65" s="17" t="n">
        <f aca="false">SUMIFS('Order Tracking'!$J$5:$J$604,'Order Tracking'!$G$5:$G$604,A65,'Order Tracking'!$M$5:$M$604,"&lt;&gt;Cancelled")</f>
        <v>78</v>
      </c>
      <c r="J65" s="17" t="n">
        <v>8</v>
      </c>
      <c r="K65" s="17" t="n">
        <f aca="false">G65+H65-I65+J65</f>
        <v>140</v>
      </c>
      <c r="L65" s="17" t="n">
        <v>39</v>
      </c>
      <c r="M65" s="17" t="n">
        <v>195</v>
      </c>
      <c r="N65" s="16" t="n">
        <f aca="false">VLOOKUP(A65,'Product Master'!$A$5:$K$104,5,FALSE())</f>
        <v>3922.39</v>
      </c>
      <c r="O65" s="16" t="n">
        <f aca="false">K65*N65</f>
        <v>549134.6</v>
      </c>
      <c r="P65" s="23" t="str">
        <f aca="false">IF(K65&lt;=0,"Out of Stock",IF(K65&lt;L65,"Low Stock",IF(K65&gt;M65,"Overstocked","Healthy Stock")))</f>
        <v>Healthy Stock</v>
      </c>
      <c r="Q65" s="17" t="n">
        <f aca="false">IF(K65&lt;L65,MAX(0,M65-K65),0)</f>
        <v>0</v>
      </c>
    </row>
    <row r="66" customFormat="false" ht="15" hidden="false" customHeight="false" outlineLevel="0" collapsed="false">
      <c r="A66" s="26" t="s">
        <v>256</v>
      </c>
      <c r="B66" s="27" t="str">
        <f aca="false">VLOOKUP(A66,'Product Master'!$A$5:$K$104,2,FALSE())</f>
        <v>Compact Packaging Item 062</v>
      </c>
      <c r="C66" s="27" t="s">
        <v>45</v>
      </c>
      <c r="D66" s="26" t="s">
        <v>159</v>
      </c>
      <c r="E66" s="27" t="str">
        <f aca="false">VLOOKUP(D66,'Supplier Database'!$A$5:$K$29,2,FALSE())</f>
        <v>Lotus Logistics</v>
      </c>
      <c r="F66" s="27" t="s">
        <v>77</v>
      </c>
      <c r="G66" s="28" t="n">
        <v>177</v>
      </c>
      <c r="H66" s="28" t="n">
        <v>267</v>
      </c>
      <c r="I66" s="28" t="n">
        <f aca="false">SUMIFS('Order Tracking'!$J$5:$J$604,'Order Tracking'!$G$5:$G$604,A66,'Order Tracking'!$M$5:$M$604,"&lt;&gt;Cancelled")</f>
        <v>193</v>
      </c>
      <c r="J66" s="28" t="n">
        <v>0</v>
      </c>
      <c r="K66" s="28" t="n">
        <f aca="false">G66+H66-I66+J66</f>
        <v>251</v>
      </c>
      <c r="L66" s="28" t="n">
        <v>42</v>
      </c>
      <c r="M66" s="28" t="n">
        <v>378</v>
      </c>
      <c r="N66" s="29" t="n">
        <f aca="false">VLOOKUP(A66,'Product Master'!$A$5:$K$104,5,FALSE())</f>
        <v>6345.34</v>
      </c>
      <c r="O66" s="29" t="n">
        <f aca="false">K66*N66</f>
        <v>1592680.34</v>
      </c>
      <c r="P66" s="32" t="str">
        <f aca="false">IF(K66&lt;=0,"Out of Stock",IF(K66&lt;L66,"Low Stock",IF(K66&gt;M66,"Overstocked","Healthy Stock")))</f>
        <v>Healthy Stock</v>
      </c>
      <c r="Q66" s="28" t="n">
        <f aca="false">IF(K66&lt;L66,MAX(0,M66-K66),0)</f>
        <v>0</v>
      </c>
    </row>
    <row r="67" customFormat="false" ht="15" hidden="false" customHeight="false" outlineLevel="0" collapsed="false">
      <c r="A67" s="18" t="s">
        <v>257</v>
      </c>
      <c r="B67" s="20" t="str">
        <f aca="false">VLOOKUP(A67,'Product Master'!$A$5:$K$104,2,FALSE())</f>
        <v>Everyday Apparel Item 063</v>
      </c>
      <c r="C67" s="20" t="s">
        <v>46</v>
      </c>
      <c r="D67" s="18" t="s">
        <v>160</v>
      </c>
      <c r="E67" s="20" t="str">
        <f aca="false">VLOOKUP(D67,'Supplier Database'!$A$5:$K$29,2,FALSE())</f>
        <v>Meridian Wholesale</v>
      </c>
      <c r="F67" s="20" t="s">
        <v>76</v>
      </c>
      <c r="G67" s="17" t="n">
        <v>129</v>
      </c>
      <c r="H67" s="17" t="n">
        <v>194</v>
      </c>
      <c r="I67" s="17" t="n">
        <f aca="false">SUMIFS('Order Tracking'!$J$5:$J$604,'Order Tracking'!$G$5:$G$604,A67,'Order Tracking'!$M$5:$M$604,"&lt;&gt;Cancelled")</f>
        <v>83</v>
      </c>
      <c r="J67" s="17" t="n">
        <v>1</v>
      </c>
      <c r="K67" s="17" t="n">
        <f aca="false">G67+H67-I67+J67</f>
        <v>241</v>
      </c>
      <c r="L67" s="17" t="n">
        <v>39</v>
      </c>
      <c r="M67" s="17" t="n">
        <v>351</v>
      </c>
      <c r="N67" s="16" t="n">
        <f aca="false">VLOOKUP(A67,'Product Master'!$A$5:$K$104,5,FALSE())</f>
        <v>2437.07</v>
      </c>
      <c r="O67" s="16" t="n">
        <f aca="false">K67*N67</f>
        <v>587333.87</v>
      </c>
      <c r="P67" s="23" t="str">
        <f aca="false">IF(K67&lt;=0,"Out of Stock",IF(K67&lt;L67,"Low Stock",IF(K67&gt;M67,"Overstocked","Healthy Stock")))</f>
        <v>Healthy Stock</v>
      </c>
      <c r="Q67" s="17" t="n">
        <f aca="false">IF(K67&lt;L67,MAX(0,M67-K67),0)</f>
        <v>0</v>
      </c>
    </row>
    <row r="68" customFormat="false" ht="15" hidden="false" customHeight="false" outlineLevel="0" collapsed="false">
      <c r="A68" s="26" t="s">
        <v>258</v>
      </c>
      <c r="B68" s="27" t="str">
        <f aca="false">VLOOKUP(A68,'Product Master'!$A$5:$K$104,2,FALSE())</f>
        <v>Compact Automotive Item 064</v>
      </c>
      <c r="C68" s="27" t="s">
        <v>47</v>
      </c>
      <c r="D68" s="26" t="s">
        <v>161</v>
      </c>
      <c r="E68" s="27" t="str">
        <f aca="false">VLOOKUP(D68,'Supplier Database'!$A$5:$K$29,2,FALSE())</f>
        <v>Northstar Partners</v>
      </c>
      <c r="F68" s="27" t="s">
        <v>78</v>
      </c>
      <c r="G68" s="28" t="n">
        <v>54</v>
      </c>
      <c r="H68" s="28" t="n">
        <v>82</v>
      </c>
      <c r="I68" s="28" t="n">
        <f aca="false">SUMIFS('Order Tracking'!$J$5:$J$604,'Order Tracking'!$G$5:$G$604,A68,'Order Tracking'!$M$5:$M$604,"&lt;&gt;Cancelled")</f>
        <v>38</v>
      </c>
      <c r="J68" s="28" t="n">
        <v>0</v>
      </c>
      <c r="K68" s="28" t="n">
        <f aca="false">G68+H68-I68+J68</f>
        <v>98</v>
      </c>
      <c r="L68" s="28" t="n">
        <v>20</v>
      </c>
      <c r="M68" s="28" t="n">
        <v>140</v>
      </c>
      <c r="N68" s="29" t="n">
        <f aca="false">VLOOKUP(A68,'Product Master'!$A$5:$K$104,5,FALSE())</f>
        <v>3144.18</v>
      </c>
      <c r="O68" s="29" t="n">
        <f aca="false">K68*N68</f>
        <v>308129.64</v>
      </c>
      <c r="P68" s="32" t="str">
        <f aca="false">IF(K68&lt;=0,"Out of Stock",IF(K68&lt;L68,"Low Stock",IF(K68&gt;M68,"Overstocked","Healthy Stock")))</f>
        <v>Healthy Stock</v>
      </c>
      <c r="Q68" s="28" t="n">
        <f aca="false">IF(K68&lt;L68,MAX(0,M68-K68),0)</f>
        <v>0</v>
      </c>
    </row>
    <row r="69" customFormat="false" ht="15" hidden="false" customHeight="false" outlineLevel="0" collapsed="false">
      <c r="A69" s="18" t="s">
        <v>259</v>
      </c>
      <c r="B69" s="20" t="str">
        <f aca="false">VLOOKUP(A69,'Product Master'!$A$5:$K$104,2,FALSE())</f>
        <v>Compact Electronics Item 065</v>
      </c>
      <c r="C69" s="20" t="s">
        <v>36</v>
      </c>
      <c r="D69" s="18" t="s">
        <v>162</v>
      </c>
      <c r="E69" s="20" t="str">
        <f aca="false">VLOOKUP(D69,'Supplier Database'!$A$5:$K$29,2,FALSE())</f>
        <v>Orbit Supplies</v>
      </c>
      <c r="F69" s="20" t="s">
        <v>76</v>
      </c>
      <c r="G69" s="17" t="n">
        <v>61</v>
      </c>
      <c r="H69" s="17" t="n">
        <v>75</v>
      </c>
      <c r="I69" s="17" t="n">
        <f aca="false">SUMIFS('Order Tracking'!$J$5:$J$604,'Order Tracking'!$G$5:$G$604,A69,'Order Tracking'!$M$5:$M$604,"&lt;&gt;Cancelled")</f>
        <v>142</v>
      </c>
      <c r="J69" s="17" t="n">
        <v>6</v>
      </c>
      <c r="K69" s="17" t="n">
        <f aca="false">G69+H69-I69+J69</f>
        <v>0</v>
      </c>
      <c r="L69" s="17" t="n">
        <v>28</v>
      </c>
      <c r="M69" s="17" t="n">
        <v>252</v>
      </c>
      <c r="N69" s="16" t="n">
        <f aca="false">VLOOKUP(A69,'Product Master'!$A$5:$K$104,5,FALSE())</f>
        <v>4757.15</v>
      </c>
      <c r="O69" s="16" t="n">
        <f aca="false">K69*N69</f>
        <v>0</v>
      </c>
      <c r="P69" s="23" t="str">
        <f aca="false">IF(K69&lt;=0,"Out of Stock",IF(K69&lt;L69,"Low Stock",IF(K69&gt;M69,"Overstocked","Healthy Stock")))</f>
        <v>Out of Stock</v>
      </c>
      <c r="Q69" s="17" t="n">
        <f aca="false">IF(K69&lt;L69,MAX(0,M69-K69),0)</f>
        <v>252</v>
      </c>
    </row>
    <row r="70" customFormat="false" ht="15" hidden="false" customHeight="false" outlineLevel="0" collapsed="false">
      <c r="A70" s="26" t="s">
        <v>260</v>
      </c>
      <c r="B70" s="27" t="str">
        <f aca="false">VLOOKUP(A70,'Product Master'!$A$5:$K$104,2,FALSE())</f>
        <v>Classic Home Item 066</v>
      </c>
      <c r="C70" s="27" t="s">
        <v>38</v>
      </c>
      <c r="D70" s="26" t="s">
        <v>163</v>
      </c>
      <c r="E70" s="27" t="str">
        <f aca="false">VLOOKUP(D70,'Supplier Database'!$A$5:$K$29,2,FALSE())</f>
        <v>Pioneer Distributors</v>
      </c>
      <c r="F70" s="27" t="s">
        <v>79</v>
      </c>
      <c r="G70" s="28" t="n">
        <v>25</v>
      </c>
      <c r="H70" s="28" t="n">
        <v>2</v>
      </c>
      <c r="I70" s="28" t="n">
        <f aca="false">SUMIFS('Order Tracking'!$J$5:$J$604,'Order Tracking'!$G$5:$G$604,A70,'Order Tracking'!$M$5:$M$604,"&lt;&gt;Cancelled")</f>
        <v>22</v>
      </c>
      <c r="J70" s="28" t="n">
        <v>0</v>
      </c>
      <c r="K70" s="28" t="n">
        <f aca="false">G70+H70-I70+J70</f>
        <v>5</v>
      </c>
      <c r="L70" s="28" t="n">
        <v>38</v>
      </c>
      <c r="M70" s="28" t="n">
        <v>304</v>
      </c>
      <c r="N70" s="29" t="n">
        <f aca="false">VLOOKUP(A70,'Product Master'!$A$5:$K$104,5,FALSE())</f>
        <v>4930.66</v>
      </c>
      <c r="O70" s="29" t="n">
        <f aca="false">K70*N70</f>
        <v>24653.3</v>
      </c>
      <c r="P70" s="32" t="str">
        <f aca="false">IF(K70&lt;=0,"Out of Stock",IF(K70&lt;L70,"Low Stock",IF(K70&gt;M70,"Overstocked","Healthy Stock")))</f>
        <v>Low Stock</v>
      </c>
      <c r="Q70" s="28" t="n">
        <f aca="false">IF(K70&lt;L70,MAX(0,M70-K70),0)</f>
        <v>299</v>
      </c>
    </row>
    <row r="71" customFormat="false" ht="15" hidden="false" customHeight="false" outlineLevel="0" collapsed="false">
      <c r="A71" s="18" t="s">
        <v>261</v>
      </c>
      <c r="B71" s="20" t="str">
        <f aca="false">VLOOKUP(A71,'Product Master'!$A$5:$K$104,2,FALSE())</f>
        <v>Premium Office Item 067</v>
      </c>
      <c r="C71" s="20" t="s">
        <v>40</v>
      </c>
      <c r="D71" s="18" t="s">
        <v>164</v>
      </c>
      <c r="E71" s="20" t="str">
        <f aca="false">VLOOKUP(D71,'Supplier Database'!$A$5:$K$29,2,FALSE())</f>
        <v>Quantum Industries</v>
      </c>
      <c r="F71" s="20" t="s">
        <v>76</v>
      </c>
      <c r="G71" s="17" t="n">
        <v>182</v>
      </c>
      <c r="H71" s="17" t="n">
        <v>274</v>
      </c>
      <c r="I71" s="17" t="n">
        <f aca="false">SUMIFS('Order Tracking'!$J$5:$J$604,'Order Tracking'!$G$5:$G$604,A71,'Order Tracking'!$M$5:$M$604,"&lt;&gt;Cancelled")</f>
        <v>90</v>
      </c>
      <c r="J71" s="17" t="n">
        <v>0</v>
      </c>
      <c r="K71" s="17" t="n">
        <f aca="false">G71+H71-I71+J71</f>
        <v>366</v>
      </c>
      <c r="L71" s="17" t="n">
        <v>66</v>
      </c>
      <c r="M71" s="17" t="n">
        <v>528</v>
      </c>
      <c r="N71" s="16" t="n">
        <f aca="false">VLOOKUP(A71,'Product Master'!$A$5:$K$104,5,FALSE())</f>
        <v>2235.77</v>
      </c>
      <c r="O71" s="16" t="n">
        <f aca="false">K71*N71</f>
        <v>818291.82</v>
      </c>
      <c r="P71" s="23" t="str">
        <f aca="false">IF(K71&lt;=0,"Out of Stock",IF(K71&lt;L71,"Low Stock",IF(K71&gt;M71,"Overstocked","Healthy Stock")))</f>
        <v>Healthy Stock</v>
      </c>
      <c r="Q71" s="17" t="n">
        <f aca="false">IF(K71&lt;L71,MAX(0,M71-K71),0)</f>
        <v>0</v>
      </c>
    </row>
    <row r="72" customFormat="false" ht="15" hidden="false" customHeight="false" outlineLevel="0" collapsed="false">
      <c r="A72" s="26" t="s">
        <v>262</v>
      </c>
      <c r="B72" s="27" t="str">
        <f aca="false">VLOOKUP(A72,'Product Master'!$A$5:$K$104,2,FALSE())</f>
        <v>Compact Personal Item 068</v>
      </c>
      <c r="C72" s="27" t="s">
        <v>42</v>
      </c>
      <c r="D72" s="26" t="s">
        <v>165</v>
      </c>
      <c r="E72" s="27" t="str">
        <f aca="false">VLOOKUP(D72,'Supplier Database'!$A$5:$K$29,2,FALSE())</f>
        <v>Riverstone Trading Co.</v>
      </c>
      <c r="F72" s="27" t="s">
        <v>77</v>
      </c>
      <c r="G72" s="28" t="n">
        <v>102</v>
      </c>
      <c r="H72" s="28" t="n">
        <v>155</v>
      </c>
      <c r="I72" s="28" t="n">
        <f aca="false">SUMIFS('Order Tracking'!$J$5:$J$604,'Order Tracking'!$G$5:$G$604,A72,'Order Tracking'!$M$5:$M$604,"&lt;&gt;Cancelled")</f>
        <v>52</v>
      </c>
      <c r="J72" s="28" t="n">
        <v>0</v>
      </c>
      <c r="K72" s="28" t="n">
        <f aca="false">G72+H72-I72+J72</f>
        <v>205</v>
      </c>
      <c r="L72" s="28" t="n">
        <v>53</v>
      </c>
      <c r="M72" s="28" t="n">
        <v>318</v>
      </c>
      <c r="N72" s="29" t="n">
        <f aca="false">VLOOKUP(A72,'Product Master'!$A$5:$K$104,5,FALSE())</f>
        <v>4955.44</v>
      </c>
      <c r="O72" s="29" t="n">
        <f aca="false">K72*N72</f>
        <v>1015865.2</v>
      </c>
      <c r="P72" s="32" t="str">
        <f aca="false">IF(K72&lt;=0,"Out of Stock",IF(K72&lt;L72,"Low Stock",IF(K72&gt;M72,"Overstocked","Healthy Stock")))</f>
        <v>Healthy Stock</v>
      </c>
      <c r="Q72" s="28" t="n">
        <f aca="false">IF(K72&lt;L72,MAX(0,M72-K72),0)</f>
        <v>0</v>
      </c>
    </row>
    <row r="73" customFormat="false" ht="15" hidden="false" customHeight="false" outlineLevel="0" collapsed="false">
      <c r="A73" s="18" t="s">
        <v>263</v>
      </c>
      <c r="B73" s="20" t="str">
        <f aca="false">VLOOKUP(A73,'Product Master'!$A$5:$K$104,2,FALSE())</f>
        <v>Eco Industrial Item 069</v>
      </c>
      <c r="C73" s="20" t="s">
        <v>44</v>
      </c>
      <c r="D73" s="18" t="s">
        <v>166</v>
      </c>
      <c r="E73" s="20" t="str">
        <f aca="false">VLOOKUP(D73,'Supplier Database'!$A$5:$K$29,2,FALSE())</f>
        <v>Summit Logistics</v>
      </c>
      <c r="F73" s="20" t="s">
        <v>76</v>
      </c>
      <c r="G73" s="17" t="n">
        <v>36</v>
      </c>
      <c r="H73" s="17" t="n">
        <v>54</v>
      </c>
      <c r="I73" s="17" t="n">
        <f aca="false">SUMIFS('Order Tracking'!$J$5:$J$604,'Order Tracking'!$G$5:$G$604,A73,'Order Tracking'!$M$5:$M$604,"&lt;&gt;Cancelled")</f>
        <v>21</v>
      </c>
      <c r="J73" s="17" t="n">
        <v>0</v>
      </c>
      <c r="K73" s="17" t="n">
        <f aca="false">G73+H73-I73+J73</f>
        <v>69</v>
      </c>
      <c r="L73" s="17" t="n">
        <v>63</v>
      </c>
      <c r="M73" s="17" t="n">
        <v>315</v>
      </c>
      <c r="N73" s="16" t="n">
        <f aca="false">VLOOKUP(A73,'Product Master'!$A$5:$K$104,5,FALSE())</f>
        <v>2199.84</v>
      </c>
      <c r="O73" s="16" t="n">
        <f aca="false">K73*N73</f>
        <v>151788.96</v>
      </c>
      <c r="P73" s="23" t="str">
        <f aca="false">IF(K73&lt;=0,"Out of Stock",IF(K73&lt;L73,"Low Stock",IF(K73&gt;M73,"Overstocked","Healthy Stock")))</f>
        <v>Healthy Stock</v>
      </c>
      <c r="Q73" s="17" t="n">
        <f aca="false">IF(K73&lt;L73,MAX(0,M73-K73),0)</f>
        <v>0</v>
      </c>
    </row>
    <row r="74" customFormat="false" ht="15" hidden="false" customHeight="false" outlineLevel="0" collapsed="false">
      <c r="A74" s="26" t="s">
        <v>264</v>
      </c>
      <c r="B74" s="27" t="str">
        <f aca="false">VLOOKUP(A74,'Product Master'!$A$5:$K$104,2,FALSE())</f>
        <v>Eco Packaging Item 070</v>
      </c>
      <c r="C74" s="27" t="s">
        <v>45</v>
      </c>
      <c r="D74" s="26" t="s">
        <v>167</v>
      </c>
      <c r="E74" s="27" t="str">
        <f aca="false">VLOOKUP(D74,'Supplier Database'!$A$5:$K$29,2,FALSE())</f>
        <v>Trident Wholesale</v>
      </c>
      <c r="F74" s="27" t="s">
        <v>79</v>
      </c>
      <c r="G74" s="28" t="n">
        <v>72</v>
      </c>
      <c r="H74" s="28" t="n">
        <v>110</v>
      </c>
      <c r="I74" s="28" t="n">
        <f aca="false">SUMIFS('Order Tracking'!$J$5:$J$604,'Order Tracking'!$G$5:$G$604,A74,'Order Tracking'!$M$5:$M$604,"&lt;&gt;Cancelled")</f>
        <v>60</v>
      </c>
      <c r="J74" s="28" t="n">
        <v>0</v>
      </c>
      <c r="K74" s="28" t="n">
        <f aca="false">G74+H74-I74+J74</f>
        <v>122</v>
      </c>
      <c r="L74" s="28" t="n">
        <v>22</v>
      </c>
      <c r="M74" s="28" t="n">
        <v>176</v>
      </c>
      <c r="N74" s="29" t="n">
        <f aca="false">VLOOKUP(A74,'Product Master'!$A$5:$K$104,5,FALSE())</f>
        <v>3830</v>
      </c>
      <c r="O74" s="29" t="n">
        <f aca="false">K74*N74</f>
        <v>467260</v>
      </c>
      <c r="P74" s="32" t="str">
        <f aca="false">IF(K74&lt;=0,"Out of Stock",IF(K74&lt;L74,"Low Stock",IF(K74&gt;M74,"Overstocked","Healthy Stock")))</f>
        <v>Healthy Stock</v>
      </c>
      <c r="Q74" s="28" t="n">
        <f aca="false">IF(K74&lt;L74,MAX(0,M74-K74),0)</f>
        <v>0</v>
      </c>
    </row>
    <row r="75" customFormat="false" ht="15" hidden="false" customHeight="false" outlineLevel="0" collapsed="false">
      <c r="A75" s="18" t="s">
        <v>265</v>
      </c>
      <c r="B75" s="20" t="str">
        <f aca="false">VLOOKUP(A75,'Product Master'!$A$5:$K$104,2,FALSE())</f>
        <v>Pro Apparel Item 071</v>
      </c>
      <c r="C75" s="20" t="s">
        <v>46</v>
      </c>
      <c r="D75" s="18" t="s">
        <v>168</v>
      </c>
      <c r="E75" s="20" t="str">
        <f aca="false">VLOOKUP(D75,'Supplier Database'!$A$5:$K$29,2,FALSE())</f>
        <v>Unity Partners</v>
      </c>
      <c r="F75" s="20" t="s">
        <v>79</v>
      </c>
      <c r="G75" s="17" t="n">
        <v>53</v>
      </c>
      <c r="H75" s="17" t="n">
        <v>81</v>
      </c>
      <c r="I75" s="17" t="n">
        <f aca="false">SUMIFS('Order Tracking'!$J$5:$J$604,'Order Tracking'!$G$5:$G$604,A75,'Order Tracking'!$M$5:$M$604,"&lt;&gt;Cancelled")</f>
        <v>49</v>
      </c>
      <c r="J75" s="17" t="n">
        <v>0</v>
      </c>
      <c r="K75" s="17" t="n">
        <f aca="false">G75+H75-I75+J75</f>
        <v>85</v>
      </c>
      <c r="L75" s="17" t="n">
        <v>48</v>
      </c>
      <c r="M75" s="17" t="n">
        <v>240</v>
      </c>
      <c r="N75" s="16" t="n">
        <f aca="false">VLOOKUP(A75,'Product Master'!$A$5:$K$104,5,FALSE())</f>
        <v>6321.95</v>
      </c>
      <c r="O75" s="16" t="n">
        <f aca="false">K75*N75</f>
        <v>537365.75</v>
      </c>
      <c r="P75" s="23" t="str">
        <f aca="false">IF(K75&lt;=0,"Out of Stock",IF(K75&lt;L75,"Low Stock",IF(K75&gt;M75,"Overstocked","Healthy Stock")))</f>
        <v>Healthy Stock</v>
      </c>
      <c r="Q75" s="17" t="n">
        <f aca="false">IF(K75&lt;L75,MAX(0,M75-K75),0)</f>
        <v>0</v>
      </c>
    </row>
    <row r="76" customFormat="false" ht="15" hidden="false" customHeight="false" outlineLevel="0" collapsed="false">
      <c r="A76" s="26" t="s">
        <v>266</v>
      </c>
      <c r="B76" s="27" t="str">
        <f aca="false">VLOOKUP(A76,'Product Master'!$A$5:$K$104,2,FALSE())</f>
        <v>Premium Automotive Item 072</v>
      </c>
      <c r="C76" s="27" t="s">
        <v>47</v>
      </c>
      <c r="D76" s="26" t="s">
        <v>169</v>
      </c>
      <c r="E76" s="27" t="str">
        <f aca="false">VLOOKUP(D76,'Supplier Database'!$A$5:$K$29,2,FALSE())</f>
        <v>Vertex Supplies</v>
      </c>
      <c r="F76" s="27" t="s">
        <v>80</v>
      </c>
      <c r="G76" s="28" t="n">
        <v>32</v>
      </c>
      <c r="H76" s="28" t="n">
        <v>50</v>
      </c>
      <c r="I76" s="28" t="n">
        <f aca="false">SUMIFS('Order Tracking'!$J$5:$J$604,'Order Tracking'!$G$5:$G$604,A76,'Order Tracking'!$M$5:$M$604,"&lt;&gt;Cancelled")</f>
        <v>28</v>
      </c>
      <c r="J76" s="28" t="n">
        <v>0</v>
      </c>
      <c r="K76" s="28" t="n">
        <f aca="false">G76+H76-I76+J76</f>
        <v>54</v>
      </c>
      <c r="L76" s="28" t="n">
        <v>15</v>
      </c>
      <c r="M76" s="28" t="n">
        <v>75</v>
      </c>
      <c r="N76" s="29" t="n">
        <f aca="false">VLOOKUP(A76,'Product Master'!$A$5:$K$104,5,FALSE())</f>
        <v>1436.14</v>
      </c>
      <c r="O76" s="29" t="n">
        <f aca="false">K76*N76</f>
        <v>77551.56</v>
      </c>
      <c r="P76" s="32" t="str">
        <f aca="false">IF(K76&lt;=0,"Out of Stock",IF(K76&lt;L76,"Low Stock",IF(K76&gt;M76,"Overstocked","Healthy Stock")))</f>
        <v>Healthy Stock</v>
      </c>
      <c r="Q76" s="28" t="n">
        <f aca="false">IF(K76&lt;L76,MAX(0,M76-K76),0)</f>
        <v>0</v>
      </c>
    </row>
    <row r="77" customFormat="false" ht="15" hidden="false" customHeight="false" outlineLevel="0" collapsed="false">
      <c r="A77" s="18" t="s">
        <v>267</v>
      </c>
      <c r="B77" s="20" t="str">
        <f aca="false">VLOOKUP(A77,'Product Master'!$A$5:$K$104,2,FALSE())</f>
        <v>Essential Electronics Item 073</v>
      </c>
      <c r="C77" s="20" t="s">
        <v>36</v>
      </c>
      <c r="D77" s="18" t="s">
        <v>170</v>
      </c>
      <c r="E77" s="20" t="str">
        <f aca="false">VLOOKUP(D77,'Supplier Database'!$A$5:$K$29,2,FALSE())</f>
        <v>Westline Distributors</v>
      </c>
      <c r="F77" s="20" t="s">
        <v>79</v>
      </c>
      <c r="G77" s="17" t="n">
        <v>13</v>
      </c>
      <c r="H77" s="17" t="n">
        <v>17</v>
      </c>
      <c r="I77" s="17" t="n">
        <f aca="false">SUMIFS('Order Tracking'!$J$5:$J$604,'Order Tracking'!$G$5:$G$604,A77,'Order Tracking'!$M$5:$M$604,"&lt;&gt;Cancelled")</f>
        <v>30</v>
      </c>
      <c r="J77" s="17" t="n">
        <v>0</v>
      </c>
      <c r="K77" s="17" t="n">
        <f aca="false">G77+H77-I77+J77</f>
        <v>0</v>
      </c>
      <c r="L77" s="17" t="n">
        <v>51</v>
      </c>
      <c r="M77" s="17" t="n">
        <v>306</v>
      </c>
      <c r="N77" s="16" t="n">
        <f aca="false">VLOOKUP(A77,'Product Master'!$A$5:$K$104,5,FALSE())</f>
        <v>5896.93</v>
      </c>
      <c r="O77" s="16" t="n">
        <f aca="false">K77*N77</f>
        <v>0</v>
      </c>
      <c r="P77" s="23" t="str">
        <f aca="false">IF(K77&lt;=0,"Out of Stock",IF(K77&lt;L77,"Low Stock",IF(K77&gt;M77,"Overstocked","Healthy Stock")))</f>
        <v>Out of Stock</v>
      </c>
      <c r="Q77" s="17" t="n">
        <f aca="false">IF(K77&lt;L77,MAX(0,M77-K77),0)</f>
        <v>306</v>
      </c>
    </row>
    <row r="78" customFormat="false" ht="15" hidden="false" customHeight="false" outlineLevel="0" collapsed="false">
      <c r="A78" s="26" t="s">
        <v>268</v>
      </c>
      <c r="B78" s="27" t="str">
        <f aca="false">VLOOKUP(A78,'Product Master'!$A$5:$K$104,2,FALSE())</f>
        <v>Pro Home Item 074</v>
      </c>
      <c r="C78" s="27" t="s">
        <v>38</v>
      </c>
      <c r="D78" s="26" t="s">
        <v>171</v>
      </c>
      <c r="E78" s="27" t="str">
        <f aca="false">VLOOKUP(D78,'Supplier Database'!$A$5:$K$29,2,FALSE())</f>
        <v>Yugma Industries</v>
      </c>
      <c r="F78" s="27" t="s">
        <v>79</v>
      </c>
      <c r="G78" s="28" t="n">
        <v>58</v>
      </c>
      <c r="H78" s="28" t="n">
        <v>87</v>
      </c>
      <c r="I78" s="28" t="n">
        <f aca="false">SUMIFS('Order Tracking'!$J$5:$J$604,'Order Tracking'!$G$5:$G$604,A78,'Order Tracking'!$M$5:$M$604,"&lt;&gt;Cancelled")</f>
        <v>123</v>
      </c>
      <c r="J78" s="28" t="n">
        <v>0</v>
      </c>
      <c r="K78" s="28" t="n">
        <f aca="false">G78+H78-I78+J78</f>
        <v>22</v>
      </c>
      <c r="L78" s="28" t="n">
        <v>40</v>
      </c>
      <c r="M78" s="28" t="n">
        <v>360</v>
      </c>
      <c r="N78" s="29" t="n">
        <f aca="false">VLOOKUP(A78,'Product Master'!$A$5:$K$104,5,FALSE())</f>
        <v>6011.04</v>
      </c>
      <c r="O78" s="29" t="n">
        <f aca="false">K78*N78</f>
        <v>132242.88</v>
      </c>
      <c r="P78" s="32" t="str">
        <f aca="false">IF(K78&lt;=0,"Out of Stock",IF(K78&lt;L78,"Low Stock",IF(K78&gt;M78,"Overstocked","Healthy Stock")))</f>
        <v>Low Stock</v>
      </c>
      <c r="Q78" s="28" t="n">
        <f aca="false">IF(K78&lt;L78,MAX(0,M78-K78),0)</f>
        <v>338</v>
      </c>
    </row>
    <row r="79" customFormat="false" ht="15" hidden="false" customHeight="false" outlineLevel="0" collapsed="false">
      <c r="A79" s="18" t="s">
        <v>269</v>
      </c>
      <c r="B79" s="20" t="str">
        <f aca="false">VLOOKUP(A79,'Product Master'!$A$5:$K$104,2,FALSE())</f>
        <v>Everyday Office Item 075</v>
      </c>
      <c r="C79" s="20" t="s">
        <v>40</v>
      </c>
      <c r="D79" s="18" t="s">
        <v>172</v>
      </c>
      <c r="E79" s="20" t="str">
        <f aca="false">VLOOKUP(D79,'Supplier Database'!$A$5:$K$29,2,FALSE())</f>
        <v>Zenith Trading Co.</v>
      </c>
      <c r="F79" s="20" t="s">
        <v>76</v>
      </c>
      <c r="G79" s="17" t="n">
        <v>72</v>
      </c>
      <c r="H79" s="17" t="n">
        <v>110</v>
      </c>
      <c r="I79" s="17" t="n">
        <f aca="false">SUMIFS('Order Tracking'!$J$5:$J$604,'Order Tracking'!$G$5:$G$604,A79,'Order Tracking'!$M$5:$M$604,"&lt;&gt;Cancelled")</f>
        <v>34</v>
      </c>
      <c r="J79" s="17" t="n">
        <v>0</v>
      </c>
      <c r="K79" s="17" t="n">
        <f aca="false">G79+H79-I79+J79</f>
        <v>148</v>
      </c>
      <c r="L79" s="17" t="n">
        <v>24</v>
      </c>
      <c r="M79" s="17" t="n">
        <v>216</v>
      </c>
      <c r="N79" s="16" t="n">
        <f aca="false">VLOOKUP(A79,'Product Master'!$A$5:$K$104,5,FALSE())</f>
        <v>4683.43</v>
      </c>
      <c r="O79" s="16" t="n">
        <f aca="false">K79*N79</f>
        <v>693147.64</v>
      </c>
      <c r="P79" s="23" t="str">
        <f aca="false">IF(K79&lt;=0,"Out of Stock",IF(K79&lt;L79,"Low Stock",IF(K79&gt;M79,"Overstocked","Healthy Stock")))</f>
        <v>Healthy Stock</v>
      </c>
      <c r="Q79" s="17" t="n">
        <f aca="false">IF(K79&lt;L79,MAX(0,M79-K79),0)</f>
        <v>0</v>
      </c>
    </row>
    <row r="80" customFormat="false" ht="15" hidden="false" customHeight="false" outlineLevel="0" collapsed="false">
      <c r="A80" s="26" t="s">
        <v>270</v>
      </c>
      <c r="B80" s="27" t="str">
        <f aca="false">VLOOKUP(A80,'Product Master'!$A$5:$K$104,2,FALSE())</f>
        <v>Everyday Personal Item 076</v>
      </c>
      <c r="C80" s="27" t="s">
        <v>42</v>
      </c>
      <c r="D80" s="26" t="s">
        <v>148</v>
      </c>
      <c r="E80" s="27" t="str">
        <f aca="false">VLOOKUP(D80,'Supplier Database'!$A$5:$K$29,2,FALSE())</f>
        <v>Apex Supplies</v>
      </c>
      <c r="F80" s="27" t="s">
        <v>77</v>
      </c>
      <c r="G80" s="28" t="n">
        <v>67</v>
      </c>
      <c r="H80" s="28" t="n">
        <v>101</v>
      </c>
      <c r="I80" s="28" t="n">
        <f aca="false">SUMIFS('Order Tracking'!$J$5:$J$604,'Order Tracking'!$G$5:$G$604,A80,'Order Tracking'!$M$5:$M$604,"&lt;&gt;Cancelled")</f>
        <v>80</v>
      </c>
      <c r="J80" s="28" t="n">
        <v>0</v>
      </c>
      <c r="K80" s="28" t="n">
        <f aca="false">G80+H80-I80+J80</f>
        <v>88</v>
      </c>
      <c r="L80" s="28" t="n">
        <v>30</v>
      </c>
      <c r="M80" s="28" t="n">
        <v>120</v>
      </c>
      <c r="N80" s="29" t="n">
        <f aca="false">VLOOKUP(A80,'Product Master'!$A$5:$K$104,5,FALSE())</f>
        <v>6762.23</v>
      </c>
      <c r="O80" s="29" t="n">
        <f aca="false">K80*N80</f>
        <v>595076.24</v>
      </c>
      <c r="P80" s="32" t="str">
        <f aca="false">IF(K80&lt;=0,"Out of Stock",IF(K80&lt;L80,"Low Stock",IF(K80&gt;M80,"Overstocked","Healthy Stock")))</f>
        <v>Healthy Stock</v>
      </c>
      <c r="Q80" s="28" t="n">
        <f aca="false">IF(K80&lt;L80,MAX(0,M80-K80),0)</f>
        <v>0</v>
      </c>
    </row>
    <row r="81" customFormat="false" ht="15" hidden="false" customHeight="false" outlineLevel="0" collapsed="false">
      <c r="A81" s="18" t="s">
        <v>271</v>
      </c>
      <c r="B81" s="20" t="str">
        <f aca="false">VLOOKUP(A81,'Product Master'!$A$5:$K$104,2,FALSE())</f>
        <v>Everyday Industrial Item 077</v>
      </c>
      <c r="C81" s="20" t="s">
        <v>44</v>
      </c>
      <c r="D81" s="18" t="s">
        <v>149</v>
      </c>
      <c r="E81" s="20" t="str">
        <f aca="false">VLOOKUP(D81,'Supplier Database'!$A$5:$K$29,2,FALSE())</f>
        <v>Bright Distributors</v>
      </c>
      <c r="F81" s="20" t="s">
        <v>76</v>
      </c>
      <c r="G81" s="17" t="n">
        <v>294</v>
      </c>
      <c r="H81" s="17" t="n">
        <v>443</v>
      </c>
      <c r="I81" s="17" t="n">
        <f aca="false">SUMIFS('Order Tracking'!$J$5:$J$604,'Order Tracking'!$G$5:$G$604,A81,'Order Tracking'!$M$5:$M$604,"&lt;&gt;Cancelled")</f>
        <v>117</v>
      </c>
      <c r="J81" s="17" t="n">
        <v>0</v>
      </c>
      <c r="K81" s="17" t="n">
        <f aca="false">G81+H81-I81+J81</f>
        <v>620</v>
      </c>
      <c r="L81" s="17" t="n">
        <v>71</v>
      </c>
      <c r="M81" s="17" t="n">
        <v>639</v>
      </c>
      <c r="N81" s="16" t="n">
        <f aca="false">VLOOKUP(A81,'Product Master'!$A$5:$K$104,5,FALSE())</f>
        <v>2668.28</v>
      </c>
      <c r="O81" s="16" t="n">
        <f aca="false">K81*N81</f>
        <v>1654333.6</v>
      </c>
      <c r="P81" s="23" t="str">
        <f aca="false">IF(K81&lt;=0,"Out of Stock",IF(K81&lt;L81,"Low Stock",IF(K81&gt;M81,"Overstocked","Healthy Stock")))</f>
        <v>Healthy Stock</v>
      </c>
      <c r="Q81" s="17" t="n">
        <f aca="false">IF(K81&lt;L81,MAX(0,M81-K81),0)</f>
        <v>0</v>
      </c>
    </row>
    <row r="82" customFormat="false" ht="15" hidden="false" customHeight="false" outlineLevel="0" collapsed="false">
      <c r="A82" s="26" t="s">
        <v>272</v>
      </c>
      <c r="B82" s="27" t="str">
        <f aca="false">VLOOKUP(A82,'Product Master'!$A$5:$K$104,2,FALSE())</f>
        <v>Smart Packaging Item 078</v>
      </c>
      <c r="C82" s="27" t="s">
        <v>45</v>
      </c>
      <c r="D82" s="26" t="s">
        <v>150</v>
      </c>
      <c r="E82" s="27" t="str">
        <f aca="false">VLOOKUP(D82,'Supplier Database'!$A$5:$K$29,2,FALSE())</f>
        <v>Core Industries</v>
      </c>
      <c r="F82" s="27" t="s">
        <v>80</v>
      </c>
      <c r="G82" s="28" t="n">
        <v>63</v>
      </c>
      <c r="H82" s="28" t="n">
        <v>95</v>
      </c>
      <c r="I82" s="28" t="n">
        <f aca="false">SUMIFS('Order Tracking'!$J$5:$J$604,'Order Tracking'!$G$5:$G$604,A82,'Order Tracking'!$M$5:$M$604,"&lt;&gt;Cancelled")</f>
        <v>94</v>
      </c>
      <c r="J82" s="28" t="n">
        <v>0</v>
      </c>
      <c r="K82" s="28" t="n">
        <f aca="false">G82+H82-I82+J82</f>
        <v>64</v>
      </c>
      <c r="L82" s="28" t="n">
        <v>18</v>
      </c>
      <c r="M82" s="28" t="n">
        <v>90</v>
      </c>
      <c r="N82" s="29" t="n">
        <f aca="false">VLOOKUP(A82,'Product Master'!$A$5:$K$104,5,FALSE())</f>
        <v>454.03</v>
      </c>
      <c r="O82" s="29" t="n">
        <f aca="false">K82*N82</f>
        <v>29057.92</v>
      </c>
      <c r="P82" s="32" t="str">
        <f aca="false">IF(K82&lt;=0,"Out of Stock",IF(K82&lt;L82,"Low Stock",IF(K82&gt;M82,"Overstocked","Healthy Stock")))</f>
        <v>Healthy Stock</v>
      </c>
      <c r="Q82" s="28" t="n">
        <f aca="false">IF(K82&lt;L82,MAX(0,M82-K82),0)</f>
        <v>0</v>
      </c>
    </row>
    <row r="83" customFormat="false" ht="15" hidden="false" customHeight="false" outlineLevel="0" collapsed="false">
      <c r="A83" s="18" t="s">
        <v>273</v>
      </c>
      <c r="B83" s="20" t="str">
        <f aca="false">VLOOKUP(A83,'Product Master'!$A$5:$K$104,2,FALSE())</f>
        <v>Essential Apparel Item 079</v>
      </c>
      <c r="C83" s="20" t="s">
        <v>46</v>
      </c>
      <c r="D83" s="18" t="s">
        <v>151</v>
      </c>
      <c r="E83" s="20" t="str">
        <f aca="false">VLOOKUP(D83,'Supplier Database'!$A$5:$K$29,2,FALSE())</f>
        <v>Delta Trading Co.</v>
      </c>
      <c r="F83" s="20" t="s">
        <v>79</v>
      </c>
      <c r="G83" s="17" t="n">
        <v>58</v>
      </c>
      <c r="H83" s="17" t="n">
        <v>87</v>
      </c>
      <c r="I83" s="17" t="n">
        <f aca="false">SUMIFS('Order Tracking'!$J$5:$J$604,'Order Tracking'!$G$5:$G$604,A83,'Order Tracking'!$M$5:$M$604,"&lt;&gt;Cancelled")</f>
        <v>86</v>
      </c>
      <c r="J83" s="17" t="n">
        <v>0</v>
      </c>
      <c r="K83" s="17" t="n">
        <f aca="false">G83+H83-I83+J83</f>
        <v>59</v>
      </c>
      <c r="L83" s="17" t="n">
        <v>20</v>
      </c>
      <c r="M83" s="17" t="n">
        <v>80</v>
      </c>
      <c r="N83" s="16" t="n">
        <f aca="false">VLOOKUP(A83,'Product Master'!$A$5:$K$104,5,FALSE())</f>
        <v>8180.82</v>
      </c>
      <c r="O83" s="16" t="n">
        <f aca="false">K83*N83</f>
        <v>482668.38</v>
      </c>
      <c r="P83" s="23" t="str">
        <f aca="false">IF(K83&lt;=0,"Out of Stock",IF(K83&lt;L83,"Low Stock",IF(K83&gt;M83,"Overstocked","Healthy Stock")))</f>
        <v>Healthy Stock</v>
      </c>
      <c r="Q83" s="17" t="n">
        <f aca="false">IF(K83&lt;L83,MAX(0,M83-K83),0)</f>
        <v>0</v>
      </c>
    </row>
    <row r="84" customFormat="false" ht="15" hidden="false" customHeight="false" outlineLevel="0" collapsed="false">
      <c r="A84" s="26" t="s">
        <v>274</v>
      </c>
      <c r="B84" s="27" t="str">
        <f aca="false">VLOOKUP(A84,'Product Master'!$A$5:$K$104,2,FALSE())</f>
        <v>Classic Automotive Item 080</v>
      </c>
      <c r="C84" s="27" t="s">
        <v>47</v>
      </c>
      <c r="D84" s="26" t="s">
        <v>152</v>
      </c>
      <c r="E84" s="27" t="str">
        <f aca="false">VLOOKUP(D84,'Supplier Database'!$A$5:$K$29,2,FALSE())</f>
        <v>Ever Logistics</v>
      </c>
      <c r="F84" s="27" t="s">
        <v>79</v>
      </c>
      <c r="G84" s="28" t="n">
        <v>349</v>
      </c>
      <c r="H84" s="28" t="n">
        <v>524</v>
      </c>
      <c r="I84" s="28" t="n">
        <f aca="false">SUMIFS('Order Tracking'!$J$5:$J$604,'Order Tracking'!$G$5:$G$604,A84,'Order Tracking'!$M$5:$M$604,"&lt;&gt;Cancelled")</f>
        <v>43</v>
      </c>
      <c r="J84" s="28" t="n">
        <v>1</v>
      </c>
      <c r="K84" s="28" t="n">
        <f aca="false">G84+H84-I84+J84</f>
        <v>831</v>
      </c>
      <c r="L84" s="28" t="n">
        <v>38</v>
      </c>
      <c r="M84" s="28" t="n">
        <v>266</v>
      </c>
      <c r="N84" s="29" t="n">
        <f aca="false">VLOOKUP(A84,'Product Master'!$A$5:$K$104,5,FALSE())</f>
        <v>1588.1</v>
      </c>
      <c r="O84" s="29" t="n">
        <f aca="false">K84*N84</f>
        <v>1319711.1</v>
      </c>
      <c r="P84" s="32" t="str">
        <f aca="false">IF(K84&lt;=0,"Out of Stock",IF(K84&lt;L84,"Low Stock",IF(K84&gt;M84,"Overstocked","Healthy Stock")))</f>
        <v>Overstocked</v>
      </c>
      <c r="Q84" s="28" t="n">
        <f aca="false">IF(K84&lt;L84,MAX(0,M84-K84),0)</f>
        <v>0</v>
      </c>
    </row>
    <row r="85" customFormat="false" ht="15" hidden="false" customHeight="false" outlineLevel="0" collapsed="false">
      <c r="A85" s="18" t="s">
        <v>275</v>
      </c>
      <c r="B85" s="20" t="str">
        <f aca="false">VLOOKUP(A85,'Product Master'!$A$5:$K$104,2,FALSE())</f>
        <v>Premium Electronics Item 081</v>
      </c>
      <c r="C85" s="20" t="s">
        <v>36</v>
      </c>
      <c r="D85" s="18" t="s">
        <v>153</v>
      </c>
      <c r="E85" s="20" t="str">
        <f aca="false">VLOOKUP(D85,'Supplier Database'!$A$5:$K$29,2,FALSE())</f>
        <v>Frontier Wholesale</v>
      </c>
      <c r="F85" s="20" t="s">
        <v>78</v>
      </c>
      <c r="G85" s="17" t="n">
        <v>146</v>
      </c>
      <c r="H85" s="17" t="n">
        <v>220</v>
      </c>
      <c r="I85" s="17" t="n">
        <f aca="false">SUMIFS('Order Tracking'!$J$5:$J$604,'Order Tracking'!$G$5:$G$604,A85,'Order Tracking'!$M$5:$M$604,"&lt;&gt;Cancelled")</f>
        <v>32</v>
      </c>
      <c r="J85" s="17" t="n">
        <v>0</v>
      </c>
      <c r="K85" s="17" t="n">
        <f aca="false">G85+H85-I85+J85</f>
        <v>334</v>
      </c>
      <c r="L85" s="17" t="n">
        <v>59</v>
      </c>
      <c r="M85" s="17" t="n">
        <v>531</v>
      </c>
      <c r="N85" s="16" t="n">
        <f aca="false">VLOOKUP(A85,'Product Master'!$A$5:$K$104,5,FALSE())</f>
        <v>3772.72</v>
      </c>
      <c r="O85" s="16" t="n">
        <f aca="false">K85*N85</f>
        <v>1260088.48</v>
      </c>
      <c r="P85" s="23" t="str">
        <f aca="false">IF(K85&lt;=0,"Out of Stock",IF(K85&lt;L85,"Low Stock",IF(K85&gt;M85,"Overstocked","Healthy Stock")))</f>
        <v>Healthy Stock</v>
      </c>
      <c r="Q85" s="17" t="n">
        <f aca="false">IF(K85&lt;L85,MAX(0,M85-K85),0)</f>
        <v>0</v>
      </c>
    </row>
    <row r="86" customFormat="false" ht="15" hidden="false" customHeight="false" outlineLevel="0" collapsed="false">
      <c r="A86" s="26" t="s">
        <v>276</v>
      </c>
      <c r="B86" s="27" t="str">
        <f aca="false">VLOOKUP(A86,'Product Master'!$A$5:$K$104,2,FALSE())</f>
        <v>Compact Home Item 082</v>
      </c>
      <c r="C86" s="27" t="s">
        <v>38</v>
      </c>
      <c r="D86" s="26" t="s">
        <v>154</v>
      </c>
      <c r="E86" s="27" t="str">
        <f aca="false">VLOOKUP(D86,'Supplier Database'!$A$5:$K$29,2,FALSE())</f>
        <v>Global Partners</v>
      </c>
      <c r="F86" s="27" t="s">
        <v>78</v>
      </c>
      <c r="G86" s="28" t="n">
        <v>231</v>
      </c>
      <c r="H86" s="28" t="n">
        <v>348</v>
      </c>
      <c r="I86" s="28" t="n">
        <f aca="false">SUMIFS('Order Tracking'!$J$5:$J$604,'Order Tracking'!$G$5:$G$604,A86,'Order Tracking'!$M$5:$M$604,"&lt;&gt;Cancelled")</f>
        <v>93</v>
      </c>
      <c r="J86" s="28" t="n">
        <v>0</v>
      </c>
      <c r="K86" s="28" t="n">
        <f aca="false">G86+H86-I86+J86</f>
        <v>486</v>
      </c>
      <c r="L86" s="28" t="n">
        <v>67</v>
      </c>
      <c r="M86" s="28" t="n">
        <v>536</v>
      </c>
      <c r="N86" s="29" t="n">
        <f aca="false">VLOOKUP(A86,'Product Master'!$A$5:$K$104,5,FALSE())</f>
        <v>2810.47</v>
      </c>
      <c r="O86" s="29" t="n">
        <f aca="false">K86*N86</f>
        <v>1365888.42</v>
      </c>
      <c r="P86" s="32" t="str">
        <f aca="false">IF(K86&lt;=0,"Out of Stock",IF(K86&lt;L86,"Low Stock",IF(K86&gt;M86,"Overstocked","Healthy Stock")))</f>
        <v>Healthy Stock</v>
      </c>
      <c r="Q86" s="28" t="n">
        <f aca="false">IF(K86&lt;L86,MAX(0,M86-K86),0)</f>
        <v>0</v>
      </c>
    </row>
    <row r="87" customFormat="false" ht="15" hidden="false" customHeight="false" outlineLevel="0" collapsed="false">
      <c r="A87" s="18" t="s">
        <v>277</v>
      </c>
      <c r="B87" s="20" t="str">
        <f aca="false">VLOOKUP(A87,'Product Master'!$A$5:$K$104,2,FALSE())</f>
        <v>Essential Office Item 083</v>
      </c>
      <c r="C87" s="20" t="s">
        <v>40</v>
      </c>
      <c r="D87" s="18" t="s">
        <v>155</v>
      </c>
      <c r="E87" s="20" t="str">
        <f aca="false">VLOOKUP(D87,'Supplier Database'!$A$5:$K$29,2,FALSE())</f>
        <v>Horizon Supplies</v>
      </c>
      <c r="F87" s="20" t="s">
        <v>79</v>
      </c>
      <c r="G87" s="17" t="n">
        <v>518</v>
      </c>
      <c r="H87" s="17" t="n">
        <v>779</v>
      </c>
      <c r="I87" s="17" t="n">
        <f aca="false">SUMIFS('Order Tracking'!$J$5:$J$604,'Order Tracking'!$G$5:$G$604,A87,'Order Tracking'!$M$5:$M$604,"&lt;&gt;Cancelled")</f>
        <v>97</v>
      </c>
      <c r="J87" s="17" t="n">
        <v>0</v>
      </c>
      <c r="K87" s="17" t="n">
        <f aca="false">G87+H87-I87+J87</f>
        <v>1200</v>
      </c>
      <c r="L87" s="17" t="n">
        <v>26</v>
      </c>
      <c r="M87" s="17" t="n">
        <v>130</v>
      </c>
      <c r="N87" s="16" t="n">
        <f aca="false">VLOOKUP(A87,'Product Master'!$A$5:$K$104,5,FALSE())</f>
        <v>2535.27</v>
      </c>
      <c r="O87" s="16" t="n">
        <f aca="false">K87*N87</f>
        <v>3042324</v>
      </c>
      <c r="P87" s="23" t="str">
        <f aca="false">IF(K87&lt;=0,"Out of Stock",IF(K87&lt;L87,"Low Stock",IF(K87&gt;M87,"Overstocked","Healthy Stock")))</f>
        <v>Overstocked</v>
      </c>
      <c r="Q87" s="17" t="n">
        <f aca="false">IF(K87&lt;L87,MAX(0,M87-K87),0)</f>
        <v>0</v>
      </c>
    </row>
    <row r="88" customFormat="false" ht="15" hidden="false" customHeight="false" outlineLevel="0" collapsed="false">
      <c r="A88" s="26" t="s">
        <v>278</v>
      </c>
      <c r="B88" s="27" t="str">
        <f aca="false">VLOOKUP(A88,'Product Master'!$A$5:$K$104,2,FALSE())</f>
        <v>Eco Personal Item 084</v>
      </c>
      <c r="C88" s="27" t="s">
        <v>42</v>
      </c>
      <c r="D88" s="26" t="s">
        <v>156</v>
      </c>
      <c r="E88" s="27" t="str">
        <f aca="false">VLOOKUP(D88,'Supplier Database'!$A$5:$K$29,2,FALSE())</f>
        <v>Indus Distributors</v>
      </c>
      <c r="F88" s="27" t="s">
        <v>76</v>
      </c>
      <c r="G88" s="28" t="n">
        <v>155</v>
      </c>
      <c r="H88" s="28" t="n">
        <v>233</v>
      </c>
      <c r="I88" s="28" t="n">
        <f aca="false">SUMIFS('Order Tracking'!$J$5:$J$604,'Order Tracking'!$G$5:$G$604,A88,'Order Tracking'!$M$5:$M$604,"&lt;&gt;Cancelled")</f>
        <v>74</v>
      </c>
      <c r="J88" s="28" t="n">
        <v>0</v>
      </c>
      <c r="K88" s="28" t="n">
        <f aca="false">G88+H88-I88+J88</f>
        <v>314</v>
      </c>
      <c r="L88" s="28" t="n">
        <v>74</v>
      </c>
      <c r="M88" s="28" t="n">
        <v>444</v>
      </c>
      <c r="N88" s="29" t="n">
        <f aca="false">VLOOKUP(A88,'Product Master'!$A$5:$K$104,5,FALSE())</f>
        <v>2829.03</v>
      </c>
      <c r="O88" s="29" t="n">
        <f aca="false">K88*N88</f>
        <v>888315.42</v>
      </c>
      <c r="P88" s="32" t="str">
        <f aca="false">IF(K88&lt;=0,"Out of Stock",IF(K88&lt;L88,"Low Stock",IF(K88&gt;M88,"Overstocked","Healthy Stock")))</f>
        <v>Healthy Stock</v>
      </c>
      <c r="Q88" s="28" t="n">
        <f aca="false">IF(K88&lt;L88,MAX(0,M88-K88),0)</f>
        <v>0</v>
      </c>
    </row>
    <row r="89" customFormat="false" ht="15" hidden="false" customHeight="false" outlineLevel="0" collapsed="false">
      <c r="A89" s="18" t="s">
        <v>279</v>
      </c>
      <c r="B89" s="20" t="str">
        <f aca="false">VLOOKUP(A89,'Product Master'!$A$5:$K$104,2,FALSE())</f>
        <v>Classic Industrial Item 085</v>
      </c>
      <c r="C89" s="20" t="s">
        <v>44</v>
      </c>
      <c r="D89" s="18" t="s">
        <v>157</v>
      </c>
      <c r="E89" s="20" t="str">
        <f aca="false">VLOOKUP(D89,'Supplier Database'!$A$5:$K$29,2,FALSE())</f>
        <v>Jupiter Industries</v>
      </c>
      <c r="F89" s="20" t="s">
        <v>77</v>
      </c>
      <c r="G89" s="17" t="n">
        <v>70</v>
      </c>
      <c r="H89" s="17" t="n">
        <v>107</v>
      </c>
      <c r="I89" s="17" t="n">
        <f aca="false">SUMIFS('Order Tracking'!$J$5:$J$604,'Order Tracking'!$G$5:$G$604,A89,'Order Tracking'!$M$5:$M$604,"&lt;&gt;Cancelled")</f>
        <v>75</v>
      </c>
      <c r="J89" s="17" t="n">
        <v>0</v>
      </c>
      <c r="K89" s="17" t="n">
        <f aca="false">G89+H89-I89+J89</f>
        <v>102</v>
      </c>
      <c r="L89" s="17" t="n">
        <v>21</v>
      </c>
      <c r="M89" s="17" t="n">
        <v>147</v>
      </c>
      <c r="N89" s="16" t="n">
        <f aca="false">VLOOKUP(A89,'Product Master'!$A$5:$K$104,5,FALSE())</f>
        <v>1691.94</v>
      </c>
      <c r="O89" s="16" t="n">
        <f aca="false">K89*N89</f>
        <v>172577.88</v>
      </c>
      <c r="P89" s="23" t="str">
        <f aca="false">IF(K89&lt;=0,"Out of Stock",IF(K89&lt;L89,"Low Stock",IF(K89&gt;M89,"Overstocked","Healthy Stock")))</f>
        <v>Healthy Stock</v>
      </c>
      <c r="Q89" s="17" t="n">
        <f aca="false">IF(K89&lt;L89,MAX(0,M89-K89),0)</f>
        <v>0</v>
      </c>
    </row>
    <row r="90" customFormat="false" ht="15" hidden="false" customHeight="false" outlineLevel="0" collapsed="false">
      <c r="A90" s="26" t="s">
        <v>280</v>
      </c>
      <c r="B90" s="27" t="str">
        <f aca="false">VLOOKUP(A90,'Product Master'!$A$5:$K$104,2,FALSE())</f>
        <v>Classic Packaging Item 086</v>
      </c>
      <c r="C90" s="27" t="s">
        <v>45</v>
      </c>
      <c r="D90" s="26" t="s">
        <v>158</v>
      </c>
      <c r="E90" s="27" t="str">
        <f aca="false">VLOOKUP(D90,'Supplier Database'!$A$5:$K$29,2,FALSE())</f>
        <v>Kinetic Trading Co.</v>
      </c>
      <c r="F90" s="27" t="s">
        <v>79</v>
      </c>
      <c r="G90" s="28" t="n">
        <v>555</v>
      </c>
      <c r="H90" s="28" t="n">
        <v>834</v>
      </c>
      <c r="I90" s="28" t="n">
        <f aca="false">SUMIFS('Order Tracking'!$J$5:$J$604,'Order Tracking'!$G$5:$G$604,A90,'Order Tracking'!$M$5:$M$604,"&lt;&gt;Cancelled")</f>
        <v>70</v>
      </c>
      <c r="J90" s="28" t="n">
        <v>0</v>
      </c>
      <c r="K90" s="28" t="n">
        <f aca="false">G90+H90-I90+J90</f>
        <v>1319</v>
      </c>
      <c r="L90" s="28" t="n">
        <v>30</v>
      </c>
      <c r="M90" s="28" t="n">
        <v>150</v>
      </c>
      <c r="N90" s="29" t="n">
        <f aca="false">VLOOKUP(A90,'Product Master'!$A$5:$K$104,5,FALSE())</f>
        <v>4722.46</v>
      </c>
      <c r="O90" s="29" t="n">
        <f aca="false">K90*N90</f>
        <v>6228924.74</v>
      </c>
      <c r="P90" s="32" t="str">
        <f aca="false">IF(K90&lt;=0,"Out of Stock",IF(K90&lt;L90,"Low Stock",IF(K90&gt;M90,"Overstocked","Healthy Stock")))</f>
        <v>Overstocked</v>
      </c>
      <c r="Q90" s="28" t="n">
        <f aca="false">IF(K90&lt;L90,MAX(0,M90-K90),0)</f>
        <v>0</v>
      </c>
    </row>
    <row r="91" customFormat="false" ht="15" hidden="false" customHeight="false" outlineLevel="0" collapsed="false">
      <c r="A91" s="18" t="s">
        <v>281</v>
      </c>
      <c r="B91" s="20" t="str">
        <f aca="false">VLOOKUP(A91,'Product Master'!$A$5:$K$104,2,FALSE())</f>
        <v>Compact Apparel Item 087</v>
      </c>
      <c r="C91" s="20" t="s">
        <v>46</v>
      </c>
      <c r="D91" s="18" t="s">
        <v>159</v>
      </c>
      <c r="E91" s="20" t="str">
        <f aca="false">VLOOKUP(D91,'Supplier Database'!$A$5:$K$29,2,FALSE())</f>
        <v>Lotus Logistics</v>
      </c>
      <c r="F91" s="20" t="s">
        <v>77</v>
      </c>
      <c r="G91" s="17" t="n">
        <v>53</v>
      </c>
      <c r="H91" s="17" t="n">
        <v>80</v>
      </c>
      <c r="I91" s="17" t="n">
        <f aca="false">SUMIFS('Order Tracking'!$J$5:$J$604,'Order Tracking'!$G$5:$G$604,A91,'Order Tracking'!$M$5:$M$604,"&lt;&gt;Cancelled")</f>
        <v>87</v>
      </c>
      <c r="J91" s="17" t="n">
        <v>1</v>
      </c>
      <c r="K91" s="17" t="n">
        <f aca="false">G91+H91-I91+J91</f>
        <v>47</v>
      </c>
      <c r="L91" s="17" t="n">
        <v>16</v>
      </c>
      <c r="M91" s="17" t="n">
        <v>64</v>
      </c>
      <c r="N91" s="16" t="n">
        <f aca="false">VLOOKUP(A91,'Product Master'!$A$5:$K$104,5,FALSE())</f>
        <v>5399.59</v>
      </c>
      <c r="O91" s="16" t="n">
        <f aca="false">K91*N91</f>
        <v>253780.73</v>
      </c>
      <c r="P91" s="23" t="str">
        <f aca="false">IF(K91&lt;=0,"Out of Stock",IF(K91&lt;L91,"Low Stock",IF(K91&gt;M91,"Overstocked","Healthy Stock")))</f>
        <v>Healthy Stock</v>
      </c>
      <c r="Q91" s="17" t="n">
        <f aca="false">IF(K91&lt;L91,MAX(0,M91-K91),0)</f>
        <v>0</v>
      </c>
    </row>
    <row r="92" customFormat="false" ht="15" hidden="false" customHeight="false" outlineLevel="0" collapsed="false">
      <c r="A92" s="26" t="s">
        <v>282</v>
      </c>
      <c r="B92" s="27" t="str">
        <f aca="false">VLOOKUP(A92,'Product Master'!$A$5:$K$104,2,FALSE())</f>
        <v>Premium Automotive Item 088</v>
      </c>
      <c r="C92" s="27" t="s">
        <v>47</v>
      </c>
      <c r="D92" s="26" t="s">
        <v>160</v>
      </c>
      <c r="E92" s="27" t="str">
        <f aca="false">VLOOKUP(D92,'Supplier Database'!$A$5:$K$29,2,FALSE())</f>
        <v>Meridian Wholesale</v>
      </c>
      <c r="F92" s="27" t="s">
        <v>80</v>
      </c>
      <c r="G92" s="28" t="n">
        <v>64</v>
      </c>
      <c r="H92" s="28" t="n">
        <v>96</v>
      </c>
      <c r="I92" s="28" t="n">
        <f aca="false">SUMIFS('Order Tracking'!$J$5:$J$604,'Order Tracking'!$G$5:$G$604,A92,'Order Tracking'!$M$5:$M$604,"&lt;&gt;Cancelled")</f>
        <v>52</v>
      </c>
      <c r="J92" s="28" t="n">
        <v>0</v>
      </c>
      <c r="K92" s="28" t="n">
        <f aca="false">G92+H92-I92+J92</f>
        <v>108</v>
      </c>
      <c r="L92" s="28" t="n">
        <v>30</v>
      </c>
      <c r="M92" s="28" t="n">
        <v>150</v>
      </c>
      <c r="N92" s="29" t="n">
        <f aca="false">VLOOKUP(A92,'Product Master'!$A$5:$K$104,5,FALSE())</f>
        <v>901.09</v>
      </c>
      <c r="O92" s="29" t="n">
        <f aca="false">K92*N92</f>
        <v>97317.72</v>
      </c>
      <c r="P92" s="32" t="str">
        <f aca="false">IF(K92&lt;=0,"Out of Stock",IF(K92&lt;L92,"Low Stock",IF(K92&gt;M92,"Overstocked","Healthy Stock")))</f>
        <v>Healthy Stock</v>
      </c>
      <c r="Q92" s="28" t="n">
        <f aca="false">IF(K92&lt;L92,MAX(0,M92-K92),0)</f>
        <v>0</v>
      </c>
    </row>
    <row r="93" customFormat="false" ht="15" hidden="false" customHeight="false" outlineLevel="0" collapsed="false">
      <c r="A93" s="18" t="s">
        <v>283</v>
      </c>
      <c r="B93" s="20" t="str">
        <f aca="false">VLOOKUP(A93,'Product Master'!$A$5:$K$104,2,FALSE())</f>
        <v>Everyday Electronics Item 089</v>
      </c>
      <c r="C93" s="20" t="s">
        <v>36</v>
      </c>
      <c r="D93" s="18" t="s">
        <v>161</v>
      </c>
      <c r="E93" s="20" t="str">
        <f aca="false">VLOOKUP(D93,'Supplier Database'!$A$5:$K$29,2,FALSE())</f>
        <v>Northstar Partners</v>
      </c>
      <c r="F93" s="20" t="s">
        <v>79</v>
      </c>
      <c r="G93" s="17" t="n">
        <v>143</v>
      </c>
      <c r="H93" s="17" t="n">
        <v>216</v>
      </c>
      <c r="I93" s="17" t="n">
        <f aca="false">SUMIFS('Order Tracking'!$J$5:$J$604,'Order Tracking'!$G$5:$G$604,A93,'Order Tracking'!$M$5:$M$604,"&lt;&gt;Cancelled")</f>
        <v>110</v>
      </c>
      <c r="J93" s="17" t="n">
        <v>2</v>
      </c>
      <c r="K93" s="17" t="n">
        <f aca="false">G93+H93-I93+J93</f>
        <v>251</v>
      </c>
      <c r="L93" s="17" t="n">
        <v>68</v>
      </c>
      <c r="M93" s="17" t="n">
        <v>272</v>
      </c>
      <c r="N93" s="16" t="n">
        <f aca="false">VLOOKUP(A93,'Product Master'!$A$5:$K$104,5,FALSE())</f>
        <v>1410.28</v>
      </c>
      <c r="O93" s="16" t="n">
        <f aca="false">K93*N93</f>
        <v>353980.28</v>
      </c>
      <c r="P93" s="23" t="str">
        <f aca="false">IF(K93&lt;=0,"Out of Stock",IF(K93&lt;L93,"Low Stock",IF(K93&gt;M93,"Overstocked","Healthy Stock")))</f>
        <v>Healthy Stock</v>
      </c>
      <c r="Q93" s="17" t="n">
        <f aca="false">IF(K93&lt;L93,MAX(0,M93-K93),0)</f>
        <v>0</v>
      </c>
    </row>
    <row r="94" customFormat="false" ht="15" hidden="false" customHeight="false" outlineLevel="0" collapsed="false">
      <c r="A94" s="26" t="s">
        <v>284</v>
      </c>
      <c r="B94" s="27" t="str">
        <f aca="false">VLOOKUP(A94,'Product Master'!$A$5:$K$104,2,FALSE())</f>
        <v>Compact Home Item 090</v>
      </c>
      <c r="C94" s="27" t="s">
        <v>38</v>
      </c>
      <c r="D94" s="26" t="s">
        <v>162</v>
      </c>
      <c r="E94" s="27" t="str">
        <f aca="false">VLOOKUP(D94,'Supplier Database'!$A$5:$K$29,2,FALSE())</f>
        <v>Orbit Supplies</v>
      </c>
      <c r="F94" s="27" t="s">
        <v>79</v>
      </c>
      <c r="G94" s="28" t="n">
        <v>87</v>
      </c>
      <c r="H94" s="28" t="n">
        <v>131</v>
      </c>
      <c r="I94" s="28" t="n">
        <f aca="false">SUMIFS('Order Tracking'!$J$5:$J$604,'Order Tracking'!$G$5:$G$604,A94,'Order Tracking'!$M$5:$M$604,"&lt;&gt;Cancelled")</f>
        <v>53</v>
      </c>
      <c r="J94" s="28" t="n">
        <v>0</v>
      </c>
      <c r="K94" s="28" t="n">
        <f aca="false">G94+H94-I94+J94</f>
        <v>165</v>
      </c>
      <c r="L94" s="28" t="n">
        <v>39</v>
      </c>
      <c r="M94" s="28" t="n">
        <v>234</v>
      </c>
      <c r="N94" s="29" t="n">
        <f aca="false">VLOOKUP(A94,'Product Master'!$A$5:$K$104,5,FALSE())</f>
        <v>8334.45</v>
      </c>
      <c r="O94" s="29" t="n">
        <f aca="false">K94*N94</f>
        <v>1375184.25</v>
      </c>
      <c r="P94" s="32" t="str">
        <f aca="false">IF(K94&lt;=0,"Out of Stock",IF(K94&lt;L94,"Low Stock",IF(K94&gt;M94,"Overstocked","Healthy Stock")))</f>
        <v>Healthy Stock</v>
      </c>
      <c r="Q94" s="28" t="n">
        <f aca="false">IF(K94&lt;L94,MAX(0,M94-K94),0)</f>
        <v>0</v>
      </c>
    </row>
    <row r="95" customFormat="false" ht="15" hidden="false" customHeight="false" outlineLevel="0" collapsed="false">
      <c r="A95" s="18" t="s">
        <v>285</v>
      </c>
      <c r="B95" s="20" t="str">
        <f aca="false">VLOOKUP(A95,'Product Master'!$A$5:$K$104,2,FALSE())</f>
        <v>Premium Office Item 091</v>
      </c>
      <c r="C95" s="20" t="s">
        <v>40</v>
      </c>
      <c r="D95" s="18" t="s">
        <v>163</v>
      </c>
      <c r="E95" s="20" t="str">
        <f aca="false">VLOOKUP(D95,'Supplier Database'!$A$5:$K$29,2,FALSE())</f>
        <v>Pioneer Distributors</v>
      </c>
      <c r="F95" s="20" t="s">
        <v>77</v>
      </c>
      <c r="G95" s="17" t="n">
        <v>170</v>
      </c>
      <c r="H95" s="17" t="n">
        <v>255</v>
      </c>
      <c r="I95" s="17" t="n">
        <f aca="false">SUMIFS('Order Tracking'!$J$5:$J$604,'Order Tracking'!$G$5:$G$604,A95,'Order Tracking'!$M$5:$M$604,"&lt;&gt;Cancelled")</f>
        <v>92</v>
      </c>
      <c r="J95" s="17" t="n">
        <v>0</v>
      </c>
      <c r="K95" s="17" t="n">
        <f aca="false">G95+H95-I95+J95</f>
        <v>333</v>
      </c>
      <c r="L95" s="17" t="n">
        <v>68</v>
      </c>
      <c r="M95" s="17" t="n">
        <v>476</v>
      </c>
      <c r="N95" s="16" t="n">
        <f aca="false">VLOOKUP(A95,'Product Master'!$A$5:$K$104,5,FALSE())</f>
        <v>4379.06</v>
      </c>
      <c r="O95" s="16" t="n">
        <f aca="false">K95*N95</f>
        <v>1458226.98</v>
      </c>
      <c r="P95" s="23" t="str">
        <f aca="false">IF(K95&lt;=0,"Out of Stock",IF(K95&lt;L95,"Low Stock",IF(K95&gt;M95,"Overstocked","Healthy Stock")))</f>
        <v>Healthy Stock</v>
      </c>
      <c r="Q95" s="17" t="n">
        <f aca="false">IF(K95&lt;L95,MAX(0,M95-K95),0)</f>
        <v>0</v>
      </c>
    </row>
    <row r="96" customFormat="false" ht="15" hidden="false" customHeight="false" outlineLevel="0" collapsed="false">
      <c r="A96" s="26" t="s">
        <v>286</v>
      </c>
      <c r="B96" s="27" t="str">
        <f aca="false">VLOOKUP(A96,'Product Master'!$A$5:$K$104,2,FALSE())</f>
        <v>Essential Personal Item 092</v>
      </c>
      <c r="C96" s="27" t="s">
        <v>42</v>
      </c>
      <c r="D96" s="26" t="s">
        <v>164</v>
      </c>
      <c r="E96" s="27" t="str">
        <f aca="false">VLOOKUP(D96,'Supplier Database'!$A$5:$K$29,2,FALSE())</f>
        <v>Quantum Industries</v>
      </c>
      <c r="F96" s="27" t="s">
        <v>79</v>
      </c>
      <c r="G96" s="28" t="n">
        <v>332</v>
      </c>
      <c r="H96" s="28" t="n">
        <v>499</v>
      </c>
      <c r="I96" s="28" t="n">
        <f aca="false">SUMIFS('Order Tracking'!$J$5:$J$604,'Order Tracking'!$G$5:$G$604,A96,'Order Tracking'!$M$5:$M$604,"&lt;&gt;Cancelled")</f>
        <v>58</v>
      </c>
      <c r="J96" s="28" t="n">
        <v>0</v>
      </c>
      <c r="K96" s="28" t="n">
        <f aca="false">G96+H96-I96+J96</f>
        <v>773</v>
      </c>
      <c r="L96" s="28" t="n">
        <v>53</v>
      </c>
      <c r="M96" s="28" t="n">
        <v>318</v>
      </c>
      <c r="N96" s="29" t="n">
        <f aca="false">VLOOKUP(A96,'Product Master'!$A$5:$K$104,5,FALSE())</f>
        <v>6721.07</v>
      </c>
      <c r="O96" s="29" t="n">
        <f aca="false">K96*N96</f>
        <v>5195387.11</v>
      </c>
      <c r="P96" s="32" t="str">
        <f aca="false">IF(K96&lt;=0,"Out of Stock",IF(K96&lt;L96,"Low Stock",IF(K96&gt;M96,"Overstocked","Healthy Stock")))</f>
        <v>Overstocked</v>
      </c>
      <c r="Q96" s="28" t="n">
        <f aca="false">IF(K96&lt;L96,MAX(0,M96-K96),0)</f>
        <v>0</v>
      </c>
    </row>
    <row r="97" customFormat="false" ht="15" hidden="false" customHeight="false" outlineLevel="0" collapsed="false">
      <c r="A97" s="18" t="s">
        <v>287</v>
      </c>
      <c r="B97" s="20" t="str">
        <f aca="false">VLOOKUP(A97,'Product Master'!$A$5:$K$104,2,FALSE())</f>
        <v>Compact Industrial Item 093</v>
      </c>
      <c r="C97" s="20" t="s">
        <v>44</v>
      </c>
      <c r="D97" s="18" t="s">
        <v>165</v>
      </c>
      <c r="E97" s="20" t="str">
        <f aca="false">VLOOKUP(D97,'Supplier Database'!$A$5:$K$29,2,FALSE())</f>
        <v>Riverstone Trading Co.</v>
      </c>
      <c r="F97" s="20" t="s">
        <v>76</v>
      </c>
      <c r="G97" s="17" t="n">
        <v>139</v>
      </c>
      <c r="H97" s="17" t="n">
        <v>210</v>
      </c>
      <c r="I97" s="17" t="n">
        <f aca="false">SUMIFS('Order Tracking'!$J$5:$J$604,'Order Tracking'!$G$5:$G$604,A97,'Order Tracking'!$M$5:$M$604,"&lt;&gt;Cancelled")</f>
        <v>100</v>
      </c>
      <c r="J97" s="17" t="n">
        <v>0</v>
      </c>
      <c r="K97" s="17" t="n">
        <f aca="false">G97+H97-I97+J97</f>
        <v>249</v>
      </c>
      <c r="L97" s="17" t="n">
        <v>76</v>
      </c>
      <c r="M97" s="17" t="n">
        <v>456</v>
      </c>
      <c r="N97" s="16" t="n">
        <f aca="false">VLOOKUP(A97,'Product Master'!$A$5:$K$104,5,FALSE())</f>
        <v>4979.76</v>
      </c>
      <c r="O97" s="16" t="n">
        <f aca="false">K97*N97</f>
        <v>1239960.24</v>
      </c>
      <c r="P97" s="23" t="str">
        <f aca="false">IF(K97&lt;=0,"Out of Stock",IF(K97&lt;L97,"Low Stock",IF(K97&gt;M97,"Overstocked","Healthy Stock")))</f>
        <v>Healthy Stock</v>
      </c>
      <c r="Q97" s="17" t="n">
        <f aca="false">IF(K97&lt;L97,MAX(0,M97-K97),0)</f>
        <v>0</v>
      </c>
    </row>
    <row r="98" customFormat="false" ht="15" hidden="false" customHeight="false" outlineLevel="0" collapsed="false">
      <c r="A98" s="26" t="s">
        <v>288</v>
      </c>
      <c r="B98" s="27" t="str">
        <f aca="false">VLOOKUP(A98,'Product Master'!$A$5:$K$104,2,FALSE())</f>
        <v>Classic Packaging Item 094</v>
      </c>
      <c r="C98" s="27" t="s">
        <v>45</v>
      </c>
      <c r="D98" s="26" t="s">
        <v>166</v>
      </c>
      <c r="E98" s="27" t="str">
        <f aca="false">VLOOKUP(D98,'Supplier Database'!$A$5:$K$29,2,FALSE())</f>
        <v>Summit Logistics</v>
      </c>
      <c r="F98" s="27" t="s">
        <v>78</v>
      </c>
      <c r="G98" s="28" t="n">
        <v>68</v>
      </c>
      <c r="H98" s="28" t="n">
        <v>103</v>
      </c>
      <c r="I98" s="28" t="n">
        <f aca="false">SUMIFS('Order Tracking'!$J$5:$J$604,'Order Tracking'!$G$5:$G$604,A98,'Order Tracking'!$M$5:$M$604,"&lt;&gt;Cancelled")</f>
        <v>48</v>
      </c>
      <c r="J98" s="28" t="n">
        <v>1</v>
      </c>
      <c r="K98" s="28" t="n">
        <f aca="false">G98+H98-I98+J98</f>
        <v>124</v>
      </c>
      <c r="L98" s="28" t="n">
        <v>39</v>
      </c>
      <c r="M98" s="28" t="n">
        <v>156</v>
      </c>
      <c r="N98" s="29" t="n">
        <f aca="false">VLOOKUP(A98,'Product Master'!$A$5:$K$104,5,FALSE())</f>
        <v>4745.07</v>
      </c>
      <c r="O98" s="29" t="n">
        <f aca="false">K98*N98</f>
        <v>588388.68</v>
      </c>
      <c r="P98" s="32" t="str">
        <f aca="false">IF(K98&lt;=0,"Out of Stock",IF(K98&lt;L98,"Low Stock",IF(K98&gt;M98,"Overstocked","Healthy Stock")))</f>
        <v>Healthy Stock</v>
      </c>
      <c r="Q98" s="28" t="n">
        <f aca="false">IF(K98&lt;L98,MAX(0,M98-K98),0)</f>
        <v>0</v>
      </c>
    </row>
    <row r="99" customFormat="false" ht="15" hidden="false" customHeight="false" outlineLevel="0" collapsed="false">
      <c r="A99" s="18" t="s">
        <v>289</v>
      </c>
      <c r="B99" s="20" t="str">
        <f aca="false">VLOOKUP(A99,'Product Master'!$A$5:$K$104,2,FALSE())</f>
        <v>Eco Apparel Item 095</v>
      </c>
      <c r="C99" s="20" t="s">
        <v>46</v>
      </c>
      <c r="D99" s="18" t="s">
        <v>167</v>
      </c>
      <c r="E99" s="20" t="str">
        <f aca="false">VLOOKUP(D99,'Supplier Database'!$A$5:$K$29,2,FALSE())</f>
        <v>Trident Wholesale</v>
      </c>
      <c r="F99" s="20" t="s">
        <v>76</v>
      </c>
      <c r="G99" s="17" t="n">
        <v>143</v>
      </c>
      <c r="H99" s="17" t="n">
        <v>215</v>
      </c>
      <c r="I99" s="17" t="n">
        <f aca="false">SUMIFS('Order Tracking'!$J$5:$J$604,'Order Tracking'!$G$5:$G$604,A99,'Order Tracking'!$M$5:$M$604,"&lt;&gt;Cancelled")</f>
        <v>131</v>
      </c>
      <c r="J99" s="17" t="n">
        <v>0</v>
      </c>
      <c r="K99" s="17" t="n">
        <f aca="false">G99+H99-I99+J99</f>
        <v>227</v>
      </c>
      <c r="L99" s="17" t="n">
        <v>55</v>
      </c>
      <c r="M99" s="17" t="n">
        <v>330</v>
      </c>
      <c r="N99" s="16" t="n">
        <f aca="false">VLOOKUP(A99,'Product Master'!$A$5:$K$104,5,FALSE())</f>
        <v>2121.19</v>
      </c>
      <c r="O99" s="16" t="n">
        <f aca="false">K99*N99</f>
        <v>481510.13</v>
      </c>
      <c r="P99" s="23" t="str">
        <f aca="false">IF(K99&lt;=0,"Out of Stock",IF(K99&lt;L99,"Low Stock",IF(K99&gt;M99,"Overstocked","Healthy Stock")))</f>
        <v>Healthy Stock</v>
      </c>
      <c r="Q99" s="17" t="n">
        <f aca="false">IF(K99&lt;L99,MAX(0,M99-K99),0)</f>
        <v>0</v>
      </c>
    </row>
    <row r="100" customFormat="false" ht="15" hidden="false" customHeight="false" outlineLevel="0" collapsed="false">
      <c r="A100" s="26" t="s">
        <v>290</v>
      </c>
      <c r="B100" s="27" t="str">
        <f aca="false">VLOOKUP(A100,'Product Master'!$A$5:$K$104,2,FALSE())</f>
        <v>Eco Automotive Item 096</v>
      </c>
      <c r="C100" s="27" t="s">
        <v>47</v>
      </c>
      <c r="D100" s="26" t="s">
        <v>168</v>
      </c>
      <c r="E100" s="27" t="str">
        <f aca="false">VLOOKUP(D100,'Supplier Database'!$A$5:$K$29,2,FALSE())</f>
        <v>Unity Partners</v>
      </c>
      <c r="F100" s="27" t="s">
        <v>77</v>
      </c>
      <c r="G100" s="28" t="n">
        <v>164</v>
      </c>
      <c r="H100" s="28" t="n">
        <v>248</v>
      </c>
      <c r="I100" s="28" t="n">
        <f aca="false">SUMIFS('Order Tracking'!$J$5:$J$604,'Order Tracking'!$G$5:$G$604,A100,'Order Tracking'!$M$5:$M$604,"&lt;&gt;Cancelled")</f>
        <v>68</v>
      </c>
      <c r="J100" s="28" t="n">
        <v>0</v>
      </c>
      <c r="K100" s="28" t="n">
        <f aca="false">G100+H100-I100+J100</f>
        <v>344</v>
      </c>
      <c r="L100" s="28" t="n">
        <v>78</v>
      </c>
      <c r="M100" s="28" t="n">
        <v>468</v>
      </c>
      <c r="N100" s="29" t="n">
        <f aca="false">VLOOKUP(A100,'Product Master'!$A$5:$K$104,5,FALSE())</f>
        <v>6029.81</v>
      </c>
      <c r="O100" s="29" t="n">
        <f aca="false">K100*N100</f>
        <v>2074254.64</v>
      </c>
      <c r="P100" s="32" t="str">
        <f aca="false">IF(K100&lt;=0,"Out of Stock",IF(K100&lt;L100,"Low Stock",IF(K100&gt;M100,"Overstocked","Healthy Stock")))</f>
        <v>Healthy Stock</v>
      </c>
      <c r="Q100" s="28" t="n">
        <f aca="false">IF(K100&lt;L100,MAX(0,M100-K100),0)</f>
        <v>0</v>
      </c>
    </row>
    <row r="101" customFormat="false" ht="15" hidden="false" customHeight="false" outlineLevel="0" collapsed="false">
      <c r="A101" s="18" t="s">
        <v>291</v>
      </c>
      <c r="B101" s="20" t="str">
        <f aca="false">VLOOKUP(A101,'Product Master'!$A$5:$K$104,2,FALSE())</f>
        <v>Smart Electronics Item 097</v>
      </c>
      <c r="C101" s="20" t="s">
        <v>36</v>
      </c>
      <c r="D101" s="18" t="s">
        <v>169</v>
      </c>
      <c r="E101" s="20" t="str">
        <f aca="false">VLOOKUP(D101,'Supplier Database'!$A$5:$K$29,2,FALSE())</f>
        <v>Vertex Supplies</v>
      </c>
      <c r="F101" s="20" t="s">
        <v>76</v>
      </c>
      <c r="G101" s="17" t="n">
        <v>92</v>
      </c>
      <c r="H101" s="17" t="n">
        <v>140</v>
      </c>
      <c r="I101" s="17" t="n">
        <f aca="false">SUMIFS('Order Tracking'!$J$5:$J$604,'Order Tracking'!$G$5:$G$604,A101,'Order Tracking'!$M$5:$M$604,"&lt;&gt;Cancelled")</f>
        <v>24</v>
      </c>
      <c r="J101" s="17" t="n">
        <v>1</v>
      </c>
      <c r="K101" s="17" t="n">
        <f aca="false">G101+H101-I101+J101</f>
        <v>209</v>
      </c>
      <c r="L101" s="17" t="n">
        <v>71</v>
      </c>
      <c r="M101" s="17" t="n">
        <v>284</v>
      </c>
      <c r="N101" s="16" t="n">
        <f aca="false">VLOOKUP(A101,'Product Master'!$A$5:$K$104,5,FALSE())</f>
        <v>1177.94</v>
      </c>
      <c r="O101" s="16" t="n">
        <f aca="false">K101*N101</f>
        <v>246189.46</v>
      </c>
      <c r="P101" s="23" t="str">
        <f aca="false">IF(K101&lt;=0,"Out of Stock",IF(K101&lt;L101,"Low Stock",IF(K101&gt;M101,"Overstocked","Healthy Stock")))</f>
        <v>Healthy Stock</v>
      </c>
      <c r="Q101" s="17" t="n">
        <f aca="false">IF(K101&lt;L101,MAX(0,M101-K101),0)</f>
        <v>0</v>
      </c>
    </row>
    <row r="102" customFormat="false" ht="15" hidden="false" customHeight="false" outlineLevel="0" collapsed="false">
      <c r="A102" s="26" t="s">
        <v>292</v>
      </c>
      <c r="B102" s="27" t="str">
        <f aca="false">VLOOKUP(A102,'Product Master'!$A$5:$K$104,2,FALSE())</f>
        <v>Compact Home Item 098</v>
      </c>
      <c r="C102" s="27" t="s">
        <v>38</v>
      </c>
      <c r="D102" s="26" t="s">
        <v>170</v>
      </c>
      <c r="E102" s="27" t="str">
        <f aca="false">VLOOKUP(D102,'Supplier Database'!$A$5:$K$29,2,FALSE())</f>
        <v>Westline Distributors</v>
      </c>
      <c r="F102" s="27" t="s">
        <v>76</v>
      </c>
      <c r="G102" s="28" t="n">
        <v>204</v>
      </c>
      <c r="H102" s="28" t="n">
        <v>308</v>
      </c>
      <c r="I102" s="28" t="n">
        <f aca="false">SUMIFS('Order Tracking'!$J$5:$J$604,'Order Tracking'!$G$5:$G$604,A102,'Order Tracking'!$M$5:$M$604,"&lt;&gt;Cancelled")</f>
        <v>60</v>
      </c>
      <c r="J102" s="28" t="n">
        <v>0</v>
      </c>
      <c r="K102" s="28" t="n">
        <f aca="false">G102+H102-I102+J102</f>
        <v>452</v>
      </c>
      <c r="L102" s="28" t="n">
        <v>34</v>
      </c>
      <c r="M102" s="28" t="n">
        <v>272</v>
      </c>
      <c r="N102" s="29" t="n">
        <f aca="false">VLOOKUP(A102,'Product Master'!$A$5:$K$104,5,FALSE())</f>
        <v>7749.5</v>
      </c>
      <c r="O102" s="29" t="n">
        <f aca="false">K102*N102</f>
        <v>3502774</v>
      </c>
      <c r="P102" s="32" t="str">
        <f aca="false">IF(K102&lt;=0,"Out of Stock",IF(K102&lt;L102,"Low Stock",IF(K102&gt;M102,"Overstocked","Healthy Stock")))</f>
        <v>Overstocked</v>
      </c>
      <c r="Q102" s="28" t="n">
        <f aca="false">IF(K102&lt;L102,MAX(0,M102-K102),0)</f>
        <v>0</v>
      </c>
    </row>
    <row r="103" customFormat="false" ht="15" hidden="false" customHeight="false" outlineLevel="0" collapsed="false">
      <c r="A103" s="18" t="s">
        <v>293</v>
      </c>
      <c r="B103" s="20" t="str">
        <f aca="false">VLOOKUP(A103,'Product Master'!$A$5:$K$104,2,FALSE())</f>
        <v>Eco Office Item 099</v>
      </c>
      <c r="C103" s="20" t="s">
        <v>40</v>
      </c>
      <c r="D103" s="18" t="s">
        <v>171</v>
      </c>
      <c r="E103" s="20" t="str">
        <f aca="false">VLOOKUP(D103,'Supplier Database'!$A$5:$K$29,2,FALSE())</f>
        <v>Yugma Industries</v>
      </c>
      <c r="F103" s="20" t="s">
        <v>77</v>
      </c>
      <c r="G103" s="17" t="n">
        <v>146</v>
      </c>
      <c r="H103" s="17" t="n">
        <v>220</v>
      </c>
      <c r="I103" s="17" t="n">
        <f aca="false">SUMIFS('Order Tracking'!$J$5:$J$604,'Order Tracking'!$G$5:$G$604,A103,'Order Tracking'!$M$5:$M$604,"&lt;&gt;Cancelled")</f>
        <v>129</v>
      </c>
      <c r="J103" s="17" t="n">
        <v>5</v>
      </c>
      <c r="K103" s="17" t="n">
        <f aca="false">G103+H103-I103+J103</f>
        <v>242</v>
      </c>
      <c r="L103" s="17" t="n">
        <v>57</v>
      </c>
      <c r="M103" s="17" t="n">
        <v>342</v>
      </c>
      <c r="N103" s="16" t="n">
        <f aca="false">VLOOKUP(A103,'Product Master'!$A$5:$K$104,5,FALSE())</f>
        <v>6669.18</v>
      </c>
      <c r="O103" s="16" t="n">
        <f aca="false">K103*N103</f>
        <v>1613941.56</v>
      </c>
      <c r="P103" s="23" t="str">
        <f aca="false">IF(K103&lt;=0,"Out of Stock",IF(K103&lt;L103,"Low Stock",IF(K103&gt;M103,"Overstocked","Healthy Stock")))</f>
        <v>Healthy Stock</v>
      </c>
      <c r="Q103" s="17" t="n">
        <f aca="false">IF(K103&lt;L103,MAX(0,M103-K103),0)</f>
        <v>0</v>
      </c>
    </row>
    <row r="104" customFormat="false" ht="15" hidden="false" customHeight="false" outlineLevel="0" collapsed="false">
      <c r="A104" s="26" t="s">
        <v>294</v>
      </c>
      <c r="B104" s="27" t="str">
        <f aca="false">VLOOKUP(A104,'Product Master'!$A$5:$K$104,2,FALSE())</f>
        <v>Smart Personal Item 100</v>
      </c>
      <c r="C104" s="27" t="s">
        <v>42</v>
      </c>
      <c r="D104" s="26" t="s">
        <v>172</v>
      </c>
      <c r="E104" s="27" t="str">
        <f aca="false">VLOOKUP(D104,'Supplier Database'!$A$5:$K$29,2,FALSE())</f>
        <v>Zenith Trading Co.</v>
      </c>
      <c r="F104" s="27" t="s">
        <v>76</v>
      </c>
      <c r="G104" s="28" t="n">
        <v>56</v>
      </c>
      <c r="H104" s="28" t="n">
        <v>84</v>
      </c>
      <c r="I104" s="28" t="n">
        <f aca="false">SUMIFS('Order Tracking'!$J$5:$J$604,'Order Tracking'!$G$5:$G$604,A104,'Order Tracking'!$M$5:$M$604,"&lt;&gt;Cancelled")</f>
        <v>74</v>
      </c>
      <c r="J104" s="28" t="n">
        <v>2</v>
      </c>
      <c r="K104" s="28" t="n">
        <f aca="false">G104+H104-I104+J104</f>
        <v>68</v>
      </c>
      <c r="L104" s="28" t="n">
        <v>19</v>
      </c>
      <c r="M104" s="28" t="n">
        <v>95</v>
      </c>
      <c r="N104" s="29" t="n">
        <f aca="false">VLOOKUP(A104,'Product Master'!$A$5:$K$104,5,FALSE())</f>
        <v>7321.29</v>
      </c>
      <c r="O104" s="29" t="n">
        <f aca="false">K104*N104</f>
        <v>497847.72</v>
      </c>
      <c r="P104" s="32" t="str">
        <f aca="false">IF(K104&lt;=0,"Out of Stock",IF(K104&lt;L104,"Low Stock",IF(K104&gt;M104,"Overstocked","Healthy Stock")))</f>
        <v>Healthy Stock</v>
      </c>
      <c r="Q104" s="28" t="n">
        <f aca="false">IF(K104&lt;L104,MAX(0,M104-K104),0)</f>
        <v>0</v>
      </c>
    </row>
  </sheetData>
  <mergeCells count="2">
    <mergeCell ref="A1:Q1"/>
    <mergeCell ref="A2:Q2"/>
  </mergeCells>
  <conditionalFormatting sqref="P5:P104">
    <cfRule type="cellIs" priority="2" operator="equal" dxfId="0">
      <formula>"Out of Stock"</formula>
    </cfRule>
    <cfRule type="cellIs" priority="3" operator="equal" dxfId="1">
      <formula>"Low Stock"</formula>
    </cfRule>
    <cfRule type="cellIs" priority="4" operator="equal" dxfId="2">
      <formula>"Healthy Stock"</formula>
    </cfRule>
    <cfRule type="cellIs" priority="5" operator="equal" dxfId="3">
      <formula>"Overstocked"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1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1" min="10" style="0" width="19"/>
  </cols>
  <sheetData>
    <row r="1" customFormat="false" ht="27.75" hidden="false" customHeight="true" outlineLevel="0" collapsed="false">
      <c r="A1" s="1" t="s">
        <v>1329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1330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9.75" hidden="false" customHeight="true" outlineLevel="0" collapsed="false"/>
    <row r="4" customFormat="false" ht="24" hidden="false" customHeight="true" outlineLevel="0" collapsed="false">
      <c r="A4" s="8" t="s">
        <v>139</v>
      </c>
      <c r="B4" s="14" t="s">
        <v>53</v>
      </c>
      <c r="C4" s="14" t="s">
        <v>1331</v>
      </c>
      <c r="D4" s="8" t="s">
        <v>102</v>
      </c>
      <c r="E4" s="14" t="s">
        <v>183</v>
      </c>
      <c r="F4" s="8" t="s">
        <v>1332</v>
      </c>
      <c r="G4" s="8" t="s">
        <v>1333</v>
      </c>
      <c r="H4" s="8" t="s">
        <v>1334</v>
      </c>
      <c r="I4" s="8" t="s">
        <v>1335</v>
      </c>
      <c r="J4" s="8" t="s">
        <v>1336</v>
      </c>
      <c r="K4" s="8" t="s">
        <v>1337</v>
      </c>
    </row>
    <row r="5" customFormat="false" ht="15" hidden="false" customHeight="false" outlineLevel="0" collapsed="false">
      <c r="A5" s="18" t="s">
        <v>148</v>
      </c>
      <c r="B5" s="20" t="s">
        <v>1338</v>
      </c>
      <c r="C5" s="20" t="s">
        <v>681</v>
      </c>
      <c r="D5" s="18" t="s">
        <v>109</v>
      </c>
      <c r="E5" s="20" t="s">
        <v>42</v>
      </c>
      <c r="F5" s="25" t="n">
        <v>44644</v>
      </c>
      <c r="G5" s="25" t="n">
        <v>46440</v>
      </c>
      <c r="H5" s="18" t="s">
        <v>1339</v>
      </c>
      <c r="I5" s="17" t="n">
        <v>3</v>
      </c>
      <c r="J5" s="21" t="n">
        <v>4.4</v>
      </c>
      <c r="K5" s="18" t="s">
        <v>1340</v>
      </c>
    </row>
    <row r="6" customFormat="false" ht="15" hidden="false" customHeight="false" outlineLevel="0" collapsed="false">
      <c r="A6" s="26" t="s">
        <v>149</v>
      </c>
      <c r="B6" s="27" t="s">
        <v>1341</v>
      </c>
      <c r="C6" s="27" t="s">
        <v>746</v>
      </c>
      <c r="D6" s="26" t="s">
        <v>107</v>
      </c>
      <c r="E6" s="27" t="s">
        <v>36</v>
      </c>
      <c r="F6" s="34" t="n">
        <v>45405</v>
      </c>
      <c r="G6" s="34" t="n">
        <v>46714</v>
      </c>
      <c r="H6" s="26" t="s">
        <v>1339</v>
      </c>
      <c r="I6" s="28" t="n">
        <v>8</v>
      </c>
      <c r="J6" s="30" t="n">
        <v>3.3</v>
      </c>
      <c r="K6" s="26" t="s">
        <v>1340</v>
      </c>
    </row>
    <row r="7" customFormat="false" ht="15" hidden="false" customHeight="false" outlineLevel="0" collapsed="false">
      <c r="A7" s="18" t="s">
        <v>150</v>
      </c>
      <c r="B7" s="20" t="s">
        <v>1342</v>
      </c>
      <c r="C7" s="20" t="s">
        <v>422</v>
      </c>
      <c r="D7" s="18" t="s">
        <v>107</v>
      </c>
      <c r="E7" s="20" t="s">
        <v>46</v>
      </c>
      <c r="F7" s="25" t="n">
        <v>45051</v>
      </c>
      <c r="G7" s="25" t="n">
        <v>46502</v>
      </c>
      <c r="H7" s="18" t="s">
        <v>1343</v>
      </c>
      <c r="I7" s="17" t="n">
        <v>3</v>
      </c>
      <c r="J7" s="21" t="n">
        <v>2.9</v>
      </c>
      <c r="K7" s="18" t="s">
        <v>1340</v>
      </c>
    </row>
    <row r="8" customFormat="false" ht="15" hidden="false" customHeight="false" outlineLevel="0" collapsed="false">
      <c r="A8" s="26" t="s">
        <v>151</v>
      </c>
      <c r="B8" s="27" t="s">
        <v>1344</v>
      </c>
      <c r="C8" s="27" t="s">
        <v>1345</v>
      </c>
      <c r="D8" s="26" t="s">
        <v>109</v>
      </c>
      <c r="E8" s="27" t="s">
        <v>36</v>
      </c>
      <c r="F8" s="34" t="n">
        <v>45522</v>
      </c>
      <c r="G8" s="34" t="n">
        <v>46431</v>
      </c>
      <c r="H8" s="26" t="s">
        <v>1346</v>
      </c>
      <c r="I8" s="28" t="n">
        <v>10</v>
      </c>
      <c r="J8" s="30" t="n">
        <v>3.4</v>
      </c>
      <c r="K8" s="26" t="s">
        <v>1340</v>
      </c>
    </row>
    <row r="9" customFormat="false" ht="15" hidden="false" customHeight="false" outlineLevel="0" collapsed="false">
      <c r="A9" s="18" t="s">
        <v>152</v>
      </c>
      <c r="B9" s="20" t="s">
        <v>1347</v>
      </c>
      <c r="C9" s="20" t="s">
        <v>1345</v>
      </c>
      <c r="D9" s="18" t="s">
        <v>107</v>
      </c>
      <c r="E9" s="20" t="s">
        <v>38</v>
      </c>
      <c r="F9" s="25" t="n">
        <v>44873</v>
      </c>
      <c r="G9" s="25" t="n">
        <v>46510</v>
      </c>
      <c r="H9" s="18" t="s">
        <v>1348</v>
      </c>
      <c r="I9" s="17" t="n">
        <v>3</v>
      </c>
      <c r="J9" s="21" t="n">
        <v>4.5</v>
      </c>
      <c r="K9" s="18" t="s">
        <v>1340</v>
      </c>
    </row>
    <row r="10" customFormat="false" ht="15" hidden="false" customHeight="false" outlineLevel="0" collapsed="false">
      <c r="A10" s="26" t="s">
        <v>153</v>
      </c>
      <c r="B10" s="27" t="s">
        <v>1349</v>
      </c>
      <c r="C10" s="27" t="s">
        <v>856</v>
      </c>
      <c r="D10" s="26" t="s">
        <v>109</v>
      </c>
      <c r="E10" s="27" t="s">
        <v>45</v>
      </c>
      <c r="F10" s="34" t="n">
        <v>44874</v>
      </c>
      <c r="G10" s="34" t="n">
        <v>46743</v>
      </c>
      <c r="H10" s="26" t="s">
        <v>1346</v>
      </c>
      <c r="I10" s="28" t="n">
        <v>11</v>
      </c>
      <c r="J10" s="30" t="n">
        <v>4.2</v>
      </c>
      <c r="K10" s="26" t="s">
        <v>1340</v>
      </c>
    </row>
    <row r="11" customFormat="false" ht="15" hidden="false" customHeight="false" outlineLevel="0" collapsed="false">
      <c r="A11" s="18" t="s">
        <v>154</v>
      </c>
      <c r="B11" s="20" t="s">
        <v>1350</v>
      </c>
      <c r="C11" s="20" t="s">
        <v>941</v>
      </c>
      <c r="D11" s="18" t="s">
        <v>111</v>
      </c>
      <c r="E11" s="20" t="s">
        <v>46</v>
      </c>
      <c r="F11" s="25" t="n">
        <v>45253</v>
      </c>
      <c r="G11" s="25" t="n">
        <v>46638</v>
      </c>
      <c r="H11" s="18" t="s">
        <v>1343</v>
      </c>
      <c r="I11" s="17" t="n">
        <v>14</v>
      </c>
      <c r="J11" s="21" t="n">
        <v>4.6</v>
      </c>
      <c r="K11" s="18" t="s">
        <v>1340</v>
      </c>
    </row>
    <row r="12" customFormat="false" ht="15" hidden="false" customHeight="false" outlineLevel="0" collapsed="false">
      <c r="A12" s="26" t="s">
        <v>155</v>
      </c>
      <c r="B12" s="27" t="s">
        <v>1351</v>
      </c>
      <c r="C12" s="27" t="s">
        <v>1352</v>
      </c>
      <c r="D12" s="26" t="s">
        <v>109</v>
      </c>
      <c r="E12" s="27" t="s">
        <v>46</v>
      </c>
      <c r="F12" s="34" t="n">
        <v>44964</v>
      </c>
      <c r="G12" s="34" t="n">
        <v>46683</v>
      </c>
      <c r="H12" s="26" t="s">
        <v>1343</v>
      </c>
      <c r="I12" s="28" t="n">
        <v>5</v>
      </c>
      <c r="J12" s="30" t="n">
        <v>4.2</v>
      </c>
      <c r="K12" s="26" t="s">
        <v>1340</v>
      </c>
    </row>
    <row r="13" customFormat="false" ht="15" hidden="false" customHeight="false" outlineLevel="0" collapsed="false">
      <c r="A13" s="18" t="s">
        <v>156</v>
      </c>
      <c r="B13" s="20" t="s">
        <v>1353</v>
      </c>
      <c r="C13" s="20" t="s">
        <v>575</v>
      </c>
      <c r="D13" s="18" t="s">
        <v>109</v>
      </c>
      <c r="E13" s="20" t="s">
        <v>40</v>
      </c>
      <c r="F13" s="25" t="n">
        <v>44913</v>
      </c>
      <c r="G13" s="25" t="n">
        <v>46639</v>
      </c>
      <c r="H13" s="18" t="s">
        <v>1339</v>
      </c>
      <c r="I13" s="17" t="n">
        <v>8</v>
      </c>
      <c r="J13" s="21" t="n">
        <v>4.9</v>
      </c>
      <c r="K13" s="18" t="s">
        <v>1340</v>
      </c>
    </row>
    <row r="14" customFormat="false" ht="15" hidden="false" customHeight="false" outlineLevel="0" collapsed="false">
      <c r="A14" s="26" t="s">
        <v>157</v>
      </c>
      <c r="B14" s="27" t="s">
        <v>1354</v>
      </c>
      <c r="C14" s="27" t="s">
        <v>941</v>
      </c>
      <c r="D14" s="26" t="s">
        <v>113</v>
      </c>
      <c r="E14" s="27" t="s">
        <v>47</v>
      </c>
      <c r="F14" s="34" t="n">
        <v>44565</v>
      </c>
      <c r="G14" s="34" t="n">
        <v>46467</v>
      </c>
      <c r="H14" s="26" t="s">
        <v>1348</v>
      </c>
      <c r="I14" s="28" t="n">
        <v>14</v>
      </c>
      <c r="J14" s="30" t="n">
        <v>4.5</v>
      </c>
      <c r="K14" s="26" t="s">
        <v>1340</v>
      </c>
    </row>
    <row r="15" customFormat="false" ht="15" hidden="false" customHeight="false" outlineLevel="0" collapsed="false">
      <c r="A15" s="18" t="s">
        <v>158</v>
      </c>
      <c r="B15" s="20" t="s">
        <v>1355</v>
      </c>
      <c r="C15" s="20" t="s">
        <v>705</v>
      </c>
      <c r="D15" s="18" t="s">
        <v>113</v>
      </c>
      <c r="E15" s="20" t="s">
        <v>47</v>
      </c>
      <c r="F15" s="25" t="n">
        <v>45430</v>
      </c>
      <c r="G15" s="25" t="n">
        <v>46409</v>
      </c>
      <c r="H15" s="18" t="s">
        <v>1346</v>
      </c>
      <c r="I15" s="17" t="n">
        <v>12</v>
      </c>
      <c r="J15" s="21" t="n">
        <v>4.7</v>
      </c>
      <c r="K15" s="18" t="s">
        <v>1340</v>
      </c>
    </row>
    <row r="16" customFormat="false" ht="15" hidden="false" customHeight="false" outlineLevel="0" collapsed="false">
      <c r="A16" s="26" t="s">
        <v>159</v>
      </c>
      <c r="B16" s="27" t="s">
        <v>1356</v>
      </c>
      <c r="C16" s="27" t="s">
        <v>1357</v>
      </c>
      <c r="D16" s="26" t="s">
        <v>109</v>
      </c>
      <c r="E16" s="27" t="s">
        <v>46</v>
      </c>
      <c r="F16" s="34" t="n">
        <v>44774</v>
      </c>
      <c r="G16" s="34" t="n">
        <v>46745</v>
      </c>
      <c r="H16" s="26" t="s">
        <v>1343</v>
      </c>
      <c r="I16" s="28" t="n">
        <v>10</v>
      </c>
      <c r="J16" s="30" t="n">
        <v>4.6</v>
      </c>
      <c r="K16" s="26" t="s">
        <v>1340</v>
      </c>
    </row>
    <row r="17" customFormat="false" ht="15" hidden="false" customHeight="false" outlineLevel="0" collapsed="false">
      <c r="A17" s="18" t="s">
        <v>160</v>
      </c>
      <c r="B17" s="20" t="s">
        <v>1358</v>
      </c>
      <c r="C17" s="20" t="s">
        <v>924</v>
      </c>
      <c r="D17" s="18" t="s">
        <v>109</v>
      </c>
      <c r="E17" s="20" t="s">
        <v>42</v>
      </c>
      <c r="F17" s="25" t="n">
        <v>44737</v>
      </c>
      <c r="G17" s="25" t="n">
        <v>46464</v>
      </c>
      <c r="H17" s="18" t="s">
        <v>1339</v>
      </c>
      <c r="I17" s="17" t="n">
        <v>2</v>
      </c>
      <c r="J17" s="21" t="n">
        <v>4.1</v>
      </c>
      <c r="K17" s="18" t="s">
        <v>1340</v>
      </c>
    </row>
    <row r="18" customFormat="false" ht="15" hidden="false" customHeight="false" outlineLevel="0" collapsed="false">
      <c r="A18" s="26" t="s">
        <v>161</v>
      </c>
      <c r="B18" s="27" t="s">
        <v>1359</v>
      </c>
      <c r="C18" s="27" t="s">
        <v>544</v>
      </c>
      <c r="D18" s="26" t="s">
        <v>109</v>
      </c>
      <c r="E18" s="27" t="s">
        <v>42</v>
      </c>
      <c r="F18" s="34" t="n">
        <v>44670</v>
      </c>
      <c r="G18" s="34" t="n">
        <v>46421</v>
      </c>
      <c r="H18" s="26" t="s">
        <v>1360</v>
      </c>
      <c r="I18" s="28" t="n">
        <v>3</v>
      </c>
      <c r="J18" s="30" t="n">
        <v>4.9</v>
      </c>
      <c r="K18" s="26" t="s">
        <v>1340</v>
      </c>
    </row>
    <row r="19" customFormat="false" ht="15" hidden="false" customHeight="false" outlineLevel="0" collapsed="false">
      <c r="A19" s="18" t="s">
        <v>162</v>
      </c>
      <c r="B19" s="20" t="s">
        <v>1361</v>
      </c>
      <c r="C19" s="20" t="s">
        <v>616</v>
      </c>
      <c r="D19" s="18" t="s">
        <v>111</v>
      </c>
      <c r="E19" s="20" t="s">
        <v>40</v>
      </c>
      <c r="F19" s="25" t="n">
        <v>45189</v>
      </c>
      <c r="G19" s="25" t="n">
        <v>46575</v>
      </c>
      <c r="H19" s="18" t="s">
        <v>1339</v>
      </c>
      <c r="I19" s="17" t="n">
        <v>14</v>
      </c>
      <c r="J19" s="21" t="n">
        <v>3</v>
      </c>
      <c r="K19" s="18" t="s">
        <v>1340</v>
      </c>
    </row>
    <row r="20" customFormat="false" ht="15" hidden="false" customHeight="false" outlineLevel="0" collapsed="false">
      <c r="A20" s="26" t="s">
        <v>163</v>
      </c>
      <c r="B20" s="27" t="s">
        <v>1362</v>
      </c>
      <c r="C20" s="27" t="s">
        <v>993</v>
      </c>
      <c r="D20" s="26" t="s">
        <v>109</v>
      </c>
      <c r="E20" s="27" t="s">
        <v>47</v>
      </c>
      <c r="F20" s="34" t="n">
        <v>45508</v>
      </c>
      <c r="G20" s="34" t="n">
        <v>46485</v>
      </c>
      <c r="H20" s="26" t="s">
        <v>1346</v>
      </c>
      <c r="I20" s="28" t="n">
        <v>7</v>
      </c>
      <c r="J20" s="30" t="n">
        <v>2.7</v>
      </c>
      <c r="K20" s="26" t="s">
        <v>1340</v>
      </c>
    </row>
    <row r="21" customFormat="false" ht="15" hidden="false" customHeight="false" outlineLevel="0" collapsed="false">
      <c r="A21" s="18" t="s">
        <v>164</v>
      </c>
      <c r="B21" s="20" t="s">
        <v>1363</v>
      </c>
      <c r="C21" s="20" t="s">
        <v>663</v>
      </c>
      <c r="D21" s="18" t="s">
        <v>105</v>
      </c>
      <c r="E21" s="20" t="s">
        <v>36</v>
      </c>
      <c r="F21" s="25" t="n">
        <v>44594</v>
      </c>
      <c r="G21" s="25" t="n">
        <v>46541</v>
      </c>
      <c r="H21" s="18" t="s">
        <v>1339</v>
      </c>
      <c r="I21" s="17" t="n">
        <v>5</v>
      </c>
      <c r="J21" s="21" t="n">
        <v>3.4</v>
      </c>
      <c r="K21" s="18" t="s">
        <v>1340</v>
      </c>
    </row>
    <row r="22" customFormat="false" ht="15" hidden="false" customHeight="false" outlineLevel="0" collapsed="false">
      <c r="A22" s="26" t="s">
        <v>165</v>
      </c>
      <c r="B22" s="27" t="s">
        <v>1364</v>
      </c>
      <c r="C22" s="27" t="s">
        <v>388</v>
      </c>
      <c r="D22" s="26" t="s">
        <v>113</v>
      </c>
      <c r="E22" s="27" t="s">
        <v>47</v>
      </c>
      <c r="F22" s="34" t="n">
        <v>44787</v>
      </c>
      <c r="G22" s="34" t="n">
        <v>46481</v>
      </c>
      <c r="H22" s="26" t="s">
        <v>1346</v>
      </c>
      <c r="I22" s="28" t="n">
        <v>12</v>
      </c>
      <c r="J22" s="30" t="n">
        <v>3.7</v>
      </c>
      <c r="K22" s="26" t="s">
        <v>1340</v>
      </c>
    </row>
    <row r="23" customFormat="false" ht="15" hidden="false" customHeight="false" outlineLevel="0" collapsed="false">
      <c r="A23" s="18" t="s">
        <v>166</v>
      </c>
      <c r="B23" s="20" t="s">
        <v>1365</v>
      </c>
      <c r="C23" s="20" t="s">
        <v>921</v>
      </c>
      <c r="D23" s="18" t="s">
        <v>105</v>
      </c>
      <c r="E23" s="20" t="s">
        <v>38</v>
      </c>
      <c r="F23" s="25" t="n">
        <v>44766</v>
      </c>
      <c r="G23" s="25" t="n">
        <v>46542</v>
      </c>
      <c r="H23" s="18" t="s">
        <v>1348</v>
      </c>
      <c r="I23" s="17" t="n">
        <v>5</v>
      </c>
      <c r="J23" s="21" t="n">
        <v>3.2</v>
      </c>
      <c r="K23" s="18" t="s">
        <v>1340</v>
      </c>
    </row>
    <row r="24" customFormat="false" ht="15" hidden="false" customHeight="false" outlineLevel="0" collapsed="false">
      <c r="A24" s="26" t="s">
        <v>167</v>
      </c>
      <c r="B24" s="27" t="s">
        <v>1366</v>
      </c>
      <c r="C24" s="27" t="s">
        <v>1295</v>
      </c>
      <c r="D24" s="26" t="s">
        <v>109</v>
      </c>
      <c r="E24" s="27" t="s">
        <v>47</v>
      </c>
      <c r="F24" s="34" t="n">
        <v>44607</v>
      </c>
      <c r="G24" s="34" t="n">
        <v>46634</v>
      </c>
      <c r="H24" s="26" t="s">
        <v>1346</v>
      </c>
      <c r="I24" s="28" t="n">
        <v>12</v>
      </c>
      <c r="J24" s="30" t="n">
        <v>4.8</v>
      </c>
      <c r="K24" s="26" t="s">
        <v>1340</v>
      </c>
    </row>
    <row r="25" customFormat="false" ht="15" hidden="false" customHeight="false" outlineLevel="0" collapsed="false">
      <c r="A25" s="18" t="s">
        <v>168</v>
      </c>
      <c r="B25" s="20" t="s">
        <v>1367</v>
      </c>
      <c r="C25" s="20" t="s">
        <v>440</v>
      </c>
      <c r="D25" s="18" t="s">
        <v>107</v>
      </c>
      <c r="E25" s="20" t="s">
        <v>40</v>
      </c>
      <c r="F25" s="25" t="n">
        <v>45154</v>
      </c>
      <c r="G25" s="25" t="n">
        <v>46490</v>
      </c>
      <c r="H25" s="18" t="s">
        <v>1346</v>
      </c>
      <c r="I25" s="17" t="n">
        <v>4</v>
      </c>
      <c r="J25" s="21" t="n">
        <v>3.6</v>
      </c>
      <c r="K25" s="18" t="s">
        <v>1368</v>
      </c>
    </row>
    <row r="26" customFormat="false" ht="15" hidden="false" customHeight="false" outlineLevel="0" collapsed="false">
      <c r="A26" s="26" t="s">
        <v>169</v>
      </c>
      <c r="B26" s="27" t="s">
        <v>1369</v>
      </c>
      <c r="C26" s="27" t="s">
        <v>361</v>
      </c>
      <c r="D26" s="26" t="s">
        <v>111</v>
      </c>
      <c r="E26" s="27" t="s">
        <v>44</v>
      </c>
      <c r="F26" s="34" t="n">
        <v>45284</v>
      </c>
      <c r="G26" s="34" t="n">
        <v>46652</v>
      </c>
      <c r="H26" s="26" t="s">
        <v>1360</v>
      </c>
      <c r="I26" s="28" t="n">
        <v>4</v>
      </c>
      <c r="J26" s="30" t="n">
        <v>2.8</v>
      </c>
      <c r="K26" s="26" t="s">
        <v>1340</v>
      </c>
    </row>
    <row r="27" customFormat="false" ht="15" hidden="false" customHeight="false" outlineLevel="0" collapsed="false">
      <c r="A27" s="18" t="s">
        <v>170</v>
      </c>
      <c r="B27" s="20" t="s">
        <v>1370</v>
      </c>
      <c r="C27" s="20" t="s">
        <v>828</v>
      </c>
      <c r="D27" s="18" t="s">
        <v>113</v>
      </c>
      <c r="E27" s="20" t="s">
        <v>36</v>
      </c>
      <c r="F27" s="25" t="n">
        <v>45445</v>
      </c>
      <c r="G27" s="25" t="n">
        <v>46406</v>
      </c>
      <c r="H27" s="18" t="s">
        <v>1360</v>
      </c>
      <c r="I27" s="17" t="n">
        <v>10</v>
      </c>
      <c r="J27" s="21" t="n">
        <v>4.8</v>
      </c>
      <c r="K27" s="18" t="s">
        <v>1340</v>
      </c>
    </row>
    <row r="28" customFormat="false" ht="15" hidden="false" customHeight="false" outlineLevel="0" collapsed="false">
      <c r="A28" s="26" t="s">
        <v>171</v>
      </c>
      <c r="B28" s="27" t="s">
        <v>1371</v>
      </c>
      <c r="C28" s="27" t="s">
        <v>819</v>
      </c>
      <c r="D28" s="26" t="s">
        <v>105</v>
      </c>
      <c r="E28" s="27" t="s">
        <v>40</v>
      </c>
      <c r="F28" s="34" t="n">
        <v>44837</v>
      </c>
      <c r="G28" s="34" t="n">
        <v>46699</v>
      </c>
      <c r="H28" s="26" t="s">
        <v>1360</v>
      </c>
      <c r="I28" s="28" t="n">
        <v>3</v>
      </c>
      <c r="J28" s="30" t="n">
        <v>4.9</v>
      </c>
      <c r="K28" s="26" t="s">
        <v>1340</v>
      </c>
    </row>
    <row r="29" customFormat="false" ht="15" hidden="false" customHeight="false" outlineLevel="0" collapsed="false">
      <c r="A29" s="18" t="s">
        <v>172</v>
      </c>
      <c r="B29" s="20" t="s">
        <v>1372</v>
      </c>
      <c r="C29" s="20" t="s">
        <v>828</v>
      </c>
      <c r="D29" s="18" t="s">
        <v>105</v>
      </c>
      <c r="E29" s="20" t="s">
        <v>46</v>
      </c>
      <c r="F29" s="25" t="n">
        <v>45584</v>
      </c>
      <c r="G29" s="25" t="n">
        <v>46641</v>
      </c>
      <c r="H29" s="18" t="s">
        <v>1343</v>
      </c>
      <c r="I29" s="17" t="n">
        <v>5</v>
      </c>
      <c r="J29" s="21" t="n">
        <v>4.3</v>
      </c>
      <c r="K29" s="18" t="s">
        <v>1340</v>
      </c>
    </row>
  </sheetData>
  <mergeCells count="2">
    <mergeCell ref="A1:K1"/>
    <mergeCell ref="A2:K2"/>
  </mergeCells>
  <conditionalFormatting sqref="K5:K29">
    <cfRule type="cellIs" priority="2" operator="equal" dxfId="2">
      <formula>"Active"</formula>
    </cfRule>
    <cfRule type="cellIs" priority="3" operator="equal" dxfId="1">
      <formula>"On Hold"</formula>
    </cfRule>
    <cfRule type="cellIs" priority="4" operator="equal" dxfId="0">
      <formula>"Inactive"</formula>
    </cfRule>
  </conditionalFormatting>
  <dataValidations count="3">
    <dataValidation allowBlank="true" errorStyle="stop" showDropDown="false" showErrorMessage="false" showInputMessage="false" sqref="H5:H29" type="list">
      <formula1>"Net 15,Net 30,Net 45,Net 60,Advance"</formula1>
    </dataValidation>
    <dataValidation allowBlank="true" errorStyle="stop" showDropDown="false" showErrorMessage="false" showInputMessage="false" sqref="K5:K29" type="list">
      <formula1>"Active,Inactive,On Hold"</formula1>
    </dataValidation>
    <dataValidation allowBlank="true" errorStyle="stop" showDropDown="false" showErrorMessage="false" showInputMessage="false" sqref="D5:D29" type="list">
      <formula1>"North,South,East,West,Central"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1373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1374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9.75" hidden="false" customHeight="true" outlineLevel="0" collapsed="false"/>
    <row r="4" customFormat="false" ht="24" hidden="false" customHeight="true" outlineLevel="0" collapsed="false">
      <c r="A4" s="8" t="s">
        <v>86</v>
      </c>
      <c r="B4" s="14" t="s">
        <v>87</v>
      </c>
      <c r="C4" s="14" t="s">
        <v>183</v>
      </c>
      <c r="D4" s="14" t="s">
        <v>1375</v>
      </c>
      <c r="E4" s="8" t="s">
        <v>189</v>
      </c>
      <c r="F4" s="8" t="s">
        <v>190</v>
      </c>
      <c r="G4" s="8" t="s">
        <v>1376</v>
      </c>
      <c r="H4" s="8" t="s">
        <v>193</v>
      </c>
      <c r="I4" s="8" t="s">
        <v>139</v>
      </c>
      <c r="J4" s="8" t="s">
        <v>1377</v>
      </c>
      <c r="K4" s="8" t="s">
        <v>1378</v>
      </c>
    </row>
    <row r="5" customFormat="false" ht="15" hidden="false" customHeight="false" outlineLevel="0" collapsed="false">
      <c r="A5" s="18" t="s">
        <v>195</v>
      </c>
      <c r="B5" s="20" t="s">
        <v>1379</v>
      </c>
      <c r="C5" s="20" t="s">
        <v>36</v>
      </c>
      <c r="D5" s="20" t="s">
        <v>1380</v>
      </c>
      <c r="E5" s="16" t="n">
        <v>2345.85</v>
      </c>
      <c r="F5" s="16" t="n">
        <v>2912.4</v>
      </c>
      <c r="G5" s="16" t="n">
        <f aca="false">F5-E5</f>
        <v>566.55</v>
      </c>
      <c r="H5" s="19" t="n">
        <f aca="false">IFERROR(G5/F5,0)</f>
        <v>0.194530284301607</v>
      </c>
      <c r="I5" s="18" t="s">
        <v>148</v>
      </c>
      <c r="J5" s="17" t="n">
        <v>55</v>
      </c>
      <c r="K5" s="18" t="s">
        <v>1340</v>
      </c>
    </row>
    <row r="6" customFormat="false" ht="15" hidden="false" customHeight="false" outlineLevel="0" collapsed="false">
      <c r="A6" s="26" t="s">
        <v>196</v>
      </c>
      <c r="B6" s="27" t="s">
        <v>1381</v>
      </c>
      <c r="C6" s="27" t="s">
        <v>38</v>
      </c>
      <c r="D6" s="27" t="s">
        <v>1382</v>
      </c>
      <c r="E6" s="29" t="n">
        <v>7961.45</v>
      </c>
      <c r="F6" s="29" t="n">
        <v>9429.37</v>
      </c>
      <c r="G6" s="29" t="n">
        <f aca="false">F6-E6</f>
        <v>1467.92</v>
      </c>
      <c r="H6" s="31" t="n">
        <f aca="false">IFERROR(G6/F6,0)</f>
        <v>0.15567529962235</v>
      </c>
      <c r="I6" s="26" t="s">
        <v>149</v>
      </c>
      <c r="J6" s="28" t="n">
        <v>42</v>
      </c>
      <c r="K6" s="26" t="s">
        <v>1340</v>
      </c>
    </row>
    <row r="7" customFormat="false" ht="15" hidden="false" customHeight="false" outlineLevel="0" collapsed="false">
      <c r="A7" s="18" t="s">
        <v>197</v>
      </c>
      <c r="B7" s="20" t="s">
        <v>1383</v>
      </c>
      <c r="C7" s="20" t="s">
        <v>40</v>
      </c>
      <c r="D7" s="20" t="s">
        <v>1384</v>
      </c>
      <c r="E7" s="16" t="n">
        <v>1229.99</v>
      </c>
      <c r="F7" s="16" t="n">
        <v>1653.15</v>
      </c>
      <c r="G7" s="16" t="n">
        <f aca="false">F7-E7</f>
        <v>423.16</v>
      </c>
      <c r="H7" s="19" t="n">
        <f aca="false">IFERROR(G7/F7,0)</f>
        <v>0.255971932371533</v>
      </c>
      <c r="I7" s="18" t="s">
        <v>150</v>
      </c>
      <c r="J7" s="17" t="n">
        <v>62</v>
      </c>
      <c r="K7" s="18" t="s">
        <v>1340</v>
      </c>
    </row>
    <row r="8" customFormat="false" ht="15" hidden="false" customHeight="false" outlineLevel="0" collapsed="false">
      <c r="A8" s="26" t="s">
        <v>198</v>
      </c>
      <c r="B8" s="27" t="s">
        <v>1385</v>
      </c>
      <c r="C8" s="27" t="s">
        <v>42</v>
      </c>
      <c r="D8" s="27" t="s">
        <v>1386</v>
      </c>
      <c r="E8" s="29" t="n">
        <v>3791.99</v>
      </c>
      <c r="F8" s="29" t="n">
        <v>5442.69</v>
      </c>
      <c r="G8" s="29" t="n">
        <f aca="false">F8-E8</f>
        <v>1650.7</v>
      </c>
      <c r="H8" s="31" t="n">
        <f aca="false">IFERROR(G8/F8,0)</f>
        <v>0.30328752877713</v>
      </c>
      <c r="I8" s="26" t="s">
        <v>151</v>
      </c>
      <c r="J8" s="28" t="n">
        <v>53</v>
      </c>
      <c r="K8" s="26" t="s">
        <v>1340</v>
      </c>
    </row>
    <row r="9" customFormat="false" ht="15" hidden="false" customHeight="false" outlineLevel="0" collapsed="false">
      <c r="A9" s="18" t="s">
        <v>199</v>
      </c>
      <c r="B9" s="20" t="s">
        <v>1387</v>
      </c>
      <c r="C9" s="20" t="s">
        <v>44</v>
      </c>
      <c r="D9" s="20" t="s">
        <v>1382</v>
      </c>
      <c r="E9" s="16" t="n">
        <v>988.05</v>
      </c>
      <c r="F9" s="16" t="n">
        <v>1573.69</v>
      </c>
      <c r="G9" s="16" t="n">
        <f aca="false">F9-E9</f>
        <v>585.64</v>
      </c>
      <c r="H9" s="19" t="n">
        <f aca="false">IFERROR(G9/F9,0)</f>
        <v>0.372144450304698</v>
      </c>
      <c r="I9" s="18" t="s">
        <v>152</v>
      </c>
      <c r="J9" s="17" t="n">
        <v>28</v>
      </c>
      <c r="K9" s="18" t="s">
        <v>1340</v>
      </c>
    </row>
    <row r="10" customFormat="false" ht="15" hidden="false" customHeight="false" outlineLevel="0" collapsed="false">
      <c r="A10" s="26" t="s">
        <v>200</v>
      </c>
      <c r="B10" s="27" t="s">
        <v>1388</v>
      </c>
      <c r="C10" s="27" t="s">
        <v>45</v>
      </c>
      <c r="D10" s="27" t="s">
        <v>1389</v>
      </c>
      <c r="E10" s="29" t="n">
        <v>1422.65</v>
      </c>
      <c r="F10" s="29" t="n">
        <v>1867.12</v>
      </c>
      <c r="G10" s="29" t="n">
        <f aca="false">F10-E10</f>
        <v>444.47</v>
      </c>
      <c r="H10" s="31" t="n">
        <f aca="false">IFERROR(G10/F10,0)</f>
        <v>0.238051116157505</v>
      </c>
      <c r="I10" s="26" t="s">
        <v>153</v>
      </c>
      <c r="J10" s="28" t="n">
        <v>41</v>
      </c>
      <c r="K10" s="26" t="s">
        <v>1340</v>
      </c>
    </row>
    <row r="11" customFormat="false" ht="15" hidden="false" customHeight="false" outlineLevel="0" collapsed="false">
      <c r="A11" s="18" t="s">
        <v>201</v>
      </c>
      <c r="B11" s="20" t="s">
        <v>1390</v>
      </c>
      <c r="C11" s="20" t="s">
        <v>46</v>
      </c>
      <c r="D11" s="20" t="s">
        <v>1386</v>
      </c>
      <c r="E11" s="16" t="n">
        <v>7267.41</v>
      </c>
      <c r="F11" s="16" t="n">
        <v>10301.86</v>
      </c>
      <c r="G11" s="16" t="n">
        <f aca="false">F11-E11</f>
        <v>3034.45</v>
      </c>
      <c r="H11" s="19" t="n">
        <f aca="false">IFERROR(G11/F11,0)</f>
        <v>0.294553604883002</v>
      </c>
      <c r="I11" s="18" t="s">
        <v>154</v>
      </c>
      <c r="J11" s="17" t="n">
        <v>26</v>
      </c>
      <c r="K11" s="18" t="s">
        <v>1340</v>
      </c>
    </row>
    <row r="12" customFormat="false" ht="15" hidden="false" customHeight="false" outlineLevel="0" collapsed="false">
      <c r="A12" s="26" t="s">
        <v>202</v>
      </c>
      <c r="B12" s="27" t="s">
        <v>1391</v>
      </c>
      <c r="C12" s="27" t="s">
        <v>47</v>
      </c>
      <c r="D12" s="27" t="s">
        <v>1392</v>
      </c>
      <c r="E12" s="29" t="n">
        <v>7069.94</v>
      </c>
      <c r="F12" s="29" t="n">
        <v>8489.02</v>
      </c>
      <c r="G12" s="29" t="n">
        <f aca="false">F12-E12</f>
        <v>1419.08</v>
      </c>
      <c r="H12" s="31" t="n">
        <f aca="false">IFERROR(G12/F12,0)</f>
        <v>0.167166528056242</v>
      </c>
      <c r="I12" s="26" t="s">
        <v>155</v>
      </c>
      <c r="J12" s="28" t="n">
        <v>48</v>
      </c>
      <c r="K12" s="26" t="s">
        <v>1340</v>
      </c>
    </row>
    <row r="13" customFormat="false" ht="15" hidden="false" customHeight="false" outlineLevel="0" collapsed="false">
      <c r="A13" s="18" t="s">
        <v>203</v>
      </c>
      <c r="B13" s="20" t="s">
        <v>1393</v>
      </c>
      <c r="C13" s="20" t="s">
        <v>36</v>
      </c>
      <c r="D13" s="20" t="s">
        <v>1382</v>
      </c>
      <c r="E13" s="16" t="n">
        <v>3822.58</v>
      </c>
      <c r="F13" s="16" t="n">
        <v>5778.46</v>
      </c>
      <c r="G13" s="16" t="n">
        <f aca="false">F13-E13</f>
        <v>1955.88</v>
      </c>
      <c r="H13" s="19" t="n">
        <f aca="false">IFERROR(G13/F13,0)</f>
        <v>0.338477725899288</v>
      </c>
      <c r="I13" s="18" t="s">
        <v>156</v>
      </c>
      <c r="J13" s="17" t="n">
        <v>24</v>
      </c>
      <c r="K13" s="18" t="s">
        <v>1394</v>
      </c>
    </row>
    <row r="14" customFormat="false" ht="15" hidden="false" customHeight="false" outlineLevel="0" collapsed="false">
      <c r="A14" s="26" t="s">
        <v>204</v>
      </c>
      <c r="B14" s="27" t="s">
        <v>1395</v>
      </c>
      <c r="C14" s="27" t="s">
        <v>38</v>
      </c>
      <c r="D14" s="27" t="s">
        <v>1389</v>
      </c>
      <c r="E14" s="29" t="n">
        <v>5910.74</v>
      </c>
      <c r="F14" s="29" t="n">
        <v>7388.75</v>
      </c>
      <c r="G14" s="29" t="n">
        <f aca="false">F14-E14</f>
        <v>1478.01</v>
      </c>
      <c r="H14" s="31" t="n">
        <f aca="false">IFERROR(G14/F14,0)</f>
        <v>0.200035188631365</v>
      </c>
      <c r="I14" s="26" t="s">
        <v>157</v>
      </c>
      <c r="J14" s="28" t="n">
        <v>33</v>
      </c>
      <c r="K14" s="26" t="s">
        <v>1340</v>
      </c>
    </row>
    <row r="15" customFormat="false" ht="15" hidden="false" customHeight="false" outlineLevel="0" collapsed="false">
      <c r="A15" s="18" t="s">
        <v>205</v>
      </c>
      <c r="B15" s="20" t="s">
        <v>1396</v>
      </c>
      <c r="C15" s="20" t="s">
        <v>40</v>
      </c>
      <c r="D15" s="20" t="s">
        <v>1389</v>
      </c>
      <c r="E15" s="16" t="n">
        <v>470.53</v>
      </c>
      <c r="F15" s="16" t="n">
        <v>635.87</v>
      </c>
      <c r="G15" s="16" t="n">
        <f aca="false">F15-E15</f>
        <v>165.34</v>
      </c>
      <c r="H15" s="19" t="n">
        <f aca="false">IFERROR(G15/F15,0)</f>
        <v>0.260021702549263</v>
      </c>
      <c r="I15" s="18" t="s">
        <v>158</v>
      </c>
      <c r="J15" s="17" t="n">
        <v>41</v>
      </c>
      <c r="K15" s="18" t="s">
        <v>1340</v>
      </c>
    </row>
    <row r="16" customFormat="false" ht="15" hidden="false" customHeight="false" outlineLevel="0" collapsed="false">
      <c r="A16" s="26" t="s">
        <v>206</v>
      </c>
      <c r="B16" s="27" t="s">
        <v>1397</v>
      </c>
      <c r="C16" s="27" t="s">
        <v>42</v>
      </c>
      <c r="D16" s="27" t="s">
        <v>1392</v>
      </c>
      <c r="E16" s="29" t="n">
        <v>5708.9</v>
      </c>
      <c r="F16" s="29" t="n">
        <v>7685.49</v>
      </c>
      <c r="G16" s="29" t="n">
        <f aca="false">F16-E16</f>
        <v>1976.59</v>
      </c>
      <c r="H16" s="31" t="n">
        <f aca="false">IFERROR(G16/F16,0)</f>
        <v>0.257184642748868</v>
      </c>
      <c r="I16" s="26" t="s">
        <v>159</v>
      </c>
      <c r="J16" s="28" t="n">
        <v>45</v>
      </c>
      <c r="K16" s="26" t="s">
        <v>1340</v>
      </c>
    </row>
    <row r="17" customFormat="false" ht="15" hidden="false" customHeight="false" outlineLevel="0" collapsed="false">
      <c r="A17" s="18" t="s">
        <v>207</v>
      </c>
      <c r="B17" s="20" t="s">
        <v>1398</v>
      </c>
      <c r="C17" s="20" t="s">
        <v>44</v>
      </c>
      <c r="D17" s="20" t="s">
        <v>1386</v>
      </c>
      <c r="E17" s="16" t="n">
        <v>8300.61</v>
      </c>
      <c r="F17" s="16" t="n">
        <v>12957.77</v>
      </c>
      <c r="G17" s="16" t="n">
        <f aca="false">F17-E17</f>
        <v>4657.16</v>
      </c>
      <c r="H17" s="19" t="n">
        <f aca="false">IFERROR(G17/F17,0)</f>
        <v>0.359410608461178</v>
      </c>
      <c r="I17" s="18" t="s">
        <v>160</v>
      </c>
      <c r="J17" s="17" t="n">
        <v>37</v>
      </c>
      <c r="K17" s="18" t="s">
        <v>1340</v>
      </c>
    </row>
    <row r="18" customFormat="false" ht="15" hidden="false" customHeight="false" outlineLevel="0" collapsed="false">
      <c r="A18" s="26" t="s">
        <v>208</v>
      </c>
      <c r="B18" s="27" t="s">
        <v>1399</v>
      </c>
      <c r="C18" s="27" t="s">
        <v>45</v>
      </c>
      <c r="D18" s="27" t="s">
        <v>1400</v>
      </c>
      <c r="E18" s="29" t="n">
        <v>2903.71</v>
      </c>
      <c r="F18" s="29" t="n">
        <v>4696.7</v>
      </c>
      <c r="G18" s="29" t="n">
        <f aca="false">F18-E18</f>
        <v>1792.99</v>
      </c>
      <c r="H18" s="31" t="n">
        <f aca="false">IFERROR(G18/F18,0)</f>
        <v>0.381755274980305</v>
      </c>
      <c r="I18" s="26" t="s">
        <v>161</v>
      </c>
      <c r="J18" s="28" t="n">
        <v>35</v>
      </c>
      <c r="K18" s="26" t="s">
        <v>1340</v>
      </c>
    </row>
    <row r="19" customFormat="false" ht="15" hidden="false" customHeight="false" outlineLevel="0" collapsed="false">
      <c r="A19" s="18" t="s">
        <v>209</v>
      </c>
      <c r="B19" s="20" t="s">
        <v>1401</v>
      </c>
      <c r="C19" s="20" t="s">
        <v>46</v>
      </c>
      <c r="D19" s="20" t="s">
        <v>1384</v>
      </c>
      <c r="E19" s="16" t="n">
        <v>1025.84</v>
      </c>
      <c r="F19" s="16" t="n">
        <v>1631</v>
      </c>
      <c r="G19" s="16" t="n">
        <f aca="false">F19-E19</f>
        <v>605.16</v>
      </c>
      <c r="H19" s="19" t="n">
        <f aca="false">IFERROR(G19/F19,0)</f>
        <v>0.371036174126303</v>
      </c>
      <c r="I19" s="18" t="s">
        <v>162</v>
      </c>
      <c r="J19" s="17" t="n">
        <v>40</v>
      </c>
      <c r="K19" s="18" t="s">
        <v>1340</v>
      </c>
    </row>
    <row r="20" customFormat="false" ht="15" hidden="false" customHeight="false" outlineLevel="0" collapsed="false">
      <c r="A20" s="26" t="s">
        <v>210</v>
      </c>
      <c r="B20" s="27" t="s">
        <v>1402</v>
      </c>
      <c r="C20" s="27" t="s">
        <v>47</v>
      </c>
      <c r="D20" s="27" t="s">
        <v>1384</v>
      </c>
      <c r="E20" s="29" t="n">
        <v>3977.34</v>
      </c>
      <c r="F20" s="29" t="n">
        <v>5263.77</v>
      </c>
      <c r="G20" s="29" t="n">
        <f aca="false">F20-E20</f>
        <v>1286.43</v>
      </c>
      <c r="H20" s="31" t="n">
        <f aca="false">IFERROR(G20/F20,0)</f>
        <v>0.244393277061878</v>
      </c>
      <c r="I20" s="26" t="s">
        <v>163</v>
      </c>
      <c r="J20" s="28" t="n">
        <v>18</v>
      </c>
      <c r="K20" s="26" t="s">
        <v>1340</v>
      </c>
    </row>
    <row r="21" customFormat="false" ht="15" hidden="false" customHeight="false" outlineLevel="0" collapsed="false">
      <c r="A21" s="18" t="s">
        <v>211</v>
      </c>
      <c r="B21" s="20" t="s">
        <v>1403</v>
      </c>
      <c r="C21" s="20" t="s">
        <v>36</v>
      </c>
      <c r="D21" s="20" t="s">
        <v>1400</v>
      </c>
      <c r="E21" s="16" t="n">
        <v>3459.14</v>
      </c>
      <c r="F21" s="16" t="n">
        <v>4534.74</v>
      </c>
      <c r="G21" s="16" t="n">
        <f aca="false">F21-E21</f>
        <v>1075.6</v>
      </c>
      <c r="H21" s="19" t="n">
        <f aca="false">IFERROR(G21/F21,0)</f>
        <v>0.237191106877131</v>
      </c>
      <c r="I21" s="18" t="s">
        <v>164</v>
      </c>
      <c r="J21" s="17" t="n">
        <v>59</v>
      </c>
      <c r="K21" s="18" t="s">
        <v>1340</v>
      </c>
    </row>
    <row r="22" customFormat="false" ht="15" hidden="false" customHeight="false" outlineLevel="0" collapsed="false">
      <c r="A22" s="26" t="s">
        <v>212</v>
      </c>
      <c r="B22" s="27" t="s">
        <v>1404</v>
      </c>
      <c r="C22" s="27" t="s">
        <v>38</v>
      </c>
      <c r="D22" s="27" t="s">
        <v>1386</v>
      </c>
      <c r="E22" s="29" t="n">
        <v>3469.3</v>
      </c>
      <c r="F22" s="29" t="n">
        <v>5693.61</v>
      </c>
      <c r="G22" s="29" t="n">
        <f aca="false">F22-E22</f>
        <v>2224.31</v>
      </c>
      <c r="H22" s="31" t="n">
        <f aca="false">IFERROR(G22/F22,0)</f>
        <v>0.390667783708403</v>
      </c>
      <c r="I22" s="26" t="s">
        <v>165</v>
      </c>
      <c r="J22" s="28" t="n">
        <v>29</v>
      </c>
      <c r="K22" s="26" t="s">
        <v>1340</v>
      </c>
    </row>
    <row r="23" customFormat="false" ht="15" hidden="false" customHeight="false" outlineLevel="0" collapsed="false">
      <c r="A23" s="18" t="s">
        <v>213</v>
      </c>
      <c r="B23" s="20" t="s">
        <v>1405</v>
      </c>
      <c r="C23" s="20" t="s">
        <v>40</v>
      </c>
      <c r="D23" s="20" t="s">
        <v>1386</v>
      </c>
      <c r="E23" s="16" t="n">
        <v>2308.98</v>
      </c>
      <c r="F23" s="16" t="n">
        <v>3354.66</v>
      </c>
      <c r="G23" s="16" t="n">
        <f aca="false">F23-E23</f>
        <v>1045.68</v>
      </c>
      <c r="H23" s="19" t="n">
        <f aca="false">IFERROR(G23/F23,0)</f>
        <v>0.311709681458031</v>
      </c>
      <c r="I23" s="18" t="s">
        <v>166</v>
      </c>
      <c r="J23" s="17" t="n">
        <v>28</v>
      </c>
      <c r="K23" s="18" t="s">
        <v>1340</v>
      </c>
    </row>
    <row r="24" customFormat="false" ht="15" hidden="false" customHeight="false" outlineLevel="0" collapsed="false">
      <c r="A24" s="26" t="s">
        <v>214</v>
      </c>
      <c r="B24" s="27" t="s">
        <v>1406</v>
      </c>
      <c r="C24" s="27" t="s">
        <v>42</v>
      </c>
      <c r="D24" s="27" t="s">
        <v>1382</v>
      </c>
      <c r="E24" s="29" t="n">
        <v>3016.86</v>
      </c>
      <c r="F24" s="29" t="n">
        <v>4674.99</v>
      </c>
      <c r="G24" s="29" t="n">
        <f aca="false">F24-E24</f>
        <v>1658.13</v>
      </c>
      <c r="H24" s="31" t="n">
        <f aca="false">IFERROR(G24/F24,0)</f>
        <v>0.35468097257962</v>
      </c>
      <c r="I24" s="26" t="s">
        <v>167</v>
      </c>
      <c r="J24" s="28" t="n">
        <v>64</v>
      </c>
      <c r="K24" s="26" t="s">
        <v>1340</v>
      </c>
    </row>
    <row r="25" customFormat="false" ht="15" hidden="false" customHeight="false" outlineLevel="0" collapsed="false">
      <c r="A25" s="18" t="s">
        <v>215</v>
      </c>
      <c r="B25" s="20" t="s">
        <v>1407</v>
      </c>
      <c r="C25" s="20" t="s">
        <v>44</v>
      </c>
      <c r="D25" s="20" t="s">
        <v>1386</v>
      </c>
      <c r="E25" s="16" t="n">
        <v>1712.86</v>
      </c>
      <c r="F25" s="16" t="n">
        <v>2056.91</v>
      </c>
      <c r="G25" s="16" t="n">
        <f aca="false">F25-E25</f>
        <v>344.05</v>
      </c>
      <c r="H25" s="19" t="n">
        <f aca="false">IFERROR(G25/F25,0)</f>
        <v>0.167265461298744</v>
      </c>
      <c r="I25" s="18" t="s">
        <v>168</v>
      </c>
      <c r="J25" s="17" t="n">
        <v>40</v>
      </c>
      <c r="K25" s="18" t="s">
        <v>1340</v>
      </c>
    </row>
    <row r="26" customFormat="false" ht="15" hidden="false" customHeight="false" outlineLevel="0" collapsed="false">
      <c r="A26" s="26" t="s">
        <v>216</v>
      </c>
      <c r="B26" s="27" t="s">
        <v>1408</v>
      </c>
      <c r="C26" s="27" t="s">
        <v>45</v>
      </c>
      <c r="D26" s="27" t="s">
        <v>1389</v>
      </c>
      <c r="E26" s="29" t="n">
        <v>706.38</v>
      </c>
      <c r="F26" s="29" t="n">
        <v>1054.05</v>
      </c>
      <c r="G26" s="29" t="n">
        <f aca="false">F26-E26</f>
        <v>347.67</v>
      </c>
      <c r="H26" s="31" t="n">
        <f aca="false">IFERROR(G26/F26,0)</f>
        <v>0.329842037853992</v>
      </c>
      <c r="I26" s="26" t="s">
        <v>169</v>
      </c>
      <c r="J26" s="28" t="n">
        <v>30</v>
      </c>
      <c r="K26" s="26" t="s">
        <v>1340</v>
      </c>
    </row>
    <row r="27" customFormat="false" ht="15" hidden="false" customHeight="false" outlineLevel="0" collapsed="false">
      <c r="A27" s="18" t="s">
        <v>217</v>
      </c>
      <c r="B27" s="20" t="s">
        <v>1409</v>
      </c>
      <c r="C27" s="20" t="s">
        <v>46</v>
      </c>
      <c r="D27" s="20" t="s">
        <v>1389</v>
      </c>
      <c r="E27" s="16" t="n">
        <v>2636.7</v>
      </c>
      <c r="F27" s="16" t="n">
        <v>3494.59</v>
      </c>
      <c r="G27" s="16" t="n">
        <f aca="false">F27-E27</f>
        <v>857.89</v>
      </c>
      <c r="H27" s="19" t="n">
        <f aca="false">IFERROR(G27/F27,0)</f>
        <v>0.245490887343007</v>
      </c>
      <c r="I27" s="18" t="s">
        <v>170</v>
      </c>
      <c r="J27" s="17" t="n">
        <v>66</v>
      </c>
      <c r="K27" s="18" t="s">
        <v>1340</v>
      </c>
    </row>
    <row r="28" customFormat="false" ht="15" hidden="false" customHeight="false" outlineLevel="0" collapsed="false">
      <c r="A28" s="26" t="s">
        <v>218</v>
      </c>
      <c r="B28" s="27" t="s">
        <v>1410</v>
      </c>
      <c r="C28" s="27" t="s">
        <v>47</v>
      </c>
      <c r="D28" s="27" t="s">
        <v>1392</v>
      </c>
      <c r="E28" s="29" t="n">
        <v>4765.98</v>
      </c>
      <c r="F28" s="29" t="n">
        <v>6053.58</v>
      </c>
      <c r="G28" s="29" t="n">
        <f aca="false">F28-E28</f>
        <v>1287.6</v>
      </c>
      <c r="H28" s="31" t="n">
        <f aca="false">IFERROR(G28/F28,0)</f>
        <v>0.212700583786784</v>
      </c>
      <c r="I28" s="26" t="s">
        <v>171</v>
      </c>
      <c r="J28" s="28" t="n">
        <v>53</v>
      </c>
      <c r="K28" s="26" t="s">
        <v>1340</v>
      </c>
    </row>
    <row r="29" customFormat="false" ht="15" hidden="false" customHeight="false" outlineLevel="0" collapsed="false">
      <c r="A29" s="18" t="s">
        <v>219</v>
      </c>
      <c r="B29" s="20" t="s">
        <v>1411</v>
      </c>
      <c r="C29" s="20" t="s">
        <v>36</v>
      </c>
      <c r="D29" s="20" t="s">
        <v>1412</v>
      </c>
      <c r="E29" s="16" t="n">
        <v>7106.62</v>
      </c>
      <c r="F29" s="16" t="n">
        <v>9400.79</v>
      </c>
      <c r="G29" s="16" t="n">
        <f aca="false">F29-E29</f>
        <v>2294.17</v>
      </c>
      <c r="H29" s="19" t="n">
        <f aca="false">IFERROR(G29/F29,0)</f>
        <v>0.244040128542389</v>
      </c>
      <c r="I29" s="18" t="s">
        <v>172</v>
      </c>
      <c r="J29" s="17" t="n">
        <v>56</v>
      </c>
      <c r="K29" s="18" t="s">
        <v>1340</v>
      </c>
    </row>
    <row r="30" customFormat="false" ht="15" hidden="false" customHeight="false" outlineLevel="0" collapsed="false">
      <c r="A30" s="26" t="s">
        <v>220</v>
      </c>
      <c r="B30" s="27" t="s">
        <v>1413</v>
      </c>
      <c r="C30" s="27" t="s">
        <v>38</v>
      </c>
      <c r="D30" s="27" t="s">
        <v>1392</v>
      </c>
      <c r="E30" s="29" t="n">
        <v>3825.3</v>
      </c>
      <c r="F30" s="29" t="n">
        <v>4898.07</v>
      </c>
      <c r="G30" s="29" t="n">
        <f aca="false">F30-E30</f>
        <v>1072.77</v>
      </c>
      <c r="H30" s="31" t="n">
        <f aca="false">IFERROR(G30/F30,0)</f>
        <v>0.219018919696942</v>
      </c>
      <c r="I30" s="26" t="s">
        <v>148</v>
      </c>
      <c r="J30" s="28" t="n">
        <v>25</v>
      </c>
      <c r="K30" s="26" t="s">
        <v>1340</v>
      </c>
    </row>
    <row r="31" customFormat="false" ht="15" hidden="false" customHeight="false" outlineLevel="0" collapsed="false">
      <c r="A31" s="18" t="s">
        <v>221</v>
      </c>
      <c r="B31" s="20" t="s">
        <v>1414</v>
      </c>
      <c r="C31" s="20" t="s">
        <v>40</v>
      </c>
      <c r="D31" s="20" t="s">
        <v>1384</v>
      </c>
      <c r="E31" s="16" t="n">
        <v>5683.1</v>
      </c>
      <c r="F31" s="16" t="n">
        <v>8360.14</v>
      </c>
      <c r="G31" s="16" t="n">
        <f aca="false">F31-E31</f>
        <v>2677.04</v>
      </c>
      <c r="H31" s="19" t="n">
        <f aca="false">IFERROR(G31/F31,0)</f>
        <v>0.320214733246094</v>
      </c>
      <c r="I31" s="18" t="s">
        <v>149</v>
      </c>
      <c r="J31" s="17" t="n">
        <v>54</v>
      </c>
      <c r="K31" s="18" t="s">
        <v>1340</v>
      </c>
    </row>
    <row r="32" customFormat="false" ht="15" hidden="false" customHeight="false" outlineLevel="0" collapsed="false">
      <c r="A32" s="26" t="s">
        <v>222</v>
      </c>
      <c r="B32" s="27" t="s">
        <v>1415</v>
      </c>
      <c r="C32" s="27" t="s">
        <v>42</v>
      </c>
      <c r="D32" s="27" t="s">
        <v>1380</v>
      </c>
      <c r="E32" s="29" t="n">
        <v>1788.71</v>
      </c>
      <c r="F32" s="29" t="n">
        <v>2131.21</v>
      </c>
      <c r="G32" s="29" t="n">
        <f aca="false">F32-E32</f>
        <v>342.5</v>
      </c>
      <c r="H32" s="31" t="n">
        <f aca="false">IFERROR(G32/F32,0)</f>
        <v>0.160706828515257</v>
      </c>
      <c r="I32" s="26" t="s">
        <v>150</v>
      </c>
      <c r="J32" s="28" t="n">
        <v>24</v>
      </c>
      <c r="K32" s="26" t="s">
        <v>1340</v>
      </c>
    </row>
    <row r="33" customFormat="false" ht="15" hidden="false" customHeight="false" outlineLevel="0" collapsed="false">
      <c r="A33" s="18" t="s">
        <v>223</v>
      </c>
      <c r="B33" s="20" t="s">
        <v>1416</v>
      </c>
      <c r="C33" s="20" t="s">
        <v>44</v>
      </c>
      <c r="D33" s="20" t="s">
        <v>1380</v>
      </c>
      <c r="E33" s="16" t="n">
        <v>7545.83</v>
      </c>
      <c r="F33" s="16" t="n">
        <v>10945.72</v>
      </c>
      <c r="G33" s="16" t="n">
        <f aca="false">F33-E33</f>
        <v>3399.89</v>
      </c>
      <c r="H33" s="19" t="n">
        <f aca="false">IFERROR(G33/F33,0)</f>
        <v>0.310613646247118</v>
      </c>
      <c r="I33" s="18" t="s">
        <v>151</v>
      </c>
      <c r="J33" s="17" t="n">
        <v>66</v>
      </c>
      <c r="K33" s="18" t="s">
        <v>1340</v>
      </c>
    </row>
    <row r="34" customFormat="false" ht="15" hidden="false" customHeight="false" outlineLevel="0" collapsed="false">
      <c r="A34" s="26" t="s">
        <v>224</v>
      </c>
      <c r="B34" s="27" t="s">
        <v>1417</v>
      </c>
      <c r="C34" s="27" t="s">
        <v>45</v>
      </c>
      <c r="D34" s="27" t="s">
        <v>1412</v>
      </c>
      <c r="E34" s="29" t="n">
        <v>5617.77</v>
      </c>
      <c r="F34" s="29" t="n">
        <v>6643.61</v>
      </c>
      <c r="G34" s="29" t="n">
        <f aca="false">F34-E34</f>
        <v>1025.84</v>
      </c>
      <c r="H34" s="31" t="n">
        <f aca="false">IFERROR(G34/F34,0)</f>
        <v>0.154410027078651</v>
      </c>
      <c r="I34" s="26" t="s">
        <v>152</v>
      </c>
      <c r="J34" s="28" t="n">
        <v>43</v>
      </c>
      <c r="K34" s="26" t="s">
        <v>1340</v>
      </c>
    </row>
    <row r="35" customFormat="false" ht="15" hidden="false" customHeight="false" outlineLevel="0" collapsed="false">
      <c r="A35" s="18" t="s">
        <v>225</v>
      </c>
      <c r="B35" s="20" t="s">
        <v>1418</v>
      </c>
      <c r="C35" s="20" t="s">
        <v>46</v>
      </c>
      <c r="D35" s="20" t="s">
        <v>1384</v>
      </c>
      <c r="E35" s="16" t="n">
        <v>8147.76</v>
      </c>
      <c r="F35" s="16" t="n">
        <v>11597.85</v>
      </c>
      <c r="G35" s="16" t="n">
        <f aca="false">F35-E35</f>
        <v>3450.09</v>
      </c>
      <c r="H35" s="19" t="n">
        <f aca="false">IFERROR(G35/F35,0)</f>
        <v>0.297476687489492</v>
      </c>
      <c r="I35" s="18" t="s">
        <v>153</v>
      </c>
      <c r="J35" s="17" t="n">
        <v>30</v>
      </c>
      <c r="K35" s="18" t="s">
        <v>1340</v>
      </c>
    </row>
    <row r="36" customFormat="false" ht="15" hidden="false" customHeight="false" outlineLevel="0" collapsed="false">
      <c r="A36" s="26" t="s">
        <v>226</v>
      </c>
      <c r="B36" s="27" t="s">
        <v>1419</v>
      </c>
      <c r="C36" s="27" t="s">
        <v>47</v>
      </c>
      <c r="D36" s="27" t="s">
        <v>1380</v>
      </c>
      <c r="E36" s="29" t="n">
        <v>6835.87</v>
      </c>
      <c r="F36" s="29" t="n">
        <v>10211.16</v>
      </c>
      <c r="G36" s="29" t="n">
        <f aca="false">F36-E36</f>
        <v>3375.29</v>
      </c>
      <c r="H36" s="31" t="n">
        <f aca="false">IFERROR(G36/F36,0)</f>
        <v>0.33054912468319</v>
      </c>
      <c r="I36" s="26" t="s">
        <v>154</v>
      </c>
      <c r="J36" s="28" t="n">
        <v>79</v>
      </c>
      <c r="K36" s="26" t="s">
        <v>1340</v>
      </c>
    </row>
    <row r="37" customFormat="false" ht="15" hidden="false" customHeight="false" outlineLevel="0" collapsed="false">
      <c r="A37" s="18" t="s">
        <v>227</v>
      </c>
      <c r="B37" s="20" t="s">
        <v>1420</v>
      </c>
      <c r="C37" s="20" t="s">
        <v>36</v>
      </c>
      <c r="D37" s="20" t="s">
        <v>1380</v>
      </c>
      <c r="E37" s="16" t="n">
        <v>7719.44</v>
      </c>
      <c r="F37" s="16" t="n">
        <v>10726.77</v>
      </c>
      <c r="G37" s="16" t="n">
        <f aca="false">F37-E37</f>
        <v>3007.33</v>
      </c>
      <c r="H37" s="19" t="n">
        <f aca="false">IFERROR(G37/F37,0)</f>
        <v>0.280357460819986</v>
      </c>
      <c r="I37" s="18" t="s">
        <v>155</v>
      </c>
      <c r="J37" s="17" t="n">
        <v>72</v>
      </c>
      <c r="K37" s="18" t="s">
        <v>1340</v>
      </c>
    </row>
    <row r="38" customFormat="false" ht="15" hidden="false" customHeight="false" outlineLevel="0" collapsed="false">
      <c r="A38" s="26" t="s">
        <v>228</v>
      </c>
      <c r="B38" s="27" t="s">
        <v>1421</v>
      </c>
      <c r="C38" s="27" t="s">
        <v>38</v>
      </c>
      <c r="D38" s="27" t="s">
        <v>1384</v>
      </c>
      <c r="E38" s="29" t="n">
        <v>2191.87</v>
      </c>
      <c r="F38" s="29" t="n">
        <v>3243.31</v>
      </c>
      <c r="G38" s="29" t="n">
        <f aca="false">F38-E38</f>
        <v>1051.44</v>
      </c>
      <c r="H38" s="31" t="n">
        <f aca="false">IFERROR(G38/F38,0)</f>
        <v>0.324187327144183</v>
      </c>
      <c r="I38" s="26" t="s">
        <v>156</v>
      </c>
      <c r="J38" s="28" t="n">
        <v>50</v>
      </c>
      <c r="K38" s="26" t="s">
        <v>1340</v>
      </c>
    </row>
    <row r="39" customFormat="false" ht="15" hidden="false" customHeight="false" outlineLevel="0" collapsed="false">
      <c r="A39" s="18" t="s">
        <v>229</v>
      </c>
      <c r="B39" s="20" t="s">
        <v>1422</v>
      </c>
      <c r="C39" s="20" t="s">
        <v>40</v>
      </c>
      <c r="D39" s="20" t="s">
        <v>1389</v>
      </c>
      <c r="E39" s="16" t="n">
        <v>6099.51</v>
      </c>
      <c r="F39" s="16" t="n">
        <v>7869.66</v>
      </c>
      <c r="G39" s="16" t="n">
        <f aca="false">F39-E39</f>
        <v>1770.15</v>
      </c>
      <c r="H39" s="19" t="n">
        <f aca="false">IFERROR(G39/F39,0)</f>
        <v>0.224933478701748</v>
      </c>
      <c r="I39" s="18" t="s">
        <v>157</v>
      </c>
      <c r="J39" s="17" t="n">
        <v>25</v>
      </c>
      <c r="K39" s="18" t="s">
        <v>1340</v>
      </c>
    </row>
    <row r="40" customFormat="false" ht="15" hidden="false" customHeight="false" outlineLevel="0" collapsed="false">
      <c r="A40" s="26" t="s">
        <v>230</v>
      </c>
      <c r="B40" s="27" t="s">
        <v>1423</v>
      </c>
      <c r="C40" s="27" t="s">
        <v>42</v>
      </c>
      <c r="D40" s="27" t="s">
        <v>1382</v>
      </c>
      <c r="E40" s="29" t="n">
        <v>2057.97</v>
      </c>
      <c r="F40" s="29" t="n">
        <v>3099.62</v>
      </c>
      <c r="G40" s="29" t="n">
        <f aca="false">F40-E40</f>
        <v>1041.65</v>
      </c>
      <c r="H40" s="31" t="n">
        <f aca="false">IFERROR(G40/F40,0)</f>
        <v>0.336057323155742</v>
      </c>
      <c r="I40" s="26" t="s">
        <v>158</v>
      </c>
      <c r="J40" s="28" t="n">
        <v>68</v>
      </c>
      <c r="K40" s="26" t="s">
        <v>1340</v>
      </c>
    </row>
    <row r="41" customFormat="false" ht="15" hidden="false" customHeight="false" outlineLevel="0" collapsed="false">
      <c r="A41" s="18" t="s">
        <v>231</v>
      </c>
      <c r="B41" s="20" t="s">
        <v>1424</v>
      </c>
      <c r="C41" s="20" t="s">
        <v>44</v>
      </c>
      <c r="D41" s="20" t="s">
        <v>1412</v>
      </c>
      <c r="E41" s="16" t="n">
        <v>4667.08</v>
      </c>
      <c r="F41" s="16" t="n">
        <v>6419.17</v>
      </c>
      <c r="G41" s="16" t="n">
        <f aca="false">F41-E41</f>
        <v>1752.09</v>
      </c>
      <c r="H41" s="19" t="n">
        <f aca="false">IFERROR(G41/F41,0)</f>
        <v>0.272946502429442</v>
      </c>
      <c r="I41" s="18" t="s">
        <v>159</v>
      </c>
      <c r="J41" s="17" t="n">
        <v>64</v>
      </c>
      <c r="K41" s="18" t="s">
        <v>1340</v>
      </c>
    </row>
    <row r="42" customFormat="false" ht="15" hidden="false" customHeight="false" outlineLevel="0" collapsed="false">
      <c r="A42" s="26" t="s">
        <v>232</v>
      </c>
      <c r="B42" s="27" t="s">
        <v>1425</v>
      </c>
      <c r="C42" s="27" t="s">
        <v>45</v>
      </c>
      <c r="D42" s="27" t="s">
        <v>1380</v>
      </c>
      <c r="E42" s="29" t="n">
        <v>5014.59</v>
      </c>
      <c r="F42" s="29" t="n">
        <v>7556.46</v>
      </c>
      <c r="G42" s="29" t="n">
        <f aca="false">F42-E42</f>
        <v>2541.87</v>
      </c>
      <c r="H42" s="31" t="n">
        <f aca="false">IFERROR(G42/F42,0)</f>
        <v>0.336383703480201</v>
      </c>
      <c r="I42" s="26" t="s">
        <v>160</v>
      </c>
      <c r="J42" s="28" t="n">
        <v>15</v>
      </c>
      <c r="K42" s="26" t="s">
        <v>1394</v>
      </c>
    </row>
    <row r="43" customFormat="false" ht="15" hidden="false" customHeight="false" outlineLevel="0" collapsed="false">
      <c r="A43" s="18" t="s">
        <v>233</v>
      </c>
      <c r="B43" s="20" t="s">
        <v>1426</v>
      </c>
      <c r="C43" s="20" t="s">
        <v>46</v>
      </c>
      <c r="D43" s="20" t="s">
        <v>1384</v>
      </c>
      <c r="E43" s="16" t="n">
        <v>2622.37</v>
      </c>
      <c r="F43" s="16" t="n">
        <v>3575.06</v>
      </c>
      <c r="G43" s="16" t="n">
        <f aca="false">F43-E43</f>
        <v>952.69</v>
      </c>
      <c r="H43" s="19" t="n">
        <f aca="false">IFERROR(G43/F43,0)</f>
        <v>0.266482240857496</v>
      </c>
      <c r="I43" s="18" t="s">
        <v>161</v>
      </c>
      <c r="J43" s="17" t="n">
        <v>77</v>
      </c>
      <c r="K43" s="18" t="s">
        <v>1340</v>
      </c>
    </row>
    <row r="44" customFormat="false" ht="15" hidden="false" customHeight="false" outlineLevel="0" collapsed="false">
      <c r="A44" s="26" t="s">
        <v>234</v>
      </c>
      <c r="B44" s="27" t="s">
        <v>1427</v>
      </c>
      <c r="C44" s="27" t="s">
        <v>47</v>
      </c>
      <c r="D44" s="27" t="s">
        <v>1412</v>
      </c>
      <c r="E44" s="29" t="n">
        <v>3772.31</v>
      </c>
      <c r="F44" s="29" t="n">
        <v>4502.79</v>
      </c>
      <c r="G44" s="29" t="n">
        <f aca="false">F44-E44</f>
        <v>730.48</v>
      </c>
      <c r="H44" s="31" t="n">
        <f aca="false">IFERROR(G44/F44,0)</f>
        <v>0.162228307338339</v>
      </c>
      <c r="I44" s="26" t="s">
        <v>162</v>
      </c>
      <c r="J44" s="28" t="n">
        <v>36</v>
      </c>
      <c r="K44" s="26" t="s">
        <v>1340</v>
      </c>
    </row>
    <row r="45" customFormat="false" ht="15" hidden="false" customHeight="false" outlineLevel="0" collapsed="false">
      <c r="A45" s="18" t="s">
        <v>235</v>
      </c>
      <c r="B45" s="20" t="s">
        <v>1428</v>
      </c>
      <c r="C45" s="20" t="s">
        <v>36</v>
      </c>
      <c r="D45" s="20" t="s">
        <v>1412</v>
      </c>
      <c r="E45" s="16" t="n">
        <v>7825.76</v>
      </c>
      <c r="F45" s="16" t="n">
        <v>12841.6</v>
      </c>
      <c r="G45" s="16" t="n">
        <f aca="false">F45-E45</f>
        <v>5015.84</v>
      </c>
      <c r="H45" s="19" t="n">
        <f aca="false">IFERROR(G45/F45,0)</f>
        <v>0.390593072514328</v>
      </c>
      <c r="I45" s="18" t="s">
        <v>163</v>
      </c>
      <c r="J45" s="17" t="n">
        <v>18</v>
      </c>
      <c r="K45" s="18" t="s">
        <v>1340</v>
      </c>
    </row>
    <row r="46" customFormat="false" ht="15" hidden="false" customHeight="false" outlineLevel="0" collapsed="false">
      <c r="A46" s="26" t="s">
        <v>236</v>
      </c>
      <c r="B46" s="27" t="s">
        <v>1429</v>
      </c>
      <c r="C46" s="27" t="s">
        <v>38</v>
      </c>
      <c r="D46" s="27" t="s">
        <v>1386</v>
      </c>
      <c r="E46" s="29" t="n">
        <v>3711.78</v>
      </c>
      <c r="F46" s="29" t="n">
        <v>5892.15</v>
      </c>
      <c r="G46" s="29" t="n">
        <f aca="false">F46-E46</f>
        <v>2180.37</v>
      </c>
      <c r="H46" s="31" t="n">
        <f aca="false">IFERROR(G46/F46,0)</f>
        <v>0.370046587408671</v>
      </c>
      <c r="I46" s="26" t="s">
        <v>164</v>
      </c>
      <c r="J46" s="28" t="n">
        <v>48</v>
      </c>
      <c r="K46" s="26" t="s">
        <v>1340</v>
      </c>
    </row>
    <row r="47" customFormat="false" ht="15" hidden="false" customHeight="false" outlineLevel="0" collapsed="false">
      <c r="A47" s="18" t="s">
        <v>237</v>
      </c>
      <c r="B47" s="20" t="s">
        <v>1430</v>
      </c>
      <c r="C47" s="20" t="s">
        <v>40</v>
      </c>
      <c r="D47" s="20" t="s">
        <v>1400</v>
      </c>
      <c r="E47" s="16" t="n">
        <v>1893.71</v>
      </c>
      <c r="F47" s="16" t="n">
        <v>2525.48</v>
      </c>
      <c r="G47" s="16" t="n">
        <f aca="false">F47-E47</f>
        <v>631.77</v>
      </c>
      <c r="H47" s="19" t="n">
        <f aca="false">IFERROR(G47/F47,0)</f>
        <v>0.250158385732613</v>
      </c>
      <c r="I47" s="18" t="s">
        <v>165</v>
      </c>
      <c r="J47" s="17" t="n">
        <v>68</v>
      </c>
      <c r="K47" s="18" t="s">
        <v>1340</v>
      </c>
    </row>
    <row r="48" customFormat="false" ht="15" hidden="false" customHeight="false" outlineLevel="0" collapsed="false">
      <c r="A48" s="26" t="s">
        <v>238</v>
      </c>
      <c r="B48" s="27" t="s">
        <v>1431</v>
      </c>
      <c r="C48" s="27" t="s">
        <v>42</v>
      </c>
      <c r="D48" s="27" t="s">
        <v>1389</v>
      </c>
      <c r="E48" s="29" t="n">
        <v>806.37</v>
      </c>
      <c r="F48" s="29" t="n">
        <v>958.86</v>
      </c>
      <c r="G48" s="29" t="n">
        <f aca="false">F48-E48</f>
        <v>152.49</v>
      </c>
      <c r="H48" s="31" t="n">
        <f aca="false">IFERROR(G48/F48,0)</f>
        <v>0.159032601213942</v>
      </c>
      <c r="I48" s="26" t="s">
        <v>166</v>
      </c>
      <c r="J48" s="28" t="n">
        <v>43</v>
      </c>
      <c r="K48" s="26" t="s">
        <v>1340</v>
      </c>
    </row>
    <row r="49" customFormat="false" ht="15" hidden="false" customHeight="false" outlineLevel="0" collapsed="false">
      <c r="A49" s="18" t="s">
        <v>239</v>
      </c>
      <c r="B49" s="20" t="s">
        <v>1432</v>
      </c>
      <c r="C49" s="20" t="s">
        <v>44</v>
      </c>
      <c r="D49" s="20" t="s">
        <v>1384</v>
      </c>
      <c r="E49" s="16" t="n">
        <v>6666.73</v>
      </c>
      <c r="F49" s="16" t="n">
        <v>9908.93</v>
      </c>
      <c r="G49" s="16" t="n">
        <f aca="false">F49-E49</f>
        <v>3242.2</v>
      </c>
      <c r="H49" s="19" t="n">
        <f aca="false">IFERROR(G49/F49,0)</f>
        <v>0.327199808657443</v>
      </c>
      <c r="I49" s="18" t="s">
        <v>167</v>
      </c>
      <c r="J49" s="17" t="n">
        <v>40</v>
      </c>
      <c r="K49" s="18" t="s">
        <v>1340</v>
      </c>
    </row>
    <row r="50" customFormat="false" ht="15" hidden="false" customHeight="false" outlineLevel="0" collapsed="false">
      <c r="A50" s="26" t="s">
        <v>240</v>
      </c>
      <c r="B50" s="27" t="s">
        <v>1433</v>
      </c>
      <c r="C50" s="27" t="s">
        <v>45</v>
      </c>
      <c r="D50" s="27" t="s">
        <v>1382</v>
      </c>
      <c r="E50" s="29" t="n">
        <v>5326.79</v>
      </c>
      <c r="F50" s="29" t="n">
        <v>6882.83</v>
      </c>
      <c r="G50" s="29" t="n">
        <f aca="false">F50-E50</f>
        <v>1556.04</v>
      </c>
      <c r="H50" s="31" t="n">
        <f aca="false">IFERROR(G50/F50,0)</f>
        <v>0.226075611340103</v>
      </c>
      <c r="I50" s="26" t="s">
        <v>168</v>
      </c>
      <c r="J50" s="28" t="n">
        <v>42</v>
      </c>
      <c r="K50" s="26" t="s">
        <v>1340</v>
      </c>
    </row>
    <row r="51" customFormat="false" ht="15" hidden="false" customHeight="false" outlineLevel="0" collapsed="false">
      <c r="A51" s="18" t="s">
        <v>241</v>
      </c>
      <c r="B51" s="20" t="s">
        <v>1434</v>
      </c>
      <c r="C51" s="20" t="s">
        <v>46</v>
      </c>
      <c r="D51" s="20" t="s">
        <v>1392</v>
      </c>
      <c r="E51" s="16" t="n">
        <v>2267.32</v>
      </c>
      <c r="F51" s="16" t="n">
        <v>3068.55</v>
      </c>
      <c r="G51" s="16" t="n">
        <f aca="false">F51-E51</f>
        <v>801.23</v>
      </c>
      <c r="H51" s="19" t="n">
        <f aca="false">IFERROR(G51/F51,0)</f>
        <v>0.261110296394062</v>
      </c>
      <c r="I51" s="18" t="s">
        <v>169</v>
      </c>
      <c r="J51" s="17" t="n">
        <v>54</v>
      </c>
      <c r="K51" s="18" t="s">
        <v>1340</v>
      </c>
    </row>
    <row r="52" customFormat="false" ht="15" hidden="false" customHeight="false" outlineLevel="0" collapsed="false">
      <c r="A52" s="26" t="s">
        <v>242</v>
      </c>
      <c r="B52" s="27" t="s">
        <v>1435</v>
      </c>
      <c r="C52" s="27" t="s">
        <v>47</v>
      </c>
      <c r="D52" s="27" t="s">
        <v>1412</v>
      </c>
      <c r="E52" s="29" t="n">
        <v>335.19</v>
      </c>
      <c r="F52" s="29" t="n">
        <v>444.67</v>
      </c>
      <c r="G52" s="29" t="n">
        <f aca="false">F52-E52</f>
        <v>109.48</v>
      </c>
      <c r="H52" s="31" t="n">
        <f aca="false">IFERROR(G52/F52,0)</f>
        <v>0.24620505093665</v>
      </c>
      <c r="I52" s="26" t="s">
        <v>170</v>
      </c>
      <c r="J52" s="28" t="n">
        <v>40</v>
      </c>
      <c r="K52" s="26" t="s">
        <v>1340</v>
      </c>
    </row>
    <row r="53" customFormat="false" ht="15" hidden="false" customHeight="false" outlineLevel="0" collapsed="false">
      <c r="A53" s="18" t="s">
        <v>243</v>
      </c>
      <c r="B53" s="20" t="s">
        <v>1436</v>
      </c>
      <c r="C53" s="20" t="s">
        <v>36</v>
      </c>
      <c r="D53" s="20" t="s">
        <v>1400</v>
      </c>
      <c r="E53" s="16" t="n">
        <v>5907.35</v>
      </c>
      <c r="F53" s="16" t="n">
        <v>8712.18</v>
      </c>
      <c r="G53" s="16" t="n">
        <f aca="false">F53-E53</f>
        <v>2804.83</v>
      </c>
      <c r="H53" s="19" t="n">
        <f aca="false">IFERROR(G53/F53,0)</f>
        <v>0.321943531928863</v>
      </c>
      <c r="I53" s="18" t="s">
        <v>171</v>
      </c>
      <c r="J53" s="17" t="n">
        <v>30</v>
      </c>
      <c r="K53" s="18" t="s">
        <v>1340</v>
      </c>
    </row>
    <row r="54" customFormat="false" ht="15" hidden="false" customHeight="false" outlineLevel="0" collapsed="false">
      <c r="A54" s="26" t="s">
        <v>244</v>
      </c>
      <c r="B54" s="27" t="s">
        <v>1437</v>
      </c>
      <c r="C54" s="27" t="s">
        <v>38</v>
      </c>
      <c r="D54" s="27" t="s">
        <v>1389</v>
      </c>
      <c r="E54" s="29" t="n">
        <v>4862.51</v>
      </c>
      <c r="F54" s="29" t="n">
        <v>5831.62</v>
      </c>
      <c r="G54" s="29" t="n">
        <f aca="false">F54-E54</f>
        <v>969.11</v>
      </c>
      <c r="H54" s="31" t="n">
        <f aca="false">IFERROR(G54/F54,0)</f>
        <v>0.166181952870729</v>
      </c>
      <c r="I54" s="26" t="s">
        <v>172</v>
      </c>
      <c r="J54" s="28" t="n">
        <v>23</v>
      </c>
      <c r="K54" s="26" t="s">
        <v>1340</v>
      </c>
    </row>
    <row r="55" customFormat="false" ht="15" hidden="false" customHeight="false" outlineLevel="0" collapsed="false">
      <c r="A55" s="18" t="s">
        <v>245</v>
      </c>
      <c r="B55" s="20" t="s">
        <v>1438</v>
      </c>
      <c r="C55" s="20" t="s">
        <v>40</v>
      </c>
      <c r="D55" s="20" t="s">
        <v>1382</v>
      </c>
      <c r="E55" s="16" t="n">
        <v>2979.52</v>
      </c>
      <c r="F55" s="16" t="n">
        <v>4705.56</v>
      </c>
      <c r="G55" s="16" t="n">
        <f aca="false">F55-E55</f>
        <v>1726.04</v>
      </c>
      <c r="H55" s="19" t="n">
        <f aca="false">IFERROR(G55/F55,0)</f>
        <v>0.366808626390908</v>
      </c>
      <c r="I55" s="18" t="s">
        <v>148</v>
      </c>
      <c r="J55" s="17" t="n">
        <v>70</v>
      </c>
      <c r="K55" s="18" t="s">
        <v>1394</v>
      </c>
    </row>
    <row r="56" customFormat="false" ht="15" hidden="false" customHeight="false" outlineLevel="0" collapsed="false">
      <c r="A56" s="26" t="s">
        <v>246</v>
      </c>
      <c r="B56" s="27" t="s">
        <v>1439</v>
      </c>
      <c r="C56" s="27" t="s">
        <v>42</v>
      </c>
      <c r="D56" s="27" t="s">
        <v>1412</v>
      </c>
      <c r="E56" s="29" t="n">
        <v>5446.2</v>
      </c>
      <c r="F56" s="29" t="n">
        <v>8547.77</v>
      </c>
      <c r="G56" s="29" t="n">
        <f aca="false">F56-E56</f>
        <v>3101.57</v>
      </c>
      <c r="H56" s="31" t="n">
        <f aca="false">IFERROR(G56/F56,0)</f>
        <v>0.362851363572019</v>
      </c>
      <c r="I56" s="26" t="s">
        <v>149</v>
      </c>
      <c r="J56" s="28" t="n">
        <v>37</v>
      </c>
      <c r="K56" s="26" t="s">
        <v>1340</v>
      </c>
    </row>
    <row r="57" customFormat="false" ht="15" hidden="false" customHeight="false" outlineLevel="0" collapsed="false">
      <c r="A57" s="18" t="s">
        <v>247</v>
      </c>
      <c r="B57" s="20" t="s">
        <v>1440</v>
      </c>
      <c r="C57" s="20" t="s">
        <v>44</v>
      </c>
      <c r="D57" s="20" t="s">
        <v>1380</v>
      </c>
      <c r="E57" s="16" t="n">
        <v>8210.67</v>
      </c>
      <c r="F57" s="16" t="n">
        <v>10730.84</v>
      </c>
      <c r="G57" s="16" t="n">
        <f aca="false">F57-E57</f>
        <v>2520.17</v>
      </c>
      <c r="H57" s="19" t="n">
        <f aca="false">IFERROR(G57/F57,0)</f>
        <v>0.234853003119979</v>
      </c>
      <c r="I57" s="18" t="s">
        <v>150</v>
      </c>
      <c r="J57" s="17" t="n">
        <v>70</v>
      </c>
      <c r="K57" s="18" t="s">
        <v>1340</v>
      </c>
    </row>
    <row r="58" customFormat="false" ht="15" hidden="false" customHeight="false" outlineLevel="0" collapsed="false">
      <c r="A58" s="26" t="s">
        <v>248</v>
      </c>
      <c r="B58" s="27" t="s">
        <v>1441</v>
      </c>
      <c r="C58" s="27" t="s">
        <v>45</v>
      </c>
      <c r="D58" s="27" t="s">
        <v>1382</v>
      </c>
      <c r="E58" s="29" t="n">
        <v>5084.94</v>
      </c>
      <c r="F58" s="29" t="n">
        <v>6770.51</v>
      </c>
      <c r="G58" s="29" t="n">
        <f aca="false">F58-E58</f>
        <v>1685.57</v>
      </c>
      <c r="H58" s="31" t="n">
        <f aca="false">IFERROR(G58/F58,0)</f>
        <v>0.248957611760414</v>
      </c>
      <c r="I58" s="26" t="s">
        <v>151</v>
      </c>
      <c r="J58" s="28" t="n">
        <v>50</v>
      </c>
      <c r="K58" s="26" t="s">
        <v>1340</v>
      </c>
    </row>
    <row r="59" customFormat="false" ht="15" hidden="false" customHeight="false" outlineLevel="0" collapsed="false">
      <c r="A59" s="18" t="s">
        <v>249</v>
      </c>
      <c r="B59" s="20" t="s">
        <v>1442</v>
      </c>
      <c r="C59" s="20" t="s">
        <v>46</v>
      </c>
      <c r="D59" s="20" t="s">
        <v>1389</v>
      </c>
      <c r="E59" s="16" t="n">
        <v>2163.58</v>
      </c>
      <c r="F59" s="16" t="n">
        <v>3025.58</v>
      </c>
      <c r="G59" s="16" t="n">
        <f aca="false">F59-E59</f>
        <v>862</v>
      </c>
      <c r="H59" s="19" t="n">
        <f aca="false">IFERROR(G59/F59,0)</f>
        <v>0.284904051454597</v>
      </c>
      <c r="I59" s="18" t="s">
        <v>152</v>
      </c>
      <c r="J59" s="17" t="n">
        <v>18</v>
      </c>
      <c r="K59" s="18" t="s">
        <v>1340</v>
      </c>
    </row>
    <row r="60" customFormat="false" ht="15" hidden="false" customHeight="false" outlineLevel="0" collapsed="false">
      <c r="A60" s="26" t="s">
        <v>250</v>
      </c>
      <c r="B60" s="27" t="s">
        <v>1443</v>
      </c>
      <c r="C60" s="27" t="s">
        <v>47</v>
      </c>
      <c r="D60" s="27" t="s">
        <v>1400</v>
      </c>
      <c r="E60" s="29" t="n">
        <v>2843.62</v>
      </c>
      <c r="F60" s="29" t="n">
        <v>4007.08</v>
      </c>
      <c r="G60" s="29" t="n">
        <f aca="false">F60-E60</f>
        <v>1163.46</v>
      </c>
      <c r="H60" s="31" t="n">
        <f aca="false">IFERROR(G60/F60,0)</f>
        <v>0.290351078590894</v>
      </c>
      <c r="I60" s="26" t="s">
        <v>153</v>
      </c>
      <c r="J60" s="28" t="n">
        <v>58</v>
      </c>
      <c r="K60" s="26" t="s">
        <v>1340</v>
      </c>
    </row>
    <row r="61" customFormat="false" ht="15" hidden="false" customHeight="false" outlineLevel="0" collapsed="false">
      <c r="A61" s="18" t="s">
        <v>251</v>
      </c>
      <c r="B61" s="20" t="s">
        <v>1444</v>
      </c>
      <c r="C61" s="20" t="s">
        <v>36</v>
      </c>
      <c r="D61" s="20" t="s">
        <v>1384</v>
      </c>
      <c r="E61" s="16" t="n">
        <v>5115.78</v>
      </c>
      <c r="F61" s="16" t="n">
        <v>8152.77</v>
      </c>
      <c r="G61" s="16" t="n">
        <f aca="false">F61-E61</f>
        <v>3036.99</v>
      </c>
      <c r="H61" s="19" t="n">
        <f aca="false">IFERROR(G61/F61,0)</f>
        <v>0.372510202054026</v>
      </c>
      <c r="I61" s="18" t="s">
        <v>154</v>
      </c>
      <c r="J61" s="17" t="n">
        <v>25</v>
      </c>
      <c r="K61" s="18" t="s">
        <v>1340</v>
      </c>
    </row>
    <row r="62" customFormat="false" ht="15" hidden="false" customHeight="false" outlineLevel="0" collapsed="false">
      <c r="A62" s="26" t="s">
        <v>252</v>
      </c>
      <c r="B62" s="27" t="s">
        <v>1445</v>
      </c>
      <c r="C62" s="27" t="s">
        <v>38</v>
      </c>
      <c r="D62" s="27" t="s">
        <v>1380</v>
      </c>
      <c r="E62" s="29" t="n">
        <v>3525.87</v>
      </c>
      <c r="F62" s="29" t="n">
        <v>5080.54</v>
      </c>
      <c r="G62" s="29" t="n">
        <f aca="false">F62-E62</f>
        <v>1554.67</v>
      </c>
      <c r="H62" s="31" t="n">
        <f aca="false">IFERROR(G62/F62,0)</f>
        <v>0.306004873497699</v>
      </c>
      <c r="I62" s="26" t="s">
        <v>155</v>
      </c>
      <c r="J62" s="28" t="n">
        <v>77</v>
      </c>
      <c r="K62" s="26" t="s">
        <v>1340</v>
      </c>
    </row>
    <row r="63" customFormat="false" ht="15" hidden="false" customHeight="false" outlineLevel="0" collapsed="false">
      <c r="A63" s="18" t="s">
        <v>253</v>
      </c>
      <c r="B63" s="20" t="s">
        <v>1446</v>
      </c>
      <c r="C63" s="20" t="s">
        <v>40</v>
      </c>
      <c r="D63" s="20" t="s">
        <v>1384</v>
      </c>
      <c r="E63" s="16" t="n">
        <v>264.5</v>
      </c>
      <c r="F63" s="16" t="n">
        <v>348.69</v>
      </c>
      <c r="G63" s="16" t="n">
        <f aca="false">F63-E63</f>
        <v>84.19</v>
      </c>
      <c r="H63" s="19" t="n">
        <f aca="false">IFERROR(G63/F63,0)</f>
        <v>0.241446557113769</v>
      </c>
      <c r="I63" s="18" t="s">
        <v>156</v>
      </c>
      <c r="J63" s="17" t="n">
        <v>54</v>
      </c>
      <c r="K63" s="18" t="s">
        <v>1340</v>
      </c>
    </row>
    <row r="64" customFormat="false" ht="15" hidden="false" customHeight="false" outlineLevel="0" collapsed="false">
      <c r="A64" s="26" t="s">
        <v>254</v>
      </c>
      <c r="B64" s="27" t="s">
        <v>1447</v>
      </c>
      <c r="C64" s="27" t="s">
        <v>42</v>
      </c>
      <c r="D64" s="27" t="s">
        <v>1412</v>
      </c>
      <c r="E64" s="29" t="n">
        <v>3212.39</v>
      </c>
      <c r="F64" s="29" t="n">
        <v>4626.27</v>
      </c>
      <c r="G64" s="29" t="n">
        <f aca="false">F64-E64</f>
        <v>1413.88</v>
      </c>
      <c r="H64" s="31" t="n">
        <f aca="false">IFERROR(G64/F64,0)</f>
        <v>0.305619862221617</v>
      </c>
      <c r="I64" s="26" t="s">
        <v>157</v>
      </c>
      <c r="J64" s="28" t="n">
        <v>57</v>
      </c>
      <c r="K64" s="26" t="s">
        <v>1340</v>
      </c>
    </row>
    <row r="65" customFormat="false" ht="15" hidden="false" customHeight="false" outlineLevel="0" collapsed="false">
      <c r="A65" s="18" t="s">
        <v>255</v>
      </c>
      <c r="B65" s="20" t="s">
        <v>1448</v>
      </c>
      <c r="C65" s="20" t="s">
        <v>44</v>
      </c>
      <c r="D65" s="20" t="s">
        <v>1382</v>
      </c>
      <c r="E65" s="16" t="n">
        <v>3922.39</v>
      </c>
      <c r="F65" s="16" t="n">
        <v>5193.69</v>
      </c>
      <c r="G65" s="16" t="n">
        <f aca="false">F65-E65</f>
        <v>1271.3</v>
      </c>
      <c r="H65" s="19" t="n">
        <f aca="false">IFERROR(G65/F65,0)</f>
        <v>0.244777797673716</v>
      </c>
      <c r="I65" s="18" t="s">
        <v>158</v>
      </c>
      <c r="J65" s="17" t="n">
        <v>39</v>
      </c>
      <c r="K65" s="18" t="s">
        <v>1340</v>
      </c>
    </row>
    <row r="66" customFormat="false" ht="15" hidden="false" customHeight="false" outlineLevel="0" collapsed="false">
      <c r="A66" s="26" t="s">
        <v>256</v>
      </c>
      <c r="B66" s="27" t="s">
        <v>1449</v>
      </c>
      <c r="C66" s="27" t="s">
        <v>45</v>
      </c>
      <c r="D66" s="27" t="s">
        <v>1384</v>
      </c>
      <c r="E66" s="29" t="n">
        <v>6345.34</v>
      </c>
      <c r="F66" s="29" t="n">
        <v>10323.31</v>
      </c>
      <c r="G66" s="29" t="n">
        <f aca="false">F66-E66</f>
        <v>3977.97</v>
      </c>
      <c r="H66" s="31" t="n">
        <f aca="false">IFERROR(G66/F66,0)</f>
        <v>0.385338617168331</v>
      </c>
      <c r="I66" s="26" t="s">
        <v>159</v>
      </c>
      <c r="J66" s="28" t="n">
        <v>42</v>
      </c>
      <c r="K66" s="26" t="s">
        <v>1340</v>
      </c>
    </row>
    <row r="67" customFormat="false" ht="15" hidden="false" customHeight="false" outlineLevel="0" collapsed="false">
      <c r="A67" s="18" t="s">
        <v>257</v>
      </c>
      <c r="B67" s="20" t="s">
        <v>1450</v>
      </c>
      <c r="C67" s="20" t="s">
        <v>46</v>
      </c>
      <c r="D67" s="20" t="s">
        <v>1382</v>
      </c>
      <c r="E67" s="16" t="n">
        <v>2437.07</v>
      </c>
      <c r="F67" s="16" t="n">
        <v>3551.07</v>
      </c>
      <c r="G67" s="16" t="n">
        <f aca="false">F67-E67</f>
        <v>1114</v>
      </c>
      <c r="H67" s="19" t="n">
        <f aca="false">IFERROR(G67/F67,0)</f>
        <v>0.313708262580011</v>
      </c>
      <c r="I67" s="18" t="s">
        <v>160</v>
      </c>
      <c r="J67" s="17" t="n">
        <v>39</v>
      </c>
      <c r="K67" s="18" t="s">
        <v>1340</v>
      </c>
    </row>
    <row r="68" customFormat="false" ht="15" hidden="false" customHeight="false" outlineLevel="0" collapsed="false">
      <c r="A68" s="26" t="s">
        <v>258</v>
      </c>
      <c r="B68" s="27" t="s">
        <v>1451</v>
      </c>
      <c r="C68" s="27" t="s">
        <v>47</v>
      </c>
      <c r="D68" s="27" t="s">
        <v>1400</v>
      </c>
      <c r="E68" s="29" t="n">
        <v>3144.18</v>
      </c>
      <c r="F68" s="29" t="n">
        <v>4156.81</v>
      </c>
      <c r="G68" s="29" t="n">
        <f aca="false">F68-E68</f>
        <v>1012.63</v>
      </c>
      <c r="H68" s="31" t="n">
        <f aca="false">IFERROR(G68/F68,0)</f>
        <v>0.243607477849601</v>
      </c>
      <c r="I68" s="26" t="s">
        <v>161</v>
      </c>
      <c r="J68" s="28" t="n">
        <v>20</v>
      </c>
      <c r="K68" s="26" t="s">
        <v>1394</v>
      </c>
    </row>
    <row r="69" customFormat="false" ht="15" hidden="false" customHeight="false" outlineLevel="0" collapsed="false">
      <c r="A69" s="18" t="s">
        <v>259</v>
      </c>
      <c r="B69" s="20" t="s">
        <v>1452</v>
      </c>
      <c r="C69" s="20" t="s">
        <v>36</v>
      </c>
      <c r="D69" s="20" t="s">
        <v>1380</v>
      </c>
      <c r="E69" s="16" t="n">
        <v>4757.15</v>
      </c>
      <c r="F69" s="16" t="n">
        <v>7172.77</v>
      </c>
      <c r="G69" s="16" t="n">
        <f aca="false">F69-E69</f>
        <v>2415.62</v>
      </c>
      <c r="H69" s="19" t="n">
        <f aca="false">IFERROR(G69/F69,0)</f>
        <v>0.336776447592771</v>
      </c>
      <c r="I69" s="18" t="s">
        <v>162</v>
      </c>
      <c r="J69" s="17" t="n">
        <v>28</v>
      </c>
      <c r="K69" s="18" t="s">
        <v>1340</v>
      </c>
    </row>
    <row r="70" customFormat="false" ht="15" hidden="false" customHeight="false" outlineLevel="0" collapsed="false">
      <c r="A70" s="26" t="s">
        <v>260</v>
      </c>
      <c r="B70" s="27" t="s">
        <v>1453</v>
      </c>
      <c r="C70" s="27" t="s">
        <v>38</v>
      </c>
      <c r="D70" s="27" t="s">
        <v>1389</v>
      </c>
      <c r="E70" s="29" t="n">
        <v>4930.66</v>
      </c>
      <c r="F70" s="29" t="n">
        <v>6905.96</v>
      </c>
      <c r="G70" s="29" t="n">
        <f aca="false">F70-E70</f>
        <v>1975.3</v>
      </c>
      <c r="H70" s="31" t="n">
        <f aca="false">IFERROR(G70/F70,0)</f>
        <v>0.286028300192877</v>
      </c>
      <c r="I70" s="26" t="s">
        <v>163</v>
      </c>
      <c r="J70" s="28" t="n">
        <v>38</v>
      </c>
      <c r="K70" s="26" t="s">
        <v>1394</v>
      </c>
    </row>
    <row r="71" customFormat="false" ht="15" hidden="false" customHeight="false" outlineLevel="0" collapsed="false">
      <c r="A71" s="18" t="s">
        <v>261</v>
      </c>
      <c r="B71" s="20" t="s">
        <v>1454</v>
      </c>
      <c r="C71" s="20" t="s">
        <v>40</v>
      </c>
      <c r="D71" s="20" t="s">
        <v>1382</v>
      </c>
      <c r="E71" s="16" t="n">
        <v>2235.77</v>
      </c>
      <c r="F71" s="16" t="n">
        <v>3543.72</v>
      </c>
      <c r="G71" s="16" t="n">
        <f aca="false">F71-E71</f>
        <v>1307.95</v>
      </c>
      <c r="H71" s="19" t="n">
        <f aca="false">IFERROR(G71/F71,0)</f>
        <v>0.369089544320657</v>
      </c>
      <c r="I71" s="18" t="s">
        <v>164</v>
      </c>
      <c r="J71" s="17" t="n">
        <v>66</v>
      </c>
      <c r="K71" s="18" t="s">
        <v>1340</v>
      </c>
    </row>
    <row r="72" customFormat="false" ht="15" hidden="false" customHeight="false" outlineLevel="0" collapsed="false">
      <c r="A72" s="26" t="s">
        <v>262</v>
      </c>
      <c r="B72" s="27" t="s">
        <v>1455</v>
      </c>
      <c r="C72" s="27" t="s">
        <v>42</v>
      </c>
      <c r="D72" s="27" t="s">
        <v>1392</v>
      </c>
      <c r="E72" s="29" t="n">
        <v>4955.44</v>
      </c>
      <c r="F72" s="29" t="n">
        <v>7446.2</v>
      </c>
      <c r="G72" s="29" t="n">
        <f aca="false">F72-E72</f>
        <v>2490.76</v>
      </c>
      <c r="H72" s="31" t="n">
        <f aca="false">IFERROR(G72/F72,0)</f>
        <v>0.334500819209798</v>
      </c>
      <c r="I72" s="26" t="s">
        <v>165</v>
      </c>
      <c r="J72" s="28" t="n">
        <v>53</v>
      </c>
      <c r="K72" s="26" t="s">
        <v>1340</v>
      </c>
    </row>
    <row r="73" customFormat="false" ht="15" hidden="false" customHeight="false" outlineLevel="0" collapsed="false">
      <c r="A73" s="18" t="s">
        <v>263</v>
      </c>
      <c r="B73" s="20" t="s">
        <v>1456</v>
      </c>
      <c r="C73" s="20" t="s">
        <v>44</v>
      </c>
      <c r="D73" s="20" t="s">
        <v>1384</v>
      </c>
      <c r="E73" s="16" t="n">
        <v>2199.84</v>
      </c>
      <c r="F73" s="16" t="n">
        <v>3172.82</v>
      </c>
      <c r="G73" s="16" t="n">
        <f aca="false">F73-E73</f>
        <v>972.98</v>
      </c>
      <c r="H73" s="19" t="n">
        <f aca="false">IFERROR(G73/F73,0)</f>
        <v>0.306660951456433</v>
      </c>
      <c r="I73" s="18" t="s">
        <v>166</v>
      </c>
      <c r="J73" s="17" t="n">
        <v>63</v>
      </c>
      <c r="K73" s="18" t="s">
        <v>1340</v>
      </c>
    </row>
    <row r="74" customFormat="false" ht="15" hidden="false" customHeight="false" outlineLevel="0" collapsed="false">
      <c r="A74" s="26" t="s">
        <v>264</v>
      </c>
      <c r="B74" s="27" t="s">
        <v>1457</v>
      </c>
      <c r="C74" s="27" t="s">
        <v>45</v>
      </c>
      <c r="D74" s="27" t="s">
        <v>1400</v>
      </c>
      <c r="E74" s="29" t="n">
        <v>3830</v>
      </c>
      <c r="F74" s="29" t="n">
        <v>6067.79</v>
      </c>
      <c r="G74" s="29" t="n">
        <f aca="false">F74-E74</f>
        <v>2237.79</v>
      </c>
      <c r="H74" s="31" t="n">
        <f aca="false">IFERROR(G74/F74,0)</f>
        <v>0.368798195059486</v>
      </c>
      <c r="I74" s="26" t="s">
        <v>167</v>
      </c>
      <c r="J74" s="28" t="n">
        <v>22</v>
      </c>
      <c r="K74" s="26" t="s">
        <v>1340</v>
      </c>
    </row>
    <row r="75" customFormat="false" ht="15" hidden="false" customHeight="false" outlineLevel="0" collapsed="false">
      <c r="A75" s="18" t="s">
        <v>265</v>
      </c>
      <c r="B75" s="20" t="s">
        <v>1458</v>
      </c>
      <c r="C75" s="20" t="s">
        <v>46</v>
      </c>
      <c r="D75" s="20" t="s">
        <v>1384</v>
      </c>
      <c r="E75" s="16" t="n">
        <v>6321.95</v>
      </c>
      <c r="F75" s="16" t="n">
        <v>10275.49</v>
      </c>
      <c r="G75" s="16" t="n">
        <f aca="false">F75-E75</f>
        <v>3953.54</v>
      </c>
      <c r="H75" s="19" t="n">
        <f aca="false">IFERROR(G75/F75,0)</f>
        <v>0.384754401006667</v>
      </c>
      <c r="I75" s="18" t="s">
        <v>168</v>
      </c>
      <c r="J75" s="17" t="n">
        <v>48</v>
      </c>
      <c r="K75" s="18" t="s">
        <v>1340</v>
      </c>
    </row>
    <row r="76" customFormat="false" ht="15" hidden="false" customHeight="false" outlineLevel="0" collapsed="false">
      <c r="A76" s="26" t="s">
        <v>266</v>
      </c>
      <c r="B76" s="27" t="s">
        <v>1459</v>
      </c>
      <c r="C76" s="27" t="s">
        <v>47</v>
      </c>
      <c r="D76" s="27" t="s">
        <v>1392</v>
      </c>
      <c r="E76" s="29" t="n">
        <v>1436.14</v>
      </c>
      <c r="F76" s="29" t="n">
        <v>1811.97</v>
      </c>
      <c r="G76" s="29" t="n">
        <f aca="false">F76-E76</f>
        <v>375.83</v>
      </c>
      <c r="H76" s="31" t="n">
        <f aca="false">IFERROR(G76/F76,0)</f>
        <v>0.207415133804644</v>
      </c>
      <c r="I76" s="26" t="s">
        <v>169</v>
      </c>
      <c r="J76" s="28" t="n">
        <v>15</v>
      </c>
      <c r="K76" s="26" t="s">
        <v>1340</v>
      </c>
    </row>
    <row r="77" customFormat="false" ht="15" hidden="false" customHeight="false" outlineLevel="0" collapsed="false">
      <c r="A77" s="18" t="s">
        <v>267</v>
      </c>
      <c r="B77" s="20" t="s">
        <v>1460</v>
      </c>
      <c r="C77" s="20" t="s">
        <v>36</v>
      </c>
      <c r="D77" s="20" t="s">
        <v>1384</v>
      </c>
      <c r="E77" s="16" t="n">
        <v>5896.93</v>
      </c>
      <c r="F77" s="16" t="n">
        <v>8260.77</v>
      </c>
      <c r="G77" s="16" t="n">
        <f aca="false">F77-E77</f>
        <v>2363.84</v>
      </c>
      <c r="H77" s="19" t="n">
        <f aca="false">IFERROR(G77/F77,0)</f>
        <v>0.286152501522255</v>
      </c>
      <c r="I77" s="18" t="s">
        <v>170</v>
      </c>
      <c r="J77" s="17" t="n">
        <v>51</v>
      </c>
      <c r="K77" s="18" t="s">
        <v>1340</v>
      </c>
    </row>
    <row r="78" customFormat="false" ht="15" hidden="false" customHeight="false" outlineLevel="0" collapsed="false">
      <c r="A78" s="26" t="s">
        <v>268</v>
      </c>
      <c r="B78" s="27" t="s">
        <v>1461</v>
      </c>
      <c r="C78" s="27" t="s">
        <v>38</v>
      </c>
      <c r="D78" s="27" t="s">
        <v>1400</v>
      </c>
      <c r="E78" s="29" t="n">
        <v>6011.04</v>
      </c>
      <c r="F78" s="29" t="n">
        <v>8375.75</v>
      </c>
      <c r="G78" s="29" t="n">
        <f aca="false">F78-E78</f>
        <v>2364.71</v>
      </c>
      <c r="H78" s="31" t="n">
        <f aca="false">IFERROR(G78/F78,0)</f>
        <v>0.282328149717936</v>
      </c>
      <c r="I78" s="26" t="s">
        <v>171</v>
      </c>
      <c r="J78" s="28" t="n">
        <v>40</v>
      </c>
      <c r="K78" s="26" t="s">
        <v>1340</v>
      </c>
    </row>
    <row r="79" customFormat="false" ht="15" hidden="false" customHeight="false" outlineLevel="0" collapsed="false">
      <c r="A79" s="18" t="s">
        <v>269</v>
      </c>
      <c r="B79" s="20" t="s">
        <v>1462</v>
      </c>
      <c r="C79" s="20" t="s">
        <v>40</v>
      </c>
      <c r="D79" s="20" t="s">
        <v>1392</v>
      </c>
      <c r="E79" s="16" t="n">
        <v>4683.43</v>
      </c>
      <c r="F79" s="16" t="n">
        <v>6952.03</v>
      </c>
      <c r="G79" s="16" t="n">
        <f aca="false">F79-E79</f>
        <v>2268.6</v>
      </c>
      <c r="H79" s="19" t="n">
        <f aca="false">IFERROR(G79/F79,0)</f>
        <v>0.326321952005385</v>
      </c>
      <c r="I79" s="18" t="s">
        <v>172</v>
      </c>
      <c r="J79" s="17" t="n">
        <v>24</v>
      </c>
      <c r="K79" s="18" t="s">
        <v>1340</v>
      </c>
    </row>
    <row r="80" customFormat="false" ht="15" hidden="false" customHeight="false" outlineLevel="0" collapsed="false">
      <c r="A80" s="26" t="s">
        <v>270</v>
      </c>
      <c r="B80" s="27" t="s">
        <v>1463</v>
      </c>
      <c r="C80" s="27" t="s">
        <v>42</v>
      </c>
      <c r="D80" s="27" t="s">
        <v>1380</v>
      </c>
      <c r="E80" s="29" t="n">
        <v>6762.23</v>
      </c>
      <c r="F80" s="29" t="n">
        <v>9870.63</v>
      </c>
      <c r="G80" s="29" t="n">
        <f aca="false">F80-E80</f>
        <v>3108.4</v>
      </c>
      <c r="H80" s="31" t="n">
        <f aca="false">IFERROR(G80/F80,0)</f>
        <v>0.314914042973954</v>
      </c>
      <c r="I80" s="26" t="s">
        <v>148</v>
      </c>
      <c r="J80" s="28" t="n">
        <v>30</v>
      </c>
      <c r="K80" s="26" t="s">
        <v>1340</v>
      </c>
    </row>
    <row r="81" customFormat="false" ht="15" hidden="false" customHeight="false" outlineLevel="0" collapsed="false">
      <c r="A81" s="18" t="s">
        <v>271</v>
      </c>
      <c r="B81" s="20" t="s">
        <v>1464</v>
      </c>
      <c r="C81" s="20" t="s">
        <v>44</v>
      </c>
      <c r="D81" s="20" t="s">
        <v>1380</v>
      </c>
      <c r="E81" s="16" t="n">
        <v>2668.28</v>
      </c>
      <c r="F81" s="16" t="n">
        <v>3653.35</v>
      </c>
      <c r="G81" s="16" t="n">
        <f aca="false">F81-E81</f>
        <v>985.07</v>
      </c>
      <c r="H81" s="19" t="n">
        <f aca="false">IFERROR(G81/F81,0)</f>
        <v>0.269634718819713</v>
      </c>
      <c r="I81" s="18" t="s">
        <v>149</v>
      </c>
      <c r="J81" s="17" t="n">
        <v>71</v>
      </c>
      <c r="K81" s="18" t="s">
        <v>1340</v>
      </c>
    </row>
    <row r="82" customFormat="false" ht="15" hidden="false" customHeight="false" outlineLevel="0" collapsed="false">
      <c r="A82" s="26" t="s">
        <v>272</v>
      </c>
      <c r="B82" s="27" t="s">
        <v>1465</v>
      </c>
      <c r="C82" s="27" t="s">
        <v>45</v>
      </c>
      <c r="D82" s="27" t="s">
        <v>1400</v>
      </c>
      <c r="E82" s="29" t="n">
        <v>454.03</v>
      </c>
      <c r="F82" s="29" t="n">
        <v>627.95</v>
      </c>
      <c r="G82" s="29" t="n">
        <f aca="false">F82-E82</f>
        <v>173.92</v>
      </c>
      <c r="H82" s="31" t="n">
        <f aca="false">IFERROR(G82/F82,0)</f>
        <v>0.276964726490963</v>
      </c>
      <c r="I82" s="26" t="s">
        <v>150</v>
      </c>
      <c r="J82" s="28" t="n">
        <v>18</v>
      </c>
      <c r="K82" s="26" t="s">
        <v>1340</v>
      </c>
    </row>
    <row r="83" customFormat="false" ht="15" hidden="false" customHeight="false" outlineLevel="0" collapsed="false">
      <c r="A83" s="18" t="s">
        <v>273</v>
      </c>
      <c r="B83" s="20" t="s">
        <v>1466</v>
      </c>
      <c r="C83" s="20" t="s">
        <v>46</v>
      </c>
      <c r="D83" s="20" t="s">
        <v>1400</v>
      </c>
      <c r="E83" s="16" t="n">
        <v>8180.82</v>
      </c>
      <c r="F83" s="16" t="n">
        <v>12867.62</v>
      </c>
      <c r="G83" s="16" t="n">
        <f aca="false">F83-E83</f>
        <v>4686.8</v>
      </c>
      <c r="H83" s="19" t="n">
        <f aca="false">IFERROR(G83/F83,0)</f>
        <v>0.364232080213746</v>
      </c>
      <c r="I83" s="18" t="s">
        <v>151</v>
      </c>
      <c r="J83" s="17" t="n">
        <v>20</v>
      </c>
      <c r="K83" s="18" t="s">
        <v>1340</v>
      </c>
    </row>
    <row r="84" customFormat="false" ht="15" hidden="false" customHeight="false" outlineLevel="0" collapsed="false">
      <c r="A84" s="26" t="s">
        <v>274</v>
      </c>
      <c r="B84" s="27" t="s">
        <v>1467</v>
      </c>
      <c r="C84" s="27" t="s">
        <v>47</v>
      </c>
      <c r="D84" s="27" t="s">
        <v>1400</v>
      </c>
      <c r="E84" s="29" t="n">
        <v>1588.1</v>
      </c>
      <c r="F84" s="29" t="n">
        <v>2261.32</v>
      </c>
      <c r="G84" s="29" t="n">
        <f aca="false">F84-E84</f>
        <v>673.22</v>
      </c>
      <c r="H84" s="31" t="n">
        <f aca="false">IFERROR(G84/F84,0)</f>
        <v>0.297711071409619</v>
      </c>
      <c r="I84" s="26" t="s">
        <v>152</v>
      </c>
      <c r="J84" s="28" t="n">
        <v>38</v>
      </c>
      <c r="K84" s="26" t="s">
        <v>1394</v>
      </c>
    </row>
    <row r="85" customFormat="false" ht="15" hidden="false" customHeight="false" outlineLevel="0" collapsed="false">
      <c r="A85" s="18" t="s">
        <v>275</v>
      </c>
      <c r="B85" s="20" t="s">
        <v>1468</v>
      </c>
      <c r="C85" s="20" t="s">
        <v>36</v>
      </c>
      <c r="D85" s="20" t="s">
        <v>1380</v>
      </c>
      <c r="E85" s="16" t="n">
        <v>3772.72</v>
      </c>
      <c r="F85" s="16" t="n">
        <v>5895.61</v>
      </c>
      <c r="G85" s="16" t="n">
        <f aca="false">F85-E85</f>
        <v>2122.89</v>
      </c>
      <c r="H85" s="19" t="n">
        <f aca="false">IFERROR(G85/F85,0)</f>
        <v>0.360079788181376</v>
      </c>
      <c r="I85" s="18" t="s">
        <v>153</v>
      </c>
      <c r="J85" s="17" t="n">
        <v>59</v>
      </c>
      <c r="K85" s="18" t="s">
        <v>1340</v>
      </c>
    </row>
    <row r="86" customFormat="false" ht="15" hidden="false" customHeight="false" outlineLevel="0" collapsed="false">
      <c r="A86" s="26" t="s">
        <v>276</v>
      </c>
      <c r="B86" s="27" t="s">
        <v>1469</v>
      </c>
      <c r="C86" s="27" t="s">
        <v>38</v>
      </c>
      <c r="D86" s="27" t="s">
        <v>1389</v>
      </c>
      <c r="E86" s="29" t="n">
        <v>2810.47</v>
      </c>
      <c r="F86" s="29" t="n">
        <v>3454.52</v>
      </c>
      <c r="G86" s="29" t="n">
        <f aca="false">F86-E86</f>
        <v>644.05</v>
      </c>
      <c r="H86" s="31" t="n">
        <f aca="false">IFERROR(G86/F86,0)</f>
        <v>0.186436900061369</v>
      </c>
      <c r="I86" s="26" t="s">
        <v>154</v>
      </c>
      <c r="J86" s="28" t="n">
        <v>67</v>
      </c>
      <c r="K86" s="26" t="s">
        <v>1340</v>
      </c>
    </row>
    <row r="87" customFormat="false" ht="15" hidden="false" customHeight="false" outlineLevel="0" collapsed="false">
      <c r="A87" s="18" t="s">
        <v>277</v>
      </c>
      <c r="B87" s="20" t="s">
        <v>1470</v>
      </c>
      <c r="C87" s="20" t="s">
        <v>40</v>
      </c>
      <c r="D87" s="20" t="s">
        <v>1380</v>
      </c>
      <c r="E87" s="16" t="n">
        <v>2535.27</v>
      </c>
      <c r="F87" s="16" t="n">
        <v>4117.89</v>
      </c>
      <c r="G87" s="16" t="n">
        <f aca="false">F87-E87</f>
        <v>1582.62</v>
      </c>
      <c r="H87" s="19" t="n">
        <f aca="false">IFERROR(G87/F87,0)</f>
        <v>0.384327896082703</v>
      </c>
      <c r="I87" s="18" t="s">
        <v>155</v>
      </c>
      <c r="J87" s="17" t="n">
        <v>26</v>
      </c>
      <c r="K87" s="18" t="s">
        <v>1340</v>
      </c>
    </row>
    <row r="88" customFormat="false" ht="15" hidden="false" customHeight="false" outlineLevel="0" collapsed="false">
      <c r="A88" s="26" t="s">
        <v>278</v>
      </c>
      <c r="B88" s="27" t="s">
        <v>1471</v>
      </c>
      <c r="C88" s="27" t="s">
        <v>42</v>
      </c>
      <c r="D88" s="27" t="s">
        <v>1386</v>
      </c>
      <c r="E88" s="29" t="n">
        <v>2829.03</v>
      </c>
      <c r="F88" s="29" t="n">
        <v>4628.26</v>
      </c>
      <c r="G88" s="29" t="n">
        <f aca="false">F88-E88</f>
        <v>1799.23</v>
      </c>
      <c r="H88" s="31" t="n">
        <f aca="false">IFERROR(G88/F88,0)</f>
        <v>0.388748687411684</v>
      </c>
      <c r="I88" s="26" t="s">
        <v>156</v>
      </c>
      <c r="J88" s="28" t="n">
        <v>74</v>
      </c>
      <c r="K88" s="26" t="s">
        <v>1340</v>
      </c>
    </row>
    <row r="89" customFormat="false" ht="15" hidden="false" customHeight="false" outlineLevel="0" collapsed="false">
      <c r="A89" s="18" t="s">
        <v>279</v>
      </c>
      <c r="B89" s="20" t="s">
        <v>1472</v>
      </c>
      <c r="C89" s="20" t="s">
        <v>44</v>
      </c>
      <c r="D89" s="20" t="s">
        <v>1380</v>
      </c>
      <c r="E89" s="16" t="n">
        <v>1691.94</v>
      </c>
      <c r="F89" s="16" t="n">
        <v>2284.18</v>
      </c>
      <c r="G89" s="16" t="n">
        <f aca="false">F89-E89</f>
        <v>592.24</v>
      </c>
      <c r="H89" s="19" t="n">
        <f aca="false">IFERROR(G89/F89,0)</f>
        <v>0.259279041056309</v>
      </c>
      <c r="I89" s="18" t="s">
        <v>157</v>
      </c>
      <c r="J89" s="17" t="n">
        <v>21</v>
      </c>
      <c r="K89" s="18" t="s">
        <v>1340</v>
      </c>
    </row>
    <row r="90" customFormat="false" ht="15" hidden="false" customHeight="false" outlineLevel="0" collapsed="false">
      <c r="A90" s="26" t="s">
        <v>280</v>
      </c>
      <c r="B90" s="27" t="s">
        <v>1473</v>
      </c>
      <c r="C90" s="27" t="s">
        <v>45</v>
      </c>
      <c r="D90" s="27" t="s">
        <v>1380</v>
      </c>
      <c r="E90" s="29" t="n">
        <v>4722.46</v>
      </c>
      <c r="F90" s="29" t="n">
        <v>7631.52</v>
      </c>
      <c r="G90" s="29" t="n">
        <f aca="false">F90-E90</f>
        <v>2909.06</v>
      </c>
      <c r="H90" s="31" t="n">
        <f aca="false">IFERROR(G90/F90,0)</f>
        <v>0.381190116778833</v>
      </c>
      <c r="I90" s="26" t="s">
        <v>158</v>
      </c>
      <c r="J90" s="28" t="n">
        <v>30</v>
      </c>
      <c r="K90" s="26" t="s">
        <v>1340</v>
      </c>
    </row>
    <row r="91" customFormat="false" ht="15" hidden="false" customHeight="false" outlineLevel="0" collapsed="false">
      <c r="A91" s="18" t="s">
        <v>281</v>
      </c>
      <c r="B91" s="20" t="s">
        <v>1474</v>
      </c>
      <c r="C91" s="20" t="s">
        <v>46</v>
      </c>
      <c r="D91" s="20" t="s">
        <v>1400</v>
      </c>
      <c r="E91" s="16" t="n">
        <v>5399.59</v>
      </c>
      <c r="F91" s="16" t="n">
        <v>8400.02</v>
      </c>
      <c r="G91" s="16" t="n">
        <f aca="false">F91-E91</f>
        <v>3000.43</v>
      </c>
      <c r="H91" s="19" t="n">
        <f aca="false">IFERROR(G91/F91,0)</f>
        <v>0.357193197159054</v>
      </c>
      <c r="I91" s="18" t="s">
        <v>159</v>
      </c>
      <c r="J91" s="17" t="n">
        <v>16</v>
      </c>
      <c r="K91" s="18" t="s">
        <v>1340</v>
      </c>
    </row>
    <row r="92" customFormat="false" ht="15" hidden="false" customHeight="false" outlineLevel="0" collapsed="false">
      <c r="A92" s="26" t="s">
        <v>282</v>
      </c>
      <c r="B92" s="27" t="s">
        <v>1475</v>
      </c>
      <c r="C92" s="27" t="s">
        <v>47</v>
      </c>
      <c r="D92" s="27" t="s">
        <v>1380</v>
      </c>
      <c r="E92" s="29" t="n">
        <v>901.09</v>
      </c>
      <c r="F92" s="29" t="n">
        <v>1483.52</v>
      </c>
      <c r="G92" s="29" t="n">
        <f aca="false">F92-E92</f>
        <v>582.43</v>
      </c>
      <c r="H92" s="31" t="n">
        <f aca="false">IFERROR(G92/F92,0)</f>
        <v>0.392600032355479</v>
      </c>
      <c r="I92" s="26" t="s">
        <v>160</v>
      </c>
      <c r="J92" s="28" t="n">
        <v>30</v>
      </c>
      <c r="K92" s="26" t="s">
        <v>1340</v>
      </c>
    </row>
    <row r="93" customFormat="false" ht="15" hidden="false" customHeight="false" outlineLevel="0" collapsed="false">
      <c r="A93" s="18" t="s">
        <v>283</v>
      </c>
      <c r="B93" s="20" t="s">
        <v>1476</v>
      </c>
      <c r="C93" s="20" t="s">
        <v>36</v>
      </c>
      <c r="D93" s="20" t="s">
        <v>1400</v>
      </c>
      <c r="E93" s="16" t="n">
        <v>1410.28</v>
      </c>
      <c r="F93" s="16" t="n">
        <v>2282.32</v>
      </c>
      <c r="G93" s="16" t="n">
        <f aca="false">F93-E93</f>
        <v>872.04</v>
      </c>
      <c r="H93" s="19" t="n">
        <f aca="false">IFERROR(G93/F93,0)</f>
        <v>0.382084896070665</v>
      </c>
      <c r="I93" s="18" t="s">
        <v>161</v>
      </c>
      <c r="J93" s="17" t="n">
        <v>68</v>
      </c>
      <c r="K93" s="18" t="s">
        <v>1340</v>
      </c>
    </row>
    <row r="94" customFormat="false" ht="15" hidden="false" customHeight="false" outlineLevel="0" collapsed="false">
      <c r="A94" s="26" t="s">
        <v>284</v>
      </c>
      <c r="B94" s="27" t="s">
        <v>1477</v>
      </c>
      <c r="C94" s="27" t="s">
        <v>38</v>
      </c>
      <c r="D94" s="27" t="s">
        <v>1412</v>
      </c>
      <c r="E94" s="29" t="n">
        <v>8334.45</v>
      </c>
      <c r="F94" s="29" t="n">
        <v>10789.39</v>
      </c>
      <c r="G94" s="29" t="n">
        <f aca="false">F94-E94</f>
        <v>2454.94</v>
      </c>
      <c r="H94" s="31" t="n">
        <f aca="false">IFERROR(G94/F94,0)</f>
        <v>0.227532789156755</v>
      </c>
      <c r="I94" s="26" t="s">
        <v>162</v>
      </c>
      <c r="J94" s="28" t="n">
        <v>39</v>
      </c>
      <c r="K94" s="26" t="s">
        <v>1340</v>
      </c>
    </row>
    <row r="95" customFormat="false" ht="15" hidden="false" customHeight="false" outlineLevel="0" collapsed="false">
      <c r="A95" s="18" t="s">
        <v>285</v>
      </c>
      <c r="B95" s="20" t="s">
        <v>1478</v>
      </c>
      <c r="C95" s="20" t="s">
        <v>40</v>
      </c>
      <c r="D95" s="20" t="s">
        <v>1400</v>
      </c>
      <c r="E95" s="16" t="n">
        <v>4379.06</v>
      </c>
      <c r="F95" s="16" t="n">
        <v>6977.08</v>
      </c>
      <c r="G95" s="16" t="n">
        <f aca="false">F95-E95</f>
        <v>2598.02</v>
      </c>
      <c r="H95" s="19" t="n">
        <f aca="false">IFERROR(G95/F95,0)</f>
        <v>0.372364943500719</v>
      </c>
      <c r="I95" s="18" t="s">
        <v>163</v>
      </c>
      <c r="J95" s="17" t="n">
        <v>68</v>
      </c>
      <c r="K95" s="18" t="s">
        <v>1340</v>
      </c>
    </row>
    <row r="96" customFormat="false" ht="15" hidden="false" customHeight="false" outlineLevel="0" collapsed="false">
      <c r="A96" s="26" t="s">
        <v>286</v>
      </c>
      <c r="B96" s="27" t="s">
        <v>1479</v>
      </c>
      <c r="C96" s="27" t="s">
        <v>42</v>
      </c>
      <c r="D96" s="27" t="s">
        <v>1400</v>
      </c>
      <c r="E96" s="29" t="n">
        <v>6721.07</v>
      </c>
      <c r="F96" s="29" t="n">
        <v>8774.84</v>
      </c>
      <c r="G96" s="29" t="n">
        <f aca="false">F96-E96</f>
        <v>2053.77</v>
      </c>
      <c r="H96" s="31" t="n">
        <f aca="false">IFERROR(G96/F96,0)</f>
        <v>0.234052130865064</v>
      </c>
      <c r="I96" s="26" t="s">
        <v>164</v>
      </c>
      <c r="J96" s="28" t="n">
        <v>53</v>
      </c>
      <c r="K96" s="26" t="s">
        <v>1340</v>
      </c>
    </row>
    <row r="97" customFormat="false" ht="15" hidden="false" customHeight="false" outlineLevel="0" collapsed="false">
      <c r="A97" s="18" t="s">
        <v>287</v>
      </c>
      <c r="B97" s="20" t="s">
        <v>1480</v>
      </c>
      <c r="C97" s="20" t="s">
        <v>44</v>
      </c>
      <c r="D97" s="20" t="s">
        <v>1380</v>
      </c>
      <c r="E97" s="16" t="n">
        <v>4979.76</v>
      </c>
      <c r="F97" s="16" t="n">
        <v>7420.7</v>
      </c>
      <c r="G97" s="16" t="n">
        <f aca="false">F97-E97</f>
        <v>2440.94</v>
      </c>
      <c r="H97" s="19" t="n">
        <f aca="false">IFERROR(G97/F97,0)</f>
        <v>0.328936623229614</v>
      </c>
      <c r="I97" s="18" t="s">
        <v>165</v>
      </c>
      <c r="J97" s="17" t="n">
        <v>76</v>
      </c>
      <c r="K97" s="18" t="s">
        <v>1340</v>
      </c>
    </row>
    <row r="98" customFormat="false" ht="15" hidden="false" customHeight="false" outlineLevel="0" collapsed="false">
      <c r="A98" s="26" t="s">
        <v>288</v>
      </c>
      <c r="B98" s="27" t="s">
        <v>1481</v>
      </c>
      <c r="C98" s="27" t="s">
        <v>45</v>
      </c>
      <c r="D98" s="27" t="s">
        <v>1389</v>
      </c>
      <c r="E98" s="29" t="n">
        <v>4745.07</v>
      </c>
      <c r="F98" s="29" t="n">
        <v>6811.13</v>
      </c>
      <c r="G98" s="29" t="n">
        <f aca="false">F98-E98</f>
        <v>2066.06</v>
      </c>
      <c r="H98" s="31" t="n">
        <f aca="false">IFERROR(G98/F98,0)</f>
        <v>0.303335863505762</v>
      </c>
      <c r="I98" s="26" t="s">
        <v>166</v>
      </c>
      <c r="J98" s="28" t="n">
        <v>39</v>
      </c>
      <c r="K98" s="26" t="s">
        <v>1394</v>
      </c>
    </row>
    <row r="99" customFormat="false" ht="15" hidden="false" customHeight="false" outlineLevel="0" collapsed="false">
      <c r="A99" s="18" t="s">
        <v>289</v>
      </c>
      <c r="B99" s="20" t="s">
        <v>1482</v>
      </c>
      <c r="C99" s="20" t="s">
        <v>46</v>
      </c>
      <c r="D99" s="20" t="s">
        <v>1386</v>
      </c>
      <c r="E99" s="16" t="n">
        <v>2121.19</v>
      </c>
      <c r="F99" s="16" t="n">
        <v>2884.81</v>
      </c>
      <c r="G99" s="16" t="n">
        <f aca="false">F99-E99</f>
        <v>763.62</v>
      </c>
      <c r="H99" s="19" t="n">
        <f aca="false">IFERROR(G99/F99,0)</f>
        <v>0.264703741320919</v>
      </c>
      <c r="I99" s="18" t="s">
        <v>167</v>
      </c>
      <c r="J99" s="17" t="n">
        <v>55</v>
      </c>
      <c r="K99" s="18" t="s">
        <v>1340</v>
      </c>
    </row>
    <row r="100" customFormat="false" ht="15" hidden="false" customHeight="false" outlineLevel="0" collapsed="false">
      <c r="A100" s="26" t="s">
        <v>290</v>
      </c>
      <c r="B100" s="27" t="s">
        <v>1483</v>
      </c>
      <c r="C100" s="27" t="s">
        <v>47</v>
      </c>
      <c r="D100" s="27" t="s">
        <v>1392</v>
      </c>
      <c r="E100" s="29" t="n">
        <v>6029.81</v>
      </c>
      <c r="F100" s="29" t="n">
        <v>9414.72</v>
      </c>
      <c r="G100" s="29" t="n">
        <f aca="false">F100-E100</f>
        <v>3384.91</v>
      </c>
      <c r="H100" s="31" t="n">
        <f aca="false">IFERROR(G100/F100,0)</f>
        <v>0.359533793888719</v>
      </c>
      <c r="I100" s="26" t="s">
        <v>168</v>
      </c>
      <c r="J100" s="28" t="n">
        <v>78</v>
      </c>
      <c r="K100" s="26" t="s">
        <v>1394</v>
      </c>
    </row>
    <row r="101" customFormat="false" ht="15" hidden="false" customHeight="false" outlineLevel="0" collapsed="false">
      <c r="A101" s="18" t="s">
        <v>291</v>
      </c>
      <c r="B101" s="20" t="s">
        <v>1484</v>
      </c>
      <c r="C101" s="20" t="s">
        <v>36</v>
      </c>
      <c r="D101" s="20" t="s">
        <v>1382</v>
      </c>
      <c r="E101" s="16" t="n">
        <v>1177.94</v>
      </c>
      <c r="F101" s="16" t="n">
        <v>1924.42</v>
      </c>
      <c r="G101" s="16" t="n">
        <f aca="false">F101-E101</f>
        <v>746.48</v>
      </c>
      <c r="H101" s="19" t="n">
        <f aca="false">IFERROR(G101/F101,0)</f>
        <v>0.387898691553819</v>
      </c>
      <c r="I101" s="18" t="s">
        <v>169</v>
      </c>
      <c r="J101" s="17" t="n">
        <v>71</v>
      </c>
      <c r="K101" s="18" t="s">
        <v>1340</v>
      </c>
    </row>
    <row r="102" customFormat="false" ht="15" hidden="false" customHeight="false" outlineLevel="0" collapsed="false">
      <c r="A102" s="26" t="s">
        <v>292</v>
      </c>
      <c r="B102" s="27" t="s">
        <v>1485</v>
      </c>
      <c r="C102" s="27" t="s">
        <v>38</v>
      </c>
      <c r="D102" s="27" t="s">
        <v>1412</v>
      </c>
      <c r="E102" s="29" t="n">
        <v>7749.5</v>
      </c>
      <c r="F102" s="29" t="n">
        <v>9200.31</v>
      </c>
      <c r="G102" s="29" t="n">
        <f aca="false">F102-E102</f>
        <v>1450.81</v>
      </c>
      <c r="H102" s="31" t="n">
        <f aca="false">IFERROR(G102/F102,0)</f>
        <v>0.157691425615006</v>
      </c>
      <c r="I102" s="26" t="s">
        <v>170</v>
      </c>
      <c r="J102" s="28" t="n">
        <v>34</v>
      </c>
      <c r="K102" s="26" t="s">
        <v>1340</v>
      </c>
    </row>
    <row r="103" customFormat="false" ht="15" hidden="false" customHeight="false" outlineLevel="0" collapsed="false">
      <c r="A103" s="18" t="s">
        <v>293</v>
      </c>
      <c r="B103" s="20" t="s">
        <v>1486</v>
      </c>
      <c r="C103" s="20" t="s">
        <v>40</v>
      </c>
      <c r="D103" s="20" t="s">
        <v>1382</v>
      </c>
      <c r="E103" s="16" t="n">
        <v>6669.18</v>
      </c>
      <c r="F103" s="16" t="n">
        <v>8700.35</v>
      </c>
      <c r="G103" s="16" t="n">
        <f aca="false">F103-E103</f>
        <v>2031.17</v>
      </c>
      <c r="H103" s="19" t="n">
        <f aca="false">IFERROR(G103/F103,0)</f>
        <v>0.233458424086387</v>
      </c>
      <c r="I103" s="18" t="s">
        <v>171</v>
      </c>
      <c r="J103" s="17" t="n">
        <v>57</v>
      </c>
      <c r="K103" s="18" t="s">
        <v>1340</v>
      </c>
    </row>
    <row r="104" customFormat="false" ht="15" hidden="false" customHeight="false" outlineLevel="0" collapsed="false">
      <c r="A104" s="26" t="s">
        <v>294</v>
      </c>
      <c r="B104" s="27" t="s">
        <v>1487</v>
      </c>
      <c r="C104" s="27" t="s">
        <v>42</v>
      </c>
      <c r="D104" s="27" t="s">
        <v>1380</v>
      </c>
      <c r="E104" s="29" t="n">
        <v>7321.29</v>
      </c>
      <c r="F104" s="29" t="n">
        <v>9946.74</v>
      </c>
      <c r="G104" s="29" t="n">
        <f aca="false">F104-E104</f>
        <v>2625.45</v>
      </c>
      <c r="H104" s="31" t="n">
        <f aca="false">IFERROR(G104/F104,0)</f>
        <v>0.263950801971299</v>
      </c>
      <c r="I104" s="26" t="s">
        <v>172</v>
      </c>
      <c r="J104" s="28" t="n">
        <v>19</v>
      </c>
      <c r="K104" s="26" t="s">
        <v>1340</v>
      </c>
    </row>
  </sheetData>
  <mergeCells count="2">
    <mergeCell ref="A1:K1"/>
    <mergeCell ref="A2:K2"/>
  </mergeCells>
  <dataValidations count="1">
    <dataValidation allowBlank="true" errorStyle="stop" showDropDown="false" showErrorMessage="false" showInputMessage="false" sqref="K5:K104" type="list">
      <formula1>"Active,Discontinued"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3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6" min="5" style="0" width="31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25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3"/>
  </cols>
  <sheetData>
    <row r="1" customFormat="false" ht="27.75" hidden="false" customHeight="true" outlineLevel="0" collapsed="false">
      <c r="A1" s="1" t="s">
        <v>1488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1489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9.75" hidden="false" customHeight="true" outlineLevel="0" collapsed="false"/>
    <row r="4" customFormat="false" ht="24" hidden="false" customHeight="true" outlineLevel="0" collapsed="false">
      <c r="A4" s="8" t="s">
        <v>1490</v>
      </c>
      <c r="B4" s="8" t="s">
        <v>1491</v>
      </c>
      <c r="C4" s="8" t="s">
        <v>139</v>
      </c>
      <c r="D4" s="14" t="s">
        <v>53</v>
      </c>
      <c r="E4" s="8" t="s">
        <v>86</v>
      </c>
      <c r="F4" s="14" t="s">
        <v>87</v>
      </c>
      <c r="G4" s="8" t="s">
        <v>298</v>
      </c>
      <c r="H4" s="8" t="s">
        <v>189</v>
      </c>
      <c r="I4" s="8" t="s">
        <v>4</v>
      </c>
      <c r="J4" s="8" t="s">
        <v>1492</v>
      </c>
      <c r="K4" s="8" t="s">
        <v>1493</v>
      </c>
      <c r="L4" s="8" t="s">
        <v>1494</v>
      </c>
      <c r="M4" s="8" t="s">
        <v>1495</v>
      </c>
      <c r="N4" s="8" t="s">
        <v>1496</v>
      </c>
      <c r="O4" s="8" t="s">
        <v>1497</v>
      </c>
    </row>
    <row r="5" customFormat="false" ht="15" hidden="false" customHeight="false" outlineLevel="0" collapsed="false">
      <c r="A5" s="18" t="s">
        <v>1498</v>
      </c>
      <c r="B5" s="25" t="n">
        <v>46314</v>
      </c>
      <c r="C5" s="18" t="s">
        <v>168</v>
      </c>
      <c r="D5" s="20" t="str">
        <f aca="false">VLOOKUP(C5,'Supplier Database'!$A$5:$K$29,2,FALSE())</f>
        <v>Unity Partners</v>
      </c>
      <c r="E5" s="18" t="s">
        <v>282</v>
      </c>
      <c r="F5" s="20" t="str">
        <f aca="false">VLOOKUP(E5,'Product Master'!$A$5:$K$104,2,FALSE())</f>
        <v>Premium Automotive Item 088</v>
      </c>
      <c r="G5" s="17" t="n">
        <v>491</v>
      </c>
      <c r="H5" s="16" t="n">
        <v>878.1</v>
      </c>
      <c r="I5" s="16" t="n">
        <f aca="false">G5*H5</f>
        <v>431147.1</v>
      </c>
      <c r="J5" s="25" t="n">
        <v>46319</v>
      </c>
      <c r="K5" s="25"/>
      <c r="L5" s="17" t="n">
        <v>0</v>
      </c>
      <c r="M5" s="17" t="n">
        <f aca="false">MAX(0,G5-L5)</f>
        <v>491</v>
      </c>
      <c r="N5" s="18" t="s">
        <v>37</v>
      </c>
      <c r="O5" s="17" t="n">
        <f aca="false">IF(N5="Cancelled",0,IF(K5&lt;&gt;"",MAX(0,K5-J5),IF(N5="Delayed",MAX(0,'Daily MIS Report'!$B$4-J5),0)))</f>
        <v>0</v>
      </c>
    </row>
    <row r="6" customFormat="false" ht="15" hidden="false" customHeight="false" outlineLevel="0" collapsed="false">
      <c r="A6" s="26" t="s">
        <v>1499</v>
      </c>
      <c r="B6" s="34" t="n">
        <v>46153</v>
      </c>
      <c r="C6" s="26" t="s">
        <v>151</v>
      </c>
      <c r="D6" s="27" t="str">
        <f aca="false">VLOOKUP(C6,'Supplier Database'!$A$5:$K$29,2,FALSE())</f>
        <v>Delta Trading Co.</v>
      </c>
      <c r="E6" s="26" t="s">
        <v>292</v>
      </c>
      <c r="F6" s="27" t="str">
        <f aca="false">VLOOKUP(E6,'Product Master'!$A$5:$K$104,2,FALSE())</f>
        <v>Compact Home Item 098</v>
      </c>
      <c r="G6" s="28" t="n">
        <v>344</v>
      </c>
      <c r="H6" s="29" t="n">
        <v>7939.11</v>
      </c>
      <c r="I6" s="29" t="n">
        <f aca="false">G6*H6</f>
        <v>2731053.84</v>
      </c>
      <c r="J6" s="34" t="n">
        <v>46163</v>
      </c>
      <c r="K6" s="34" t="n">
        <v>46162</v>
      </c>
      <c r="L6" s="28" t="n">
        <v>344</v>
      </c>
      <c r="M6" s="28" t="n">
        <f aca="false">MAX(0,G6-L6)</f>
        <v>0</v>
      </c>
      <c r="N6" s="26" t="s">
        <v>1500</v>
      </c>
      <c r="O6" s="28" t="n">
        <f aca="false">IF(N6="Cancelled",0,IF(K6&lt;&gt;"",MAX(0,K6-J6),IF(N6="Delayed",MAX(0,'Daily MIS Report'!$B$4-J6),0)))</f>
        <v>0</v>
      </c>
    </row>
    <row r="7" customFormat="false" ht="15" hidden="false" customHeight="false" outlineLevel="0" collapsed="false">
      <c r="A7" s="18" t="s">
        <v>1501</v>
      </c>
      <c r="B7" s="25" t="n">
        <v>46286</v>
      </c>
      <c r="C7" s="18" t="s">
        <v>157</v>
      </c>
      <c r="D7" s="20" t="str">
        <f aca="false">VLOOKUP(C7,'Supplier Database'!$A$5:$K$29,2,FALSE())</f>
        <v>Jupiter Industries</v>
      </c>
      <c r="E7" s="18" t="s">
        <v>198</v>
      </c>
      <c r="F7" s="20" t="str">
        <f aca="false">VLOOKUP(E7,'Product Master'!$A$5:$K$104,2,FALSE())</f>
        <v>Everyday Personal Item 004</v>
      </c>
      <c r="G7" s="17" t="n">
        <v>43</v>
      </c>
      <c r="H7" s="16" t="n">
        <v>3712.07</v>
      </c>
      <c r="I7" s="16" t="n">
        <f aca="false">G7*H7</f>
        <v>159619.01</v>
      </c>
      <c r="J7" s="25" t="n">
        <v>46300</v>
      </c>
      <c r="K7" s="25" t="n">
        <v>46300</v>
      </c>
      <c r="L7" s="17" t="n">
        <v>43</v>
      </c>
      <c r="M7" s="17" t="n">
        <f aca="false">MAX(0,G7-L7)</f>
        <v>0</v>
      </c>
      <c r="N7" s="18" t="s">
        <v>1500</v>
      </c>
      <c r="O7" s="17" t="n">
        <f aca="false">IF(N7="Cancelled",0,IF(K7&lt;&gt;"",MAX(0,K7-J7),IF(N7="Delayed",MAX(0,'Daily MIS Report'!$B$4-J7),0)))</f>
        <v>0</v>
      </c>
    </row>
    <row r="8" customFormat="false" ht="15" hidden="false" customHeight="false" outlineLevel="0" collapsed="false">
      <c r="A8" s="26" t="s">
        <v>1502</v>
      </c>
      <c r="B8" s="34" t="n">
        <v>46122</v>
      </c>
      <c r="C8" s="26" t="s">
        <v>161</v>
      </c>
      <c r="D8" s="27" t="str">
        <f aca="false">VLOOKUP(C8,'Supplier Database'!$A$5:$K$29,2,FALSE())</f>
        <v>Northstar Partners</v>
      </c>
      <c r="E8" s="26" t="s">
        <v>213</v>
      </c>
      <c r="F8" s="27" t="str">
        <f aca="false">VLOOKUP(E8,'Product Master'!$A$5:$K$104,2,FALSE())</f>
        <v>Everyday Office Item 019</v>
      </c>
      <c r="G8" s="28" t="n">
        <v>145</v>
      </c>
      <c r="H8" s="29" t="n">
        <v>2317.62</v>
      </c>
      <c r="I8" s="29" t="n">
        <f aca="false">G8*H8</f>
        <v>336054.9</v>
      </c>
      <c r="J8" s="34" t="n">
        <v>46125</v>
      </c>
      <c r="K8" s="34" t="n">
        <v>46130</v>
      </c>
      <c r="L8" s="28" t="n">
        <v>47</v>
      </c>
      <c r="M8" s="28" t="n">
        <f aca="false">MAX(0,G8-L8)</f>
        <v>98</v>
      </c>
      <c r="N8" s="26" t="s">
        <v>1503</v>
      </c>
      <c r="O8" s="28" t="n">
        <f aca="false">IF(N8="Cancelled",0,IF(K8&lt;&gt;"",MAX(0,K8-J8),IF(N8="Delayed",MAX(0,'Daily MIS Report'!$B$4-J8),0)))</f>
        <v>5</v>
      </c>
    </row>
    <row r="9" customFormat="false" ht="15" hidden="false" customHeight="false" outlineLevel="0" collapsed="false">
      <c r="A9" s="18" t="s">
        <v>1504</v>
      </c>
      <c r="B9" s="25" t="n">
        <v>46018</v>
      </c>
      <c r="C9" s="18" t="s">
        <v>153</v>
      </c>
      <c r="D9" s="20" t="str">
        <f aca="false">VLOOKUP(C9,'Supplier Database'!$A$5:$K$29,2,FALSE())</f>
        <v>Frontier Wholesale</v>
      </c>
      <c r="E9" s="18" t="s">
        <v>205</v>
      </c>
      <c r="F9" s="20" t="str">
        <f aca="false">VLOOKUP(E9,'Product Master'!$A$5:$K$104,2,FALSE())</f>
        <v>Essential Office Item 011</v>
      </c>
      <c r="G9" s="17" t="n">
        <v>332</v>
      </c>
      <c r="H9" s="16" t="n">
        <v>491.47</v>
      </c>
      <c r="I9" s="16" t="n">
        <f aca="false">G9*H9</f>
        <v>163168.04</v>
      </c>
      <c r="J9" s="25" t="n">
        <v>46029</v>
      </c>
      <c r="K9" s="25" t="n">
        <v>46029</v>
      </c>
      <c r="L9" s="17" t="n">
        <v>255</v>
      </c>
      <c r="M9" s="17" t="n">
        <f aca="false">MAX(0,G9-L9)</f>
        <v>77</v>
      </c>
      <c r="N9" s="18" t="s">
        <v>1503</v>
      </c>
      <c r="O9" s="17" t="n">
        <f aca="false">IF(N9="Cancelled",0,IF(K9&lt;&gt;"",MAX(0,K9-J9),IF(N9="Delayed",MAX(0,'Daily MIS Report'!$B$4-J9),0)))</f>
        <v>0</v>
      </c>
    </row>
    <row r="10" customFormat="false" ht="15" hidden="false" customHeight="false" outlineLevel="0" collapsed="false">
      <c r="A10" s="26" t="s">
        <v>1505</v>
      </c>
      <c r="B10" s="34" t="n">
        <v>46229</v>
      </c>
      <c r="C10" s="26" t="s">
        <v>152</v>
      </c>
      <c r="D10" s="27" t="str">
        <f aca="false">VLOOKUP(C10,'Supplier Database'!$A$5:$K$29,2,FALSE())</f>
        <v>Ever Logistics</v>
      </c>
      <c r="E10" s="26" t="s">
        <v>224</v>
      </c>
      <c r="F10" s="27" t="str">
        <f aca="false">VLOOKUP(E10,'Product Master'!$A$5:$K$104,2,FALSE())</f>
        <v>Premium Packaging Item 030</v>
      </c>
      <c r="G10" s="28" t="n">
        <v>256</v>
      </c>
      <c r="H10" s="29" t="n">
        <v>5710.74</v>
      </c>
      <c r="I10" s="29" t="n">
        <f aca="false">G10*H10</f>
        <v>1461949.44</v>
      </c>
      <c r="J10" s="34" t="n">
        <v>46232</v>
      </c>
      <c r="K10" s="34" t="n">
        <v>46229</v>
      </c>
      <c r="L10" s="28" t="n">
        <v>256</v>
      </c>
      <c r="M10" s="28" t="n">
        <f aca="false">MAX(0,G10-L10)</f>
        <v>0</v>
      </c>
      <c r="N10" s="26" t="s">
        <v>1500</v>
      </c>
      <c r="O10" s="28" t="n">
        <f aca="false">IF(N10="Cancelled",0,IF(K10&lt;&gt;"",MAX(0,K10-J10),IF(N10="Delayed",MAX(0,'Daily MIS Report'!$B$4-J10),0)))</f>
        <v>0</v>
      </c>
    </row>
    <row r="11" customFormat="false" ht="15" hidden="false" customHeight="false" outlineLevel="0" collapsed="false">
      <c r="A11" s="18" t="s">
        <v>1506</v>
      </c>
      <c r="B11" s="25" t="n">
        <v>46169</v>
      </c>
      <c r="C11" s="18" t="s">
        <v>157</v>
      </c>
      <c r="D11" s="20" t="str">
        <f aca="false">VLOOKUP(C11,'Supplier Database'!$A$5:$K$29,2,FALSE())</f>
        <v>Jupiter Industries</v>
      </c>
      <c r="E11" s="18" t="s">
        <v>281</v>
      </c>
      <c r="F11" s="20" t="str">
        <f aca="false">VLOOKUP(E11,'Product Master'!$A$5:$K$104,2,FALSE())</f>
        <v>Compact Apparel Item 087</v>
      </c>
      <c r="G11" s="17" t="n">
        <v>299</v>
      </c>
      <c r="H11" s="16" t="n">
        <v>5177.98</v>
      </c>
      <c r="I11" s="16" t="n">
        <f aca="false">G11*H11</f>
        <v>1548216.02</v>
      </c>
      <c r="J11" s="25" t="n">
        <v>46183</v>
      </c>
      <c r="K11" s="25" t="n">
        <v>46183</v>
      </c>
      <c r="L11" s="17" t="n">
        <v>299</v>
      </c>
      <c r="M11" s="17" t="n">
        <f aca="false">MAX(0,G11-L11)</f>
        <v>0</v>
      </c>
      <c r="N11" s="18" t="s">
        <v>1500</v>
      </c>
      <c r="O11" s="17" t="n">
        <f aca="false">IF(N11="Cancelled",0,IF(K11&lt;&gt;"",MAX(0,K11-J11),IF(N11="Delayed",MAX(0,'Daily MIS Report'!$B$4-J11),0)))</f>
        <v>0</v>
      </c>
    </row>
    <row r="12" customFormat="false" ht="15" hidden="false" customHeight="false" outlineLevel="0" collapsed="false">
      <c r="A12" s="26" t="s">
        <v>1507</v>
      </c>
      <c r="B12" s="34" t="n">
        <v>46231</v>
      </c>
      <c r="C12" s="26" t="s">
        <v>157</v>
      </c>
      <c r="D12" s="27" t="str">
        <f aca="false">VLOOKUP(C12,'Supplier Database'!$A$5:$K$29,2,FALSE())</f>
        <v>Jupiter Industries</v>
      </c>
      <c r="E12" s="26" t="s">
        <v>276</v>
      </c>
      <c r="F12" s="27" t="str">
        <f aca="false">VLOOKUP(E12,'Product Master'!$A$5:$K$104,2,FALSE())</f>
        <v>Compact Home Item 082</v>
      </c>
      <c r="G12" s="28" t="n">
        <v>237</v>
      </c>
      <c r="H12" s="29" t="n">
        <v>2874.65</v>
      </c>
      <c r="I12" s="29" t="n">
        <f aca="false">G12*H12</f>
        <v>681292.05</v>
      </c>
      <c r="J12" s="34" t="n">
        <v>46245</v>
      </c>
      <c r="K12" s="34" t="n">
        <v>46245</v>
      </c>
      <c r="L12" s="28" t="n">
        <v>237</v>
      </c>
      <c r="M12" s="28" t="n">
        <f aca="false">MAX(0,G12-L12)</f>
        <v>0</v>
      </c>
      <c r="N12" s="26" t="s">
        <v>1500</v>
      </c>
      <c r="O12" s="28" t="n">
        <f aca="false">IF(N12="Cancelled",0,IF(K12&lt;&gt;"",MAX(0,K12-J12),IF(N12="Delayed",MAX(0,'Daily MIS Report'!$B$4-J12),0)))</f>
        <v>0</v>
      </c>
    </row>
    <row r="13" customFormat="false" ht="15" hidden="false" customHeight="false" outlineLevel="0" collapsed="false">
      <c r="A13" s="18" t="s">
        <v>1508</v>
      </c>
      <c r="B13" s="25" t="n">
        <v>46032</v>
      </c>
      <c r="C13" s="18" t="s">
        <v>160</v>
      </c>
      <c r="D13" s="20" t="str">
        <f aca="false">VLOOKUP(C13,'Supplier Database'!$A$5:$K$29,2,FALSE())</f>
        <v>Meridian Wholesale</v>
      </c>
      <c r="E13" s="18" t="s">
        <v>256</v>
      </c>
      <c r="F13" s="20" t="str">
        <f aca="false">VLOOKUP(E13,'Product Master'!$A$5:$K$104,2,FALSE())</f>
        <v>Compact Packaging Item 062</v>
      </c>
      <c r="G13" s="17" t="n">
        <v>74</v>
      </c>
      <c r="H13" s="16" t="n">
        <v>6145.24</v>
      </c>
      <c r="I13" s="16" t="n">
        <f aca="false">G13*H13</f>
        <v>454747.76</v>
      </c>
      <c r="J13" s="25" t="n">
        <v>46034</v>
      </c>
      <c r="K13" s="25" t="n">
        <v>46037</v>
      </c>
      <c r="L13" s="17" t="n">
        <v>38</v>
      </c>
      <c r="M13" s="17" t="n">
        <f aca="false">MAX(0,G13-L13)</f>
        <v>36</v>
      </c>
      <c r="N13" s="18" t="s">
        <v>1503</v>
      </c>
      <c r="O13" s="17" t="n">
        <f aca="false">IF(N13="Cancelled",0,IF(K13&lt;&gt;"",MAX(0,K13-J13),IF(N13="Delayed",MAX(0,'Daily MIS Report'!$B$4-J13),0)))</f>
        <v>3</v>
      </c>
    </row>
    <row r="14" customFormat="false" ht="15" hidden="false" customHeight="false" outlineLevel="0" collapsed="false">
      <c r="A14" s="26" t="s">
        <v>1509</v>
      </c>
      <c r="B14" s="34" t="n">
        <v>46289</v>
      </c>
      <c r="C14" s="26" t="s">
        <v>157</v>
      </c>
      <c r="D14" s="27" t="str">
        <f aca="false">VLOOKUP(C14,'Supplier Database'!$A$5:$K$29,2,FALSE())</f>
        <v>Jupiter Industries</v>
      </c>
      <c r="E14" s="26" t="s">
        <v>197</v>
      </c>
      <c r="F14" s="27" t="str">
        <f aca="false">VLOOKUP(E14,'Product Master'!$A$5:$K$104,2,FALSE())</f>
        <v>Premium Office Item 003</v>
      </c>
      <c r="G14" s="28" t="n">
        <v>444</v>
      </c>
      <c r="H14" s="29" t="n">
        <v>1253.34</v>
      </c>
      <c r="I14" s="29" t="n">
        <f aca="false">G14*H14</f>
        <v>556482.96</v>
      </c>
      <c r="J14" s="34" t="n">
        <v>46303</v>
      </c>
      <c r="K14" s="34" t="n">
        <v>46300</v>
      </c>
      <c r="L14" s="28" t="n">
        <v>444</v>
      </c>
      <c r="M14" s="28" t="n">
        <f aca="false">MAX(0,G14-L14)</f>
        <v>0</v>
      </c>
      <c r="N14" s="26" t="s">
        <v>1500</v>
      </c>
      <c r="O14" s="28" t="n">
        <f aca="false">IF(N14="Cancelled",0,IF(K14&lt;&gt;"",MAX(0,K14-J14),IF(N14="Delayed",MAX(0,'Daily MIS Report'!$B$4-J14),0)))</f>
        <v>0</v>
      </c>
    </row>
    <row r="15" customFormat="false" ht="15" hidden="false" customHeight="false" outlineLevel="0" collapsed="false">
      <c r="A15" s="18" t="s">
        <v>1510</v>
      </c>
      <c r="B15" s="25" t="n">
        <v>46241</v>
      </c>
      <c r="C15" s="18" t="s">
        <v>171</v>
      </c>
      <c r="D15" s="20" t="str">
        <f aca="false">VLOOKUP(C15,'Supplier Database'!$A$5:$K$29,2,FALSE())</f>
        <v>Yugma Industries</v>
      </c>
      <c r="E15" s="18" t="s">
        <v>258</v>
      </c>
      <c r="F15" s="20" t="str">
        <f aca="false">VLOOKUP(E15,'Product Master'!$A$5:$K$104,2,FALSE())</f>
        <v>Compact Automotive Item 064</v>
      </c>
      <c r="G15" s="17" t="n">
        <v>446</v>
      </c>
      <c r="H15" s="16" t="n">
        <v>3296.67</v>
      </c>
      <c r="I15" s="16" t="n">
        <f aca="false">G15*H15</f>
        <v>1470314.82</v>
      </c>
      <c r="J15" s="25" t="n">
        <v>46244</v>
      </c>
      <c r="K15" s="25" t="n">
        <v>46244</v>
      </c>
      <c r="L15" s="17" t="n">
        <v>446</v>
      </c>
      <c r="M15" s="17" t="n">
        <f aca="false">MAX(0,G15-L15)</f>
        <v>0</v>
      </c>
      <c r="N15" s="18" t="s">
        <v>1500</v>
      </c>
      <c r="O15" s="17" t="n">
        <f aca="false">IF(N15="Cancelled",0,IF(K15&lt;&gt;"",MAX(0,K15-J15),IF(N15="Delayed",MAX(0,'Daily MIS Report'!$B$4-J15),0)))</f>
        <v>0</v>
      </c>
    </row>
    <row r="16" customFormat="false" ht="15" hidden="false" customHeight="false" outlineLevel="0" collapsed="false">
      <c r="A16" s="26" t="s">
        <v>1511</v>
      </c>
      <c r="B16" s="34" t="n">
        <v>46241</v>
      </c>
      <c r="C16" s="26" t="s">
        <v>159</v>
      </c>
      <c r="D16" s="27" t="str">
        <f aca="false">VLOOKUP(C16,'Supplier Database'!$A$5:$K$29,2,FALSE())</f>
        <v>Lotus Logistics</v>
      </c>
      <c r="E16" s="26" t="s">
        <v>223</v>
      </c>
      <c r="F16" s="27" t="str">
        <f aca="false">VLOOKUP(E16,'Product Master'!$A$5:$K$104,2,FALSE())</f>
        <v>Eco Industrial Item 029</v>
      </c>
      <c r="G16" s="28" t="n">
        <v>345</v>
      </c>
      <c r="H16" s="29" t="n">
        <v>7265.24</v>
      </c>
      <c r="I16" s="29" t="n">
        <f aca="false">G16*H16</f>
        <v>2506507.8</v>
      </c>
      <c r="J16" s="34" t="n">
        <v>46251</v>
      </c>
      <c r="K16" s="34" t="n">
        <v>46250</v>
      </c>
      <c r="L16" s="28" t="n">
        <v>345</v>
      </c>
      <c r="M16" s="28" t="n">
        <f aca="false">MAX(0,G16-L16)</f>
        <v>0</v>
      </c>
      <c r="N16" s="26" t="s">
        <v>1500</v>
      </c>
      <c r="O16" s="28" t="n">
        <f aca="false">IF(N16="Cancelled",0,IF(K16&lt;&gt;"",MAX(0,K16-J16),IF(N16="Delayed",MAX(0,'Daily MIS Report'!$B$4-J16),0)))</f>
        <v>0</v>
      </c>
    </row>
    <row r="17" customFormat="false" ht="15" hidden="false" customHeight="false" outlineLevel="0" collapsed="false">
      <c r="A17" s="18" t="s">
        <v>1512</v>
      </c>
      <c r="B17" s="25" t="n">
        <v>46252</v>
      </c>
      <c r="C17" s="18" t="s">
        <v>151</v>
      </c>
      <c r="D17" s="20" t="str">
        <f aca="false">VLOOKUP(C17,'Supplier Database'!$A$5:$K$29,2,FALSE())</f>
        <v>Delta Trading Co.</v>
      </c>
      <c r="E17" s="18" t="s">
        <v>275</v>
      </c>
      <c r="F17" s="20" t="str">
        <f aca="false">VLOOKUP(E17,'Product Master'!$A$5:$K$104,2,FALSE())</f>
        <v>Premium Electronics Item 081</v>
      </c>
      <c r="G17" s="17" t="n">
        <v>350</v>
      </c>
      <c r="H17" s="16" t="n">
        <v>3564.2</v>
      </c>
      <c r="I17" s="16" t="n">
        <f aca="false">G17*H17</f>
        <v>1247470</v>
      </c>
      <c r="J17" s="25" t="n">
        <v>46262</v>
      </c>
      <c r="K17" s="25"/>
      <c r="L17" s="17" t="n">
        <v>0</v>
      </c>
      <c r="M17" s="17" t="n">
        <f aca="false">MAX(0,G17-L17)</f>
        <v>350</v>
      </c>
      <c r="N17" s="18" t="s">
        <v>37</v>
      </c>
      <c r="O17" s="17" t="n">
        <f aca="false">IF(N17="Cancelled",0,IF(K17&lt;&gt;"",MAX(0,K17-J17),IF(N17="Delayed",MAX(0,'Daily MIS Report'!$B$4-J17),0)))</f>
        <v>0</v>
      </c>
    </row>
    <row r="18" customFormat="false" ht="15" hidden="false" customHeight="false" outlineLevel="0" collapsed="false">
      <c r="A18" s="26" t="s">
        <v>1513</v>
      </c>
      <c r="B18" s="34" t="n">
        <v>46302</v>
      </c>
      <c r="C18" s="26" t="s">
        <v>166</v>
      </c>
      <c r="D18" s="27" t="str">
        <f aca="false">VLOOKUP(C18,'Supplier Database'!$A$5:$K$29,2,FALSE())</f>
        <v>Summit Logistics</v>
      </c>
      <c r="E18" s="26" t="s">
        <v>241</v>
      </c>
      <c r="F18" s="27" t="str">
        <f aca="false">VLOOKUP(E18,'Product Master'!$A$5:$K$104,2,FALSE())</f>
        <v>Premium Apparel Item 047</v>
      </c>
      <c r="G18" s="28" t="n">
        <v>394</v>
      </c>
      <c r="H18" s="29" t="n">
        <v>2167.04</v>
      </c>
      <c r="I18" s="29" t="n">
        <f aca="false">G18*H18</f>
        <v>853813.76</v>
      </c>
      <c r="J18" s="34" t="n">
        <v>46312</v>
      </c>
      <c r="K18" s="34"/>
      <c r="L18" s="28" t="n">
        <v>5</v>
      </c>
      <c r="M18" s="28" t="n">
        <f aca="false">MAX(0,G18-L18)</f>
        <v>389</v>
      </c>
      <c r="N18" s="26" t="s">
        <v>1514</v>
      </c>
      <c r="O18" s="28" t="n">
        <f aca="false">IF(N18="Cancelled",0,IF(K18&lt;&gt;"",MAX(0,K18-J18),IF(N18="Delayed",MAX(0,'Daily MIS Report'!$B$4-J18),0)))</f>
        <v>2</v>
      </c>
    </row>
    <row r="19" customFormat="false" ht="15" hidden="false" customHeight="false" outlineLevel="0" collapsed="false">
      <c r="A19" s="18" t="s">
        <v>1515</v>
      </c>
      <c r="B19" s="25" t="n">
        <v>46313</v>
      </c>
      <c r="C19" s="18" t="s">
        <v>161</v>
      </c>
      <c r="D19" s="20" t="str">
        <f aca="false">VLOOKUP(C19,'Supplier Database'!$A$5:$K$29,2,FALSE())</f>
        <v>Northstar Partners</v>
      </c>
      <c r="E19" s="18" t="s">
        <v>217</v>
      </c>
      <c r="F19" s="20" t="str">
        <f aca="false">VLOOKUP(E19,'Product Master'!$A$5:$K$104,2,FALSE())</f>
        <v>Eco Apparel Item 023</v>
      </c>
      <c r="G19" s="17" t="n">
        <v>122</v>
      </c>
      <c r="H19" s="16" t="n">
        <v>2520.31</v>
      </c>
      <c r="I19" s="16" t="n">
        <f aca="false">G19*H19</f>
        <v>307477.82</v>
      </c>
      <c r="J19" s="25" t="n">
        <v>46316</v>
      </c>
      <c r="K19" s="25" t="n">
        <v>46316</v>
      </c>
      <c r="L19" s="17" t="n">
        <v>122</v>
      </c>
      <c r="M19" s="17" t="n">
        <f aca="false">MAX(0,G19-L19)</f>
        <v>0</v>
      </c>
      <c r="N19" s="18" t="s">
        <v>1500</v>
      </c>
      <c r="O19" s="17" t="n">
        <f aca="false">IF(N19="Cancelled",0,IF(K19&lt;&gt;"",MAX(0,K19-J19),IF(N19="Delayed",MAX(0,'Daily MIS Report'!$B$4-J19),0)))</f>
        <v>0</v>
      </c>
    </row>
    <row r="20" customFormat="false" ht="15" hidden="false" customHeight="false" outlineLevel="0" collapsed="false">
      <c r="A20" s="26" t="s">
        <v>1516</v>
      </c>
      <c r="B20" s="34" t="n">
        <v>46302</v>
      </c>
      <c r="C20" s="26" t="s">
        <v>164</v>
      </c>
      <c r="D20" s="27" t="str">
        <f aca="false">VLOOKUP(C20,'Supplier Database'!$A$5:$K$29,2,FALSE())</f>
        <v>Quantum Industries</v>
      </c>
      <c r="E20" s="26" t="s">
        <v>229</v>
      </c>
      <c r="F20" s="27" t="str">
        <f aca="false">VLOOKUP(E20,'Product Master'!$A$5:$K$104,2,FALSE())</f>
        <v>Smart Office Item 035</v>
      </c>
      <c r="G20" s="28" t="n">
        <v>445</v>
      </c>
      <c r="H20" s="29" t="n">
        <v>5853.98</v>
      </c>
      <c r="I20" s="29" t="n">
        <f aca="false">G20*H20</f>
        <v>2605021.1</v>
      </c>
      <c r="J20" s="34" t="n">
        <v>46310</v>
      </c>
      <c r="K20" s="34"/>
      <c r="L20" s="28" t="n">
        <v>7</v>
      </c>
      <c r="M20" s="28" t="n">
        <f aca="false">MAX(0,G20-L20)</f>
        <v>438</v>
      </c>
      <c r="N20" s="26" t="s">
        <v>1514</v>
      </c>
      <c r="O20" s="28" t="n">
        <f aca="false">IF(N20="Cancelled",0,IF(K20&lt;&gt;"",MAX(0,K20-J20),IF(N20="Delayed",MAX(0,'Daily MIS Report'!$B$4-J20),0)))</f>
        <v>4</v>
      </c>
    </row>
    <row r="21" customFormat="false" ht="15" hidden="false" customHeight="false" outlineLevel="0" collapsed="false">
      <c r="A21" s="18" t="s">
        <v>1517</v>
      </c>
      <c r="B21" s="25" t="n">
        <v>46082</v>
      </c>
      <c r="C21" s="18" t="s">
        <v>171</v>
      </c>
      <c r="D21" s="20" t="str">
        <f aca="false">VLOOKUP(C21,'Supplier Database'!$A$5:$K$29,2,FALSE())</f>
        <v>Yugma Industries</v>
      </c>
      <c r="E21" s="18" t="s">
        <v>238</v>
      </c>
      <c r="F21" s="20" t="str">
        <f aca="false">VLOOKUP(E21,'Product Master'!$A$5:$K$104,2,FALSE())</f>
        <v>Essential Personal Item 044</v>
      </c>
      <c r="G21" s="17" t="n">
        <v>431</v>
      </c>
      <c r="H21" s="16" t="n">
        <v>769.13</v>
      </c>
      <c r="I21" s="16" t="n">
        <f aca="false">G21*H21</f>
        <v>331495.03</v>
      </c>
      <c r="J21" s="25" t="n">
        <v>46085</v>
      </c>
      <c r="K21" s="25"/>
      <c r="L21" s="17" t="n">
        <v>0</v>
      </c>
      <c r="M21" s="17" t="n">
        <f aca="false">MAX(0,G21-L21)</f>
        <v>431</v>
      </c>
      <c r="N21" s="18" t="s">
        <v>43</v>
      </c>
      <c r="O21" s="17" t="n">
        <f aca="false">IF(N21="Cancelled",0,IF(K21&lt;&gt;"",MAX(0,K21-J21),IF(N21="Delayed",MAX(0,'Daily MIS Report'!$B$4-J21),0)))</f>
        <v>0</v>
      </c>
    </row>
    <row r="22" customFormat="false" ht="15" hidden="false" customHeight="false" outlineLevel="0" collapsed="false">
      <c r="A22" s="26" t="s">
        <v>1518</v>
      </c>
      <c r="B22" s="34" t="n">
        <v>46003</v>
      </c>
      <c r="C22" s="26" t="s">
        <v>172</v>
      </c>
      <c r="D22" s="27" t="str">
        <f aca="false">VLOOKUP(C22,'Supplier Database'!$A$5:$K$29,2,FALSE())</f>
        <v>Zenith Trading Co.</v>
      </c>
      <c r="E22" s="26" t="s">
        <v>223</v>
      </c>
      <c r="F22" s="27" t="str">
        <f aca="false">VLOOKUP(E22,'Product Master'!$A$5:$K$104,2,FALSE())</f>
        <v>Eco Industrial Item 029</v>
      </c>
      <c r="G22" s="28" t="n">
        <v>460</v>
      </c>
      <c r="H22" s="29" t="n">
        <v>7705.49</v>
      </c>
      <c r="I22" s="29" t="n">
        <f aca="false">G22*H22</f>
        <v>3544525.4</v>
      </c>
      <c r="J22" s="34" t="n">
        <v>46008</v>
      </c>
      <c r="K22" s="34" t="n">
        <v>46010</v>
      </c>
      <c r="L22" s="28" t="n">
        <v>434</v>
      </c>
      <c r="M22" s="28" t="n">
        <f aca="false">MAX(0,G22-L22)</f>
        <v>26</v>
      </c>
      <c r="N22" s="26" t="s">
        <v>1503</v>
      </c>
      <c r="O22" s="28" t="n">
        <f aca="false">IF(N22="Cancelled",0,IF(K22&lt;&gt;"",MAX(0,K22-J22),IF(N22="Delayed",MAX(0,'Daily MIS Report'!$B$4-J22),0)))</f>
        <v>2</v>
      </c>
    </row>
    <row r="23" customFormat="false" ht="15" hidden="false" customHeight="false" outlineLevel="0" collapsed="false">
      <c r="A23" s="18" t="s">
        <v>1519</v>
      </c>
      <c r="B23" s="25" t="n">
        <v>46216</v>
      </c>
      <c r="C23" s="18" t="s">
        <v>159</v>
      </c>
      <c r="D23" s="20" t="str">
        <f aca="false">VLOOKUP(C23,'Supplier Database'!$A$5:$K$29,2,FALSE())</f>
        <v>Lotus Logistics</v>
      </c>
      <c r="E23" s="18" t="s">
        <v>206</v>
      </c>
      <c r="F23" s="20" t="str">
        <f aca="false">VLOOKUP(E23,'Product Master'!$A$5:$K$104,2,FALSE())</f>
        <v>Eco Personal Item 012</v>
      </c>
      <c r="G23" s="17" t="n">
        <v>424</v>
      </c>
      <c r="H23" s="16" t="n">
        <v>5636.68</v>
      </c>
      <c r="I23" s="16" t="n">
        <f aca="false">G23*H23</f>
        <v>2389952.32</v>
      </c>
      <c r="J23" s="25" t="n">
        <v>46226</v>
      </c>
      <c r="K23" s="25" t="n">
        <v>46224</v>
      </c>
      <c r="L23" s="17" t="n">
        <v>424</v>
      </c>
      <c r="M23" s="17" t="n">
        <f aca="false">MAX(0,G23-L23)</f>
        <v>0</v>
      </c>
      <c r="N23" s="18" t="s">
        <v>1500</v>
      </c>
      <c r="O23" s="17" t="n">
        <f aca="false">IF(N23="Cancelled",0,IF(K23&lt;&gt;"",MAX(0,K23-J23),IF(N23="Delayed",MAX(0,'Daily MIS Report'!$B$4-J23),0)))</f>
        <v>0</v>
      </c>
    </row>
    <row r="24" customFormat="false" ht="15" hidden="false" customHeight="false" outlineLevel="0" collapsed="false">
      <c r="A24" s="26" t="s">
        <v>1520</v>
      </c>
      <c r="B24" s="34" t="n">
        <v>46163</v>
      </c>
      <c r="C24" s="26" t="s">
        <v>159</v>
      </c>
      <c r="D24" s="27" t="str">
        <f aca="false">VLOOKUP(C24,'Supplier Database'!$A$5:$K$29,2,FALSE())</f>
        <v>Lotus Logistics</v>
      </c>
      <c r="E24" s="26" t="s">
        <v>281</v>
      </c>
      <c r="F24" s="27" t="str">
        <f aca="false">VLOOKUP(E24,'Product Master'!$A$5:$K$104,2,FALSE())</f>
        <v>Compact Apparel Item 087</v>
      </c>
      <c r="G24" s="28" t="n">
        <v>403</v>
      </c>
      <c r="H24" s="29" t="n">
        <v>5511.26</v>
      </c>
      <c r="I24" s="29" t="n">
        <f aca="false">G24*H24</f>
        <v>2221037.78</v>
      </c>
      <c r="J24" s="34" t="n">
        <v>46173</v>
      </c>
      <c r="K24" s="34" t="n">
        <v>46178</v>
      </c>
      <c r="L24" s="28" t="n">
        <v>327</v>
      </c>
      <c r="M24" s="28" t="n">
        <f aca="false">MAX(0,G24-L24)</f>
        <v>76</v>
      </c>
      <c r="N24" s="26" t="s">
        <v>1503</v>
      </c>
      <c r="O24" s="28" t="n">
        <f aca="false">IF(N24="Cancelled",0,IF(K24&lt;&gt;"",MAX(0,K24-J24),IF(N24="Delayed",MAX(0,'Daily MIS Report'!$B$4-J24),0)))</f>
        <v>5</v>
      </c>
    </row>
    <row r="25" customFormat="false" ht="15" hidden="false" customHeight="false" outlineLevel="0" collapsed="false">
      <c r="A25" s="18" t="s">
        <v>1521</v>
      </c>
      <c r="B25" s="25" t="n">
        <v>46121</v>
      </c>
      <c r="C25" s="18" t="s">
        <v>151</v>
      </c>
      <c r="D25" s="20" t="str">
        <f aca="false">VLOOKUP(C25,'Supplier Database'!$A$5:$K$29,2,FALSE())</f>
        <v>Delta Trading Co.</v>
      </c>
      <c r="E25" s="18" t="s">
        <v>281</v>
      </c>
      <c r="F25" s="20" t="str">
        <f aca="false">VLOOKUP(E25,'Product Master'!$A$5:$K$104,2,FALSE())</f>
        <v>Compact Apparel Item 087</v>
      </c>
      <c r="G25" s="17" t="n">
        <v>139</v>
      </c>
      <c r="H25" s="16" t="n">
        <v>5381.11</v>
      </c>
      <c r="I25" s="16" t="n">
        <f aca="false">G25*H25</f>
        <v>747974.29</v>
      </c>
      <c r="J25" s="25" t="n">
        <v>46131</v>
      </c>
      <c r="K25" s="25" t="n">
        <v>46134</v>
      </c>
      <c r="L25" s="17" t="n">
        <v>84</v>
      </c>
      <c r="M25" s="17" t="n">
        <f aca="false">MAX(0,G25-L25)</f>
        <v>55</v>
      </c>
      <c r="N25" s="18" t="s">
        <v>1503</v>
      </c>
      <c r="O25" s="17" t="n">
        <f aca="false">IF(N25="Cancelled",0,IF(K25&lt;&gt;"",MAX(0,K25-J25),IF(N25="Delayed",MAX(0,'Daily MIS Report'!$B$4-J25),0)))</f>
        <v>3</v>
      </c>
    </row>
    <row r="26" customFormat="false" ht="15" hidden="false" customHeight="false" outlineLevel="0" collapsed="false">
      <c r="A26" s="26" t="s">
        <v>1522</v>
      </c>
      <c r="B26" s="34" t="n">
        <v>46243</v>
      </c>
      <c r="C26" s="26" t="s">
        <v>155</v>
      </c>
      <c r="D26" s="27" t="str">
        <f aca="false">VLOOKUP(C26,'Supplier Database'!$A$5:$K$29,2,FALSE())</f>
        <v>Horizon Supplies</v>
      </c>
      <c r="E26" s="26" t="s">
        <v>277</v>
      </c>
      <c r="F26" s="27" t="str">
        <f aca="false">VLOOKUP(E26,'Product Master'!$A$5:$K$104,2,FALSE())</f>
        <v>Essential Office Item 083</v>
      </c>
      <c r="G26" s="28" t="n">
        <v>52</v>
      </c>
      <c r="H26" s="29" t="n">
        <v>2576.46</v>
      </c>
      <c r="I26" s="29" t="n">
        <f aca="false">G26*H26</f>
        <v>133975.92</v>
      </c>
      <c r="J26" s="34" t="n">
        <v>46248</v>
      </c>
      <c r="K26" s="34" t="n">
        <v>46248</v>
      </c>
      <c r="L26" s="28" t="n">
        <v>52</v>
      </c>
      <c r="M26" s="28" t="n">
        <f aca="false">MAX(0,G26-L26)</f>
        <v>0</v>
      </c>
      <c r="N26" s="26" t="s">
        <v>1500</v>
      </c>
      <c r="O26" s="28" t="n">
        <f aca="false">IF(N26="Cancelled",0,IF(K26&lt;&gt;"",MAX(0,K26-J26),IF(N26="Delayed",MAX(0,'Daily MIS Report'!$B$4-J26),0)))</f>
        <v>0</v>
      </c>
    </row>
    <row r="27" customFormat="false" ht="15" hidden="false" customHeight="false" outlineLevel="0" collapsed="false">
      <c r="A27" s="18" t="s">
        <v>1523</v>
      </c>
      <c r="B27" s="25" t="n">
        <v>46263</v>
      </c>
      <c r="C27" s="18" t="s">
        <v>161</v>
      </c>
      <c r="D27" s="20" t="str">
        <f aca="false">VLOOKUP(C27,'Supplier Database'!$A$5:$K$29,2,FALSE())</f>
        <v>Northstar Partners</v>
      </c>
      <c r="E27" s="18" t="s">
        <v>209</v>
      </c>
      <c r="F27" s="20" t="str">
        <f aca="false">VLOOKUP(E27,'Product Master'!$A$5:$K$104,2,FALSE())</f>
        <v>Classic Apparel Item 015</v>
      </c>
      <c r="G27" s="17" t="n">
        <v>91</v>
      </c>
      <c r="H27" s="16" t="n">
        <v>969.87</v>
      </c>
      <c r="I27" s="16" t="n">
        <f aca="false">G27*H27</f>
        <v>88258.17</v>
      </c>
      <c r="J27" s="25" t="n">
        <v>46266</v>
      </c>
      <c r="K27" s="25" t="n">
        <v>46266</v>
      </c>
      <c r="L27" s="17" t="n">
        <v>91</v>
      </c>
      <c r="M27" s="17" t="n">
        <f aca="false">MAX(0,G27-L27)</f>
        <v>0</v>
      </c>
      <c r="N27" s="18" t="s">
        <v>1500</v>
      </c>
      <c r="O27" s="17" t="n">
        <f aca="false">IF(N27="Cancelled",0,IF(K27&lt;&gt;"",MAX(0,K27-J27),IF(N27="Delayed",MAX(0,'Daily MIS Report'!$B$4-J27),0)))</f>
        <v>0</v>
      </c>
    </row>
    <row r="28" customFormat="false" ht="15" hidden="false" customHeight="false" outlineLevel="0" collapsed="false">
      <c r="A28" s="26" t="s">
        <v>1524</v>
      </c>
      <c r="B28" s="34" t="n">
        <v>45990</v>
      </c>
      <c r="C28" s="26" t="s">
        <v>151</v>
      </c>
      <c r="D28" s="27" t="str">
        <f aca="false">VLOOKUP(C28,'Supplier Database'!$A$5:$K$29,2,FALSE())</f>
        <v>Delta Trading Co.</v>
      </c>
      <c r="E28" s="26" t="s">
        <v>225</v>
      </c>
      <c r="F28" s="27" t="str">
        <f aca="false">VLOOKUP(E28,'Product Master'!$A$5:$K$104,2,FALSE())</f>
        <v>Essential Apparel Item 031</v>
      </c>
      <c r="G28" s="28" t="n">
        <v>474</v>
      </c>
      <c r="H28" s="29" t="n">
        <v>8184.47</v>
      </c>
      <c r="I28" s="29" t="n">
        <f aca="false">G28*H28</f>
        <v>3879438.78</v>
      </c>
      <c r="J28" s="34" t="n">
        <v>46000</v>
      </c>
      <c r="K28" s="34" t="n">
        <v>46001</v>
      </c>
      <c r="L28" s="28" t="n">
        <v>474</v>
      </c>
      <c r="M28" s="28" t="n">
        <f aca="false">MAX(0,G28-L28)</f>
        <v>0</v>
      </c>
      <c r="N28" s="26" t="s">
        <v>1500</v>
      </c>
      <c r="O28" s="28" t="n">
        <f aca="false">IF(N28="Cancelled",0,IF(K28&lt;&gt;"",MAX(0,K28-J28),IF(N28="Delayed",MAX(0,'Daily MIS Report'!$B$4-J28),0)))</f>
        <v>1</v>
      </c>
    </row>
    <row r="29" customFormat="false" ht="15" hidden="false" customHeight="false" outlineLevel="0" collapsed="false">
      <c r="A29" s="18" t="s">
        <v>1525</v>
      </c>
      <c r="B29" s="25" t="n">
        <v>46274</v>
      </c>
      <c r="C29" s="18" t="s">
        <v>171</v>
      </c>
      <c r="D29" s="20" t="str">
        <f aca="false">VLOOKUP(C29,'Supplier Database'!$A$5:$K$29,2,FALSE())</f>
        <v>Yugma Industries</v>
      </c>
      <c r="E29" s="18" t="s">
        <v>284</v>
      </c>
      <c r="F29" s="20" t="str">
        <f aca="false">VLOOKUP(E29,'Product Master'!$A$5:$K$104,2,FALSE())</f>
        <v>Compact Home Item 090</v>
      </c>
      <c r="G29" s="17" t="n">
        <v>296</v>
      </c>
      <c r="H29" s="16" t="n">
        <v>8253.57</v>
      </c>
      <c r="I29" s="16" t="n">
        <f aca="false">G29*H29</f>
        <v>2443056.72</v>
      </c>
      <c r="J29" s="25" t="n">
        <v>46277</v>
      </c>
      <c r="K29" s="25"/>
      <c r="L29" s="17" t="n">
        <v>0</v>
      </c>
      <c r="M29" s="17" t="n">
        <f aca="false">MAX(0,G29-L29)</f>
        <v>296</v>
      </c>
      <c r="N29" s="18" t="s">
        <v>37</v>
      </c>
      <c r="O29" s="17" t="n">
        <f aca="false">IF(N29="Cancelled",0,IF(K29&lt;&gt;"",MAX(0,K29-J29),IF(N29="Delayed",MAX(0,'Daily MIS Report'!$B$4-J29),0)))</f>
        <v>0</v>
      </c>
    </row>
    <row r="30" customFormat="false" ht="15" hidden="false" customHeight="false" outlineLevel="0" collapsed="false">
      <c r="A30" s="26" t="s">
        <v>1526</v>
      </c>
      <c r="B30" s="34" t="n">
        <v>46010</v>
      </c>
      <c r="C30" s="26" t="s">
        <v>161</v>
      </c>
      <c r="D30" s="27" t="str">
        <f aca="false">VLOOKUP(C30,'Supplier Database'!$A$5:$K$29,2,FALSE())</f>
        <v>Northstar Partners</v>
      </c>
      <c r="E30" s="26" t="s">
        <v>278</v>
      </c>
      <c r="F30" s="27" t="str">
        <f aca="false">VLOOKUP(E30,'Product Master'!$A$5:$K$104,2,FALSE())</f>
        <v>Eco Personal Item 084</v>
      </c>
      <c r="G30" s="28" t="n">
        <v>70</v>
      </c>
      <c r="H30" s="29" t="n">
        <v>2942.31</v>
      </c>
      <c r="I30" s="29" t="n">
        <f aca="false">G30*H30</f>
        <v>205961.7</v>
      </c>
      <c r="J30" s="34" t="n">
        <v>46013</v>
      </c>
      <c r="K30" s="34" t="n">
        <v>46014</v>
      </c>
      <c r="L30" s="28" t="n">
        <v>5</v>
      </c>
      <c r="M30" s="28" t="n">
        <f aca="false">MAX(0,G30-L30)</f>
        <v>65</v>
      </c>
      <c r="N30" s="26" t="s">
        <v>1503</v>
      </c>
      <c r="O30" s="28" t="n">
        <f aca="false">IF(N30="Cancelled",0,IF(K30&lt;&gt;"",MAX(0,K30-J30),IF(N30="Delayed",MAX(0,'Daily MIS Report'!$B$4-J30),0)))</f>
        <v>1</v>
      </c>
    </row>
    <row r="31" customFormat="false" ht="15" hidden="false" customHeight="false" outlineLevel="0" collapsed="false">
      <c r="A31" s="18" t="s">
        <v>1527</v>
      </c>
      <c r="B31" s="25" t="n">
        <v>46284</v>
      </c>
      <c r="C31" s="18" t="s">
        <v>159</v>
      </c>
      <c r="D31" s="20" t="str">
        <f aca="false">VLOOKUP(C31,'Supplier Database'!$A$5:$K$29,2,FALSE())</f>
        <v>Lotus Logistics</v>
      </c>
      <c r="E31" s="18" t="s">
        <v>222</v>
      </c>
      <c r="F31" s="20" t="str">
        <f aca="false">VLOOKUP(E31,'Product Master'!$A$5:$K$104,2,FALSE())</f>
        <v>Pro Personal Item 028</v>
      </c>
      <c r="G31" s="17" t="n">
        <v>247</v>
      </c>
      <c r="H31" s="16" t="n">
        <v>1776.84</v>
      </c>
      <c r="I31" s="16" t="n">
        <f aca="false">G31*H31</f>
        <v>438879.48</v>
      </c>
      <c r="J31" s="25" t="n">
        <v>46294</v>
      </c>
      <c r="K31" s="25" t="n">
        <v>46294</v>
      </c>
      <c r="L31" s="17" t="n">
        <v>247</v>
      </c>
      <c r="M31" s="17" t="n">
        <f aca="false">MAX(0,G31-L31)</f>
        <v>0</v>
      </c>
      <c r="N31" s="18" t="s">
        <v>1500</v>
      </c>
      <c r="O31" s="17" t="n">
        <f aca="false">IF(N31="Cancelled",0,IF(K31&lt;&gt;"",MAX(0,K31-J31),IF(N31="Delayed",MAX(0,'Daily MIS Report'!$B$4-J31),0)))</f>
        <v>0</v>
      </c>
    </row>
    <row r="32" customFormat="false" ht="15" hidden="false" customHeight="false" outlineLevel="0" collapsed="false">
      <c r="A32" s="26" t="s">
        <v>1528</v>
      </c>
      <c r="B32" s="34" t="n">
        <v>45981</v>
      </c>
      <c r="C32" s="26" t="s">
        <v>169</v>
      </c>
      <c r="D32" s="27" t="str">
        <f aca="false">VLOOKUP(C32,'Supplier Database'!$A$5:$K$29,2,FALSE())</f>
        <v>Vertex Supplies</v>
      </c>
      <c r="E32" s="26" t="s">
        <v>242</v>
      </c>
      <c r="F32" s="27" t="str">
        <f aca="false">VLOOKUP(E32,'Product Master'!$A$5:$K$104,2,FALSE())</f>
        <v>Eco Automotive Item 048</v>
      </c>
      <c r="G32" s="28" t="n">
        <v>298</v>
      </c>
      <c r="H32" s="29" t="n">
        <v>351.35</v>
      </c>
      <c r="I32" s="29" t="n">
        <f aca="false">G32*H32</f>
        <v>104702.3</v>
      </c>
      <c r="J32" s="34" t="n">
        <v>45985</v>
      </c>
      <c r="K32" s="34" t="n">
        <v>45984</v>
      </c>
      <c r="L32" s="28" t="n">
        <v>204</v>
      </c>
      <c r="M32" s="28" t="n">
        <f aca="false">MAX(0,G32-L32)</f>
        <v>94</v>
      </c>
      <c r="N32" s="26" t="s">
        <v>1503</v>
      </c>
      <c r="O32" s="28" t="n">
        <f aca="false">IF(N32="Cancelled",0,IF(K32&lt;&gt;"",MAX(0,K32-J32),IF(N32="Delayed",MAX(0,'Daily MIS Report'!$B$4-J32),0)))</f>
        <v>0</v>
      </c>
    </row>
    <row r="33" customFormat="false" ht="15" hidden="false" customHeight="false" outlineLevel="0" collapsed="false">
      <c r="A33" s="18" t="s">
        <v>1529</v>
      </c>
      <c r="B33" s="25" t="n">
        <v>46072</v>
      </c>
      <c r="C33" s="18" t="s">
        <v>154</v>
      </c>
      <c r="D33" s="20" t="str">
        <f aca="false">VLOOKUP(C33,'Supplier Database'!$A$5:$K$29,2,FALSE())</f>
        <v>Global Partners</v>
      </c>
      <c r="E33" s="18" t="s">
        <v>210</v>
      </c>
      <c r="F33" s="20" t="str">
        <f aca="false">VLOOKUP(E33,'Product Master'!$A$5:$K$104,2,FALSE())</f>
        <v>Pro Automotive Item 016</v>
      </c>
      <c r="G33" s="17" t="n">
        <v>454</v>
      </c>
      <c r="H33" s="16" t="n">
        <v>4132.07</v>
      </c>
      <c r="I33" s="16" t="n">
        <f aca="false">G33*H33</f>
        <v>1875959.78</v>
      </c>
      <c r="J33" s="25" t="n">
        <v>46086</v>
      </c>
      <c r="K33" s="25" t="n">
        <v>46086</v>
      </c>
      <c r="L33" s="17" t="n">
        <v>454</v>
      </c>
      <c r="M33" s="17" t="n">
        <f aca="false">MAX(0,G33-L33)</f>
        <v>0</v>
      </c>
      <c r="N33" s="18" t="s">
        <v>1500</v>
      </c>
      <c r="O33" s="17" t="n">
        <f aca="false">IF(N33="Cancelled",0,IF(K33&lt;&gt;"",MAX(0,K33-J33),IF(N33="Delayed",MAX(0,'Daily MIS Report'!$B$4-J33),0)))</f>
        <v>0</v>
      </c>
    </row>
    <row r="34" customFormat="false" ht="15" hidden="false" customHeight="false" outlineLevel="0" collapsed="false">
      <c r="A34" s="26" t="s">
        <v>1530</v>
      </c>
      <c r="B34" s="34" t="n">
        <v>46259</v>
      </c>
      <c r="C34" s="26" t="s">
        <v>168</v>
      </c>
      <c r="D34" s="27" t="str">
        <f aca="false">VLOOKUP(C34,'Supplier Database'!$A$5:$K$29,2,FALSE())</f>
        <v>Unity Partners</v>
      </c>
      <c r="E34" s="26" t="s">
        <v>271</v>
      </c>
      <c r="F34" s="27" t="str">
        <f aca="false">VLOOKUP(E34,'Product Master'!$A$5:$K$104,2,FALSE())</f>
        <v>Everyday Industrial Item 077</v>
      </c>
      <c r="G34" s="28" t="n">
        <v>30</v>
      </c>
      <c r="H34" s="29" t="n">
        <v>2524.38</v>
      </c>
      <c r="I34" s="29" t="n">
        <f aca="false">G34*H34</f>
        <v>75731.4</v>
      </c>
      <c r="J34" s="34" t="n">
        <v>46263</v>
      </c>
      <c r="K34" s="34" t="n">
        <v>46262</v>
      </c>
      <c r="L34" s="28" t="n">
        <v>30</v>
      </c>
      <c r="M34" s="28" t="n">
        <f aca="false">MAX(0,G34-L34)</f>
        <v>0</v>
      </c>
      <c r="N34" s="26" t="s">
        <v>1500</v>
      </c>
      <c r="O34" s="28" t="n">
        <f aca="false">IF(N34="Cancelled",0,IF(K34&lt;&gt;"",MAX(0,K34-J34),IF(N34="Delayed",MAX(0,'Daily MIS Report'!$B$4-J34),0)))</f>
        <v>0</v>
      </c>
    </row>
    <row r="35" customFormat="false" ht="15" hidden="false" customHeight="false" outlineLevel="0" collapsed="false">
      <c r="A35" s="18" t="s">
        <v>1531</v>
      </c>
      <c r="B35" s="25" t="n">
        <v>46220</v>
      </c>
      <c r="C35" s="18" t="s">
        <v>154</v>
      </c>
      <c r="D35" s="20" t="str">
        <f aca="false">VLOOKUP(C35,'Supplier Database'!$A$5:$K$29,2,FALSE())</f>
        <v>Global Partners</v>
      </c>
      <c r="E35" s="18" t="s">
        <v>203</v>
      </c>
      <c r="F35" s="20" t="str">
        <f aca="false">VLOOKUP(E35,'Product Master'!$A$5:$K$104,2,FALSE())</f>
        <v>Essential Electronics Item 009</v>
      </c>
      <c r="G35" s="17" t="n">
        <v>444</v>
      </c>
      <c r="H35" s="16" t="n">
        <v>3944.21</v>
      </c>
      <c r="I35" s="16" t="n">
        <f aca="false">G35*H35</f>
        <v>1751229.24</v>
      </c>
      <c r="J35" s="25" t="n">
        <v>46234</v>
      </c>
      <c r="K35" s="25" t="n">
        <v>46234</v>
      </c>
      <c r="L35" s="17" t="n">
        <v>444</v>
      </c>
      <c r="M35" s="17" t="n">
        <f aca="false">MAX(0,G35-L35)</f>
        <v>0</v>
      </c>
      <c r="N35" s="18" t="s">
        <v>1500</v>
      </c>
      <c r="O35" s="17" t="n">
        <f aca="false">IF(N35="Cancelled",0,IF(K35&lt;&gt;"",MAX(0,K35-J35),IF(N35="Delayed",MAX(0,'Daily MIS Report'!$B$4-J35),0)))</f>
        <v>0</v>
      </c>
    </row>
    <row r="36" customFormat="false" ht="15" hidden="false" customHeight="false" outlineLevel="0" collapsed="false">
      <c r="A36" s="26" t="s">
        <v>1532</v>
      </c>
      <c r="B36" s="34" t="n">
        <v>46050</v>
      </c>
      <c r="C36" s="26" t="s">
        <v>158</v>
      </c>
      <c r="D36" s="27" t="str">
        <f aca="false">VLOOKUP(C36,'Supplier Database'!$A$5:$K$29,2,FALSE())</f>
        <v>Kinetic Trading Co.</v>
      </c>
      <c r="E36" s="26" t="s">
        <v>294</v>
      </c>
      <c r="F36" s="27" t="str">
        <f aca="false">VLOOKUP(E36,'Product Master'!$A$5:$K$104,2,FALSE())</f>
        <v>Smart Personal Item 100</v>
      </c>
      <c r="G36" s="28" t="n">
        <v>95</v>
      </c>
      <c r="H36" s="29" t="n">
        <v>7574.88</v>
      </c>
      <c r="I36" s="29" t="n">
        <f aca="false">G36*H36</f>
        <v>719613.6</v>
      </c>
      <c r="J36" s="34" t="n">
        <v>46062</v>
      </c>
      <c r="K36" s="34" t="n">
        <v>46063</v>
      </c>
      <c r="L36" s="28" t="n">
        <v>19</v>
      </c>
      <c r="M36" s="28" t="n">
        <f aca="false">MAX(0,G36-L36)</f>
        <v>76</v>
      </c>
      <c r="N36" s="26" t="s">
        <v>1503</v>
      </c>
      <c r="O36" s="28" t="n">
        <f aca="false">IF(N36="Cancelled",0,IF(K36&lt;&gt;"",MAX(0,K36-J36),IF(N36="Delayed",MAX(0,'Daily MIS Report'!$B$4-J36),0)))</f>
        <v>1</v>
      </c>
    </row>
    <row r="37" customFormat="false" ht="15" hidden="false" customHeight="false" outlineLevel="0" collapsed="false">
      <c r="A37" s="18" t="s">
        <v>1533</v>
      </c>
      <c r="B37" s="25" t="n">
        <v>45997</v>
      </c>
      <c r="C37" s="18" t="s">
        <v>165</v>
      </c>
      <c r="D37" s="20" t="str">
        <f aca="false">VLOOKUP(C37,'Supplier Database'!$A$5:$K$29,2,FALSE())</f>
        <v>Riverstone Trading Co.</v>
      </c>
      <c r="E37" s="18" t="s">
        <v>227</v>
      </c>
      <c r="F37" s="20" t="str">
        <f aca="false">VLOOKUP(E37,'Product Master'!$A$5:$K$104,2,FALSE())</f>
        <v>Compact Electronics Item 033</v>
      </c>
      <c r="G37" s="17" t="n">
        <v>428</v>
      </c>
      <c r="H37" s="16" t="n">
        <v>7417.92</v>
      </c>
      <c r="I37" s="16" t="n">
        <f aca="false">G37*H37</f>
        <v>3174869.76</v>
      </c>
      <c r="J37" s="25" t="n">
        <v>46009</v>
      </c>
      <c r="K37" s="25" t="n">
        <v>46008</v>
      </c>
      <c r="L37" s="17" t="n">
        <v>68</v>
      </c>
      <c r="M37" s="17" t="n">
        <f aca="false">MAX(0,G37-L37)</f>
        <v>360</v>
      </c>
      <c r="N37" s="18" t="s">
        <v>1503</v>
      </c>
      <c r="O37" s="17" t="n">
        <f aca="false">IF(N37="Cancelled",0,IF(K37&lt;&gt;"",MAX(0,K37-J37),IF(N37="Delayed",MAX(0,'Daily MIS Report'!$B$4-J37),0)))</f>
        <v>0</v>
      </c>
    </row>
    <row r="38" customFormat="false" ht="15" hidden="false" customHeight="false" outlineLevel="0" collapsed="false">
      <c r="A38" s="26" t="s">
        <v>1534</v>
      </c>
      <c r="B38" s="34" t="n">
        <v>45938</v>
      </c>
      <c r="C38" s="26" t="s">
        <v>159</v>
      </c>
      <c r="D38" s="27" t="str">
        <f aca="false">VLOOKUP(C38,'Supplier Database'!$A$5:$K$29,2,FALSE())</f>
        <v>Lotus Logistics</v>
      </c>
      <c r="E38" s="26" t="s">
        <v>225</v>
      </c>
      <c r="F38" s="27" t="str">
        <f aca="false">VLOOKUP(E38,'Product Master'!$A$5:$K$104,2,FALSE())</f>
        <v>Essential Apparel Item 031</v>
      </c>
      <c r="G38" s="28" t="n">
        <v>321</v>
      </c>
      <c r="H38" s="29" t="n">
        <v>7975.46</v>
      </c>
      <c r="I38" s="29" t="n">
        <f aca="false">G38*H38</f>
        <v>2560122.66</v>
      </c>
      <c r="J38" s="34" t="n">
        <v>45948</v>
      </c>
      <c r="K38" s="34" t="n">
        <v>45945</v>
      </c>
      <c r="L38" s="28" t="n">
        <v>321</v>
      </c>
      <c r="M38" s="28" t="n">
        <f aca="false">MAX(0,G38-L38)</f>
        <v>0</v>
      </c>
      <c r="N38" s="26" t="s">
        <v>1500</v>
      </c>
      <c r="O38" s="28" t="n">
        <f aca="false">IF(N38="Cancelled",0,IF(K38&lt;&gt;"",MAX(0,K38-J38),IF(N38="Delayed",MAX(0,'Daily MIS Report'!$B$4-J38),0)))</f>
        <v>0</v>
      </c>
    </row>
    <row r="39" customFormat="false" ht="15" hidden="false" customHeight="false" outlineLevel="0" collapsed="false">
      <c r="A39" s="18" t="s">
        <v>1535</v>
      </c>
      <c r="B39" s="25" t="n">
        <v>45995</v>
      </c>
      <c r="C39" s="18" t="s">
        <v>171</v>
      </c>
      <c r="D39" s="20" t="str">
        <f aca="false">VLOOKUP(C39,'Supplier Database'!$A$5:$K$29,2,FALSE())</f>
        <v>Yugma Industries</v>
      </c>
      <c r="E39" s="18" t="s">
        <v>248</v>
      </c>
      <c r="F39" s="20" t="str">
        <f aca="false">VLOOKUP(E39,'Product Master'!$A$5:$K$104,2,FALSE())</f>
        <v>Pro Packaging Item 054</v>
      </c>
      <c r="G39" s="17" t="n">
        <v>289</v>
      </c>
      <c r="H39" s="16" t="n">
        <v>4849.19</v>
      </c>
      <c r="I39" s="16" t="n">
        <f aca="false">G39*H39</f>
        <v>1401415.91</v>
      </c>
      <c r="J39" s="25" t="n">
        <v>45998</v>
      </c>
      <c r="K39" s="25" t="n">
        <v>45998</v>
      </c>
      <c r="L39" s="17" t="n">
        <v>289</v>
      </c>
      <c r="M39" s="17" t="n">
        <f aca="false">MAX(0,G39-L39)</f>
        <v>0</v>
      </c>
      <c r="N39" s="18" t="s">
        <v>1500</v>
      </c>
      <c r="O39" s="17" t="n">
        <f aca="false">IF(N39="Cancelled",0,IF(K39&lt;&gt;"",MAX(0,K39-J39),IF(N39="Delayed",MAX(0,'Daily MIS Report'!$B$4-J39),0)))</f>
        <v>0</v>
      </c>
    </row>
    <row r="40" customFormat="false" ht="15" hidden="false" customHeight="false" outlineLevel="0" collapsed="false">
      <c r="A40" s="26" t="s">
        <v>1536</v>
      </c>
      <c r="B40" s="34" t="n">
        <v>46116</v>
      </c>
      <c r="C40" s="26" t="s">
        <v>164</v>
      </c>
      <c r="D40" s="27" t="str">
        <f aca="false">VLOOKUP(C40,'Supplier Database'!$A$5:$K$29,2,FALSE())</f>
        <v>Quantum Industries</v>
      </c>
      <c r="E40" s="26" t="s">
        <v>270</v>
      </c>
      <c r="F40" s="27" t="str">
        <f aca="false">VLOOKUP(E40,'Product Master'!$A$5:$K$104,2,FALSE())</f>
        <v>Everyday Personal Item 076</v>
      </c>
      <c r="G40" s="28" t="n">
        <v>75</v>
      </c>
      <c r="H40" s="29" t="n">
        <v>6723.28</v>
      </c>
      <c r="I40" s="29" t="n">
        <f aca="false">G40*H40</f>
        <v>504246</v>
      </c>
      <c r="J40" s="34" t="n">
        <v>46121</v>
      </c>
      <c r="K40" s="34" t="n">
        <v>46118</v>
      </c>
      <c r="L40" s="28" t="n">
        <v>75</v>
      </c>
      <c r="M40" s="28" t="n">
        <f aca="false">MAX(0,G40-L40)</f>
        <v>0</v>
      </c>
      <c r="N40" s="26" t="s">
        <v>1500</v>
      </c>
      <c r="O40" s="28" t="n">
        <f aca="false">IF(N40="Cancelled",0,IF(K40&lt;&gt;"",MAX(0,K40-J40),IF(N40="Delayed",MAX(0,'Daily MIS Report'!$B$4-J40),0)))</f>
        <v>0</v>
      </c>
    </row>
    <row r="41" customFormat="false" ht="15" hidden="false" customHeight="false" outlineLevel="0" collapsed="false">
      <c r="A41" s="18" t="s">
        <v>1537</v>
      </c>
      <c r="B41" s="25" t="n">
        <v>46303</v>
      </c>
      <c r="C41" s="18" t="s">
        <v>169</v>
      </c>
      <c r="D41" s="20" t="str">
        <f aca="false">VLOOKUP(C41,'Supplier Database'!$A$5:$K$29,2,FALSE())</f>
        <v>Vertex Supplies</v>
      </c>
      <c r="E41" s="18" t="s">
        <v>261</v>
      </c>
      <c r="F41" s="20" t="str">
        <f aca="false">VLOOKUP(E41,'Product Master'!$A$5:$K$104,2,FALSE())</f>
        <v>Premium Office Item 067</v>
      </c>
      <c r="G41" s="17" t="n">
        <v>174</v>
      </c>
      <c r="H41" s="16" t="n">
        <v>2224.51</v>
      </c>
      <c r="I41" s="16" t="n">
        <f aca="false">G41*H41</f>
        <v>387064.74</v>
      </c>
      <c r="J41" s="25" t="n">
        <v>46307</v>
      </c>
      <c r="K41" s="25"/>
      <c r="L41" s="17" t="n">
        <v>0</v>
      </c>
      <c r="M41" s="17" t="n">
        <f aca="false">MAX(0,G41-L41)</f>
        <v>174</v>
      </c>
      <c r="N41" s="18" t="s">
        <v>43</v>
      </c>
      <c r="O41" s="17" t="n">
        <f aca="false">IF(N41="Cancelled",0,IF(K41&lt;&gt;"",MAX(0,K41-J41),IF(N41="Delayed",MAX(0,'Daily MIS Report'!$B$4-J41),0)))</f>
        <v>0</v>
      </c>
    </row>
    <row r="42" customFormat="false" ht="15" hidden="false" customHeight="false" outlineLevel="0" collapsed="false">
      <c r="A42" s="26" t="s">
        <v>1538</v>
      </c>
      <c r="B42" s="34" t="n">
        <v>45962</v>
      </c>
      <c r="C42" s="26" t="s">
        <v>163</v>
      </c>
      <c r="D42" s="27" t="str">
        <f aca="false">VLOOKUP(C42,'Supplier Database'!$A$5:$K$29,2,FALSE())</f>
        <v>Pioneer Distributors</v>
      </c>
      <c r="E42" s="26" t="s">
        <v>246</v>
      </c>
      <c r="F42" s="27" t="str">
        <f aca="false">VLOOKUP(E42,'Product Master'!$A$5:$K$104,2,FALSE())</f>
        <v>Compact Personal Item 052</v>
      </c>
      <c r="G42" s="28" t="n">
        <v>238</v>
      </c>
      <c r="H42" s="29" t="n">
        <v>5567.82</v>
      </c>
      <c r="I42" s="29" t="n">
        <f aca="false">G42*H42</f>
        <v>1325141.16</v>
      </c>
      <c r="J42" s="34" t="n">
        <v>45969</v>
      </c>
      <c r="K42" s="34" t="n">
        <v>45973</v>
      </c>
      <c r="L42" s="28" t="n">
        <v>238</v>
      </c>
      <c r="M42" s="28" t="n">
        <f aca="false">MAX(0,G42-L42)</f>
        <v>0</v>
      </c>
      <c r="N42" s="26" t="s">
        <v>1500</v>
      </c>
      <c r="O42" s="28" t="n">
        <f aca="false">IF(N42="Cancelled",0,IF(K42&lt;&gt;"",MAX(0,K42-J42),IF(N42="Delayed",MAX(0,'Daily MIS Report'!$B$4-J42),0)))</f>
        <v>4</v>
      </c>
    </row>
    <row r="43" customFormat="false" ht="15" hidden="false" customHeight="false" outlineLevel="0" collapsed="false">
      <c r="A43" s="18" t="s">
        <v>1539</v>
      </c>
      <c r="B43" s="25" t="n">
        <v>45968</v>
      </c>
      <c r="C43" s="18" t="s">
        <v>150</v>
      </c>
      <c r="D43" s="20" t="str">
        <f aca="false">VLOOKUP(C43,'Supplier Database'!$A$5:$K$29,2,FALSE())</f>
        <v>Core Industries</v>
      </c>
      <c r="E43" s="18" t="s">
        <v>236</v>
      </c>
      <c r="F43" s="20" t="str">
        <f aca="false">VLOOKUP(E43,'Product Master'!$A$5:$K$104,2,FALSE())</f>
        <v>Compact Home Item 042</v>
      </c>
      <c r="G43" s="17" t="n">
        <v>331</v>
      </c>
      <c r="H43" s="16" t="n">
        <v>3555.14</v>
      </c>
      <c r="I43" s="16" t="n">
        <f aca="false">G43*H43</f>
        <v>1176751.34</v>
      </c>
      <c r="J43" s="25" t="n">
        <v>45971</v>
      </c>
      <c r="K43" s="25" t="n">
        <v>45978</v>
      </c>
      <c r="L43" s="17" t="n">
        <v>331</v>
      </c>
      <c r="M43" s="17" t="n">
        <f aca="false">MAX(0,G43-L43)</f>
        <v>0</v>
      </c>
      <c r="N43" s="18" t="s">
        <v>1500</v>
      </c>
      <c r="O43" s="17" t="n">
        <f aca="false">IF(N43="Cancelled",0,IF(K43&lt;&gt;"",MAX(0,K43-J43),IF(N43="Delayed",MAX(0,'Daily MIS Report'!$B$4-J43),0)))</f>
        <v>7</v>
      </c>
    </row>
    <row r="44" customFormat="false" ht="15" hidden="false" customHeight="false" outlineLevel="0" collapsed="false">
      <c r="A44" s="26" t="s">
        <v>1540</v>
      </c>
      <c r="B44" s="34" t="n">
        <v>46295</v>
      </c>
      <c r="C44" s="26" t="s">
        <v>158</v>
      </c>
      <c r="D44" s="27" t="str">
        <f aca="false">VLOOKUP(C44,'Supplier Database'!$A$5:$K$29,2,FALSE())</f>
        <v>Kinetic Trading Co.</v>
      </c>
      <c r="E44" s="26" t="s">
        <v>243</v>
      </c>
      <c r="F44" s="27" t="str">
        <f aca="false">VLOOKUP(E44,'Product Master'!$A$5:$K$104,2,FALSE())</f>
        <v>Premium Electronics Item 049</v>
      </c>
      <c r="G44" s="28" t="n">
        <v>325</v>
      </c>
      <c r="H44" s="29" t="n">
        <v>5929.01</v>
      </c>
      <c r="I44" s="29" t="n">
        <f aca="false">G44*H44</f>
        <v>1926928.25</v>
      </c>
      <c r="J44" s="34" t="n">
        <v>46307</v>
      </c>
      <c r="K44" s="34" t="n">
        <v>46309</v>
      </c>
      <c r="L44" s="28" t="n">
        <v>325</v>
      </c>
      <c r="M44" s="28" t="n">
        <f aca="false">MAX(0,G44-L44)</f>
        <v>0</v>
      </c>
      <c r="N44" s="26" t="s">
        <v>1500</v>
      </c>
      <c r="O44" s="28" t="n">
        <f aca="false">IF(N44="Cancelled",0,IF(K44&lt;&gt;"",MAX(0,K44-J44),IF(N44="Delayed",MAX(0,'Daily MIS Report'!$B$4-J44),0)))</f>
        <v>2</v>
      </c>
    </row>
    <row r="45" customFormat="false" ht="15" hidden="false" customHeight="false" outlineLevel="0" collapsed="false">
      <c r="A45" s="18" t="s">
        <v>1541</v>
      </c>
      <c r="B45" s="25" t="n">
        <v>46302</v>
      </c>
      <c r="C45" s="18" t="s">
        <v>170</v>
      </c>
      <c r="D45" s="20" t="str">
        <f aca="false">VLOOKUP(C45,'Supplier Database'!$A$5:$K$29,2,FALSE())</f>
        <v>Westline Distributors</v>
      </c>
      <c r="E45" s="18" t="s">
        <v>209</v>
      </c>
      <c r="F45" s="20" t="str">
        <f aca="false">VLOOKUP(E45,'Product Master'!$A$5:$K$104,2,FALSE())</f>
        <v>Classic Apparel Item 015</v>
      </c>
      <c r="G45" s="17" t="n">
        <v>456</v>
      </c>
      <c r="H45" s="16" t="n">
        <v>1044.89</v>
      </c>
      <c r="I45" s="16" t="n">
        <f aca="false">G45*H45</f>
        <v>476469.84</v>
      </c>
      <c r="J45" s="25" t="n">
        <v>46309</v>
      </c>
      <c r="K45" s="25"/>
      <c r="L45" s="17" t="n">
        <v>8</v>
      </c>
      <c r="M45" s="17" t="n">
        <f aca="false">MAX(0,G45-L45)</f>
        <v>448</v>
      </c>
      <c r="N45" s="18" t="s">
        <v>1514</v>
      </c>
      <c r="O45" s="17" t="n">
        <f aca="false">IF(N45="Cancelled",0,IF(K45&lt;&gt;"",MAX(0,K45-J45),IF(N45="Delayed",MAX(0,'Daily MIS Report'!$B$4-J45),0)))</f>
        <v>5</v>
      </c>
    </row>
    <row r="46" customFormat="false" ht="15" hidden="false" customHeight="false" outlineLevel="0" collapsed="false">
      <c r="A46" s="26" t="s">
        <v>1542</v>
      </c>
      <c r="B46" s="34" t="n">
        <v>46300</v>
      </c>
      <c r="C46" s="26" t="s">
        <v>154</v>
      </c>
      <c r="D46" s="27" t="str">
        <f aca="false">VLOOKUP(C46,'Supplier Database'!$A$5:$K$29,2,FALSE())</f>
        <v>Global Partners</v>
      </c>
      <c r="E46" s="26" t="s">
        <v>250</v>
      </c>
      <c r="F46" s="27" t="str">
        <f aca="false">VLOOKUP(E46,'Product Master'!$A$5:$K$104,2,FALSE())</f>
        <v>Smart Automotive Item 056</v>
      </c>
      <c r="G46" s="28" t="n">
        <v>251</v>
      </c>
      <c r="H46" s="29" t="n">
        <v>2976.05</v>
      </c>
      <c r="I46" s="29" t="n">
        <f aca="false">G46*H46</f>
        <v>746988.55</v>
      </c>
      <c r="J46" s="34" t="n">
        <v>46314</v>
      </c>
      <c r="K46" s="34" t="n">
        <v>46314</v>
      </c>
      <c r="L46" s="28" t="n">
        <v>251</v>
      </c>
      <c r="M46" s="28" t="n">
        <f aca="false">MAX(0,G46-L46)</f>
        <v>0</v>
      </c>
      <c r="N46" s="26" t="s">
        <v>1500</v>
      </c>
      <c r="O46" s="28" t="n">
        <f aca="false">IF(N46="Cancelled",0,IF(K46&lt;&gt;"",MAX(0,K46-J46),IF(N46="Delayed",MAX(0,'Daily MIS Report'!$B$4-J46),0)))</f>
        <v>0</v>
      </c>
    </row>
    <row r="47" customFormat="false" ht="15" hidden="false" customHeight="false" outlineLevel="0" collapsed="false">
      <c r="A47" s="18" t="s">
        <v>1543</v>
      </c>
      <c r="B47" s="25" t="n">
        <v>46135</v>
      </c>
      <c r="C47" s="18" t="s">
        <v>161</v>
      </c>
      <c r="D47" s="20" t="str">
        <f aca="false">VLOOKUP(C47,'Supplier Database'!$A$5:$K$29,2,FALSE())</f>
        <v>Northstar Partners</v>
      </c>
      <c r="E47" s="18" t="s">
        <v>288</v>
      </c>
      <c r="F47" s="20" t="str">
        <f aca="false">VLOOKUP(E47,'Product Master'!$A$5:$K$104,2,FALSE())</f>
        <v>Classic Packaging Item 094</v>
      </c>
      <c r="G47" s="17" t="n">
        <v>68</v>
      </c>
      <c r="H47" s="16" t="n">
        <v>4638.33</v>
      </c>
      <c r="I47" s="16" t="n">
        <f aca="false">G47*H47</f>
        <v>315406.44</v>
      </c>
      <c r="J47" s="25" t="n">
        <v>46138</v>
      </c>
      <c r="K47" s="25" t="n">
        <v>46138</v>
      </c>
      <c r="L47" s="17" t="n">
        <v>68</v>
      </c>
      <c r="M47" s="17" t="n">
        <f aca="false">MAX(0,G47-L47)</f>
        <v>0</v>
      </c>
      <c r="N47" s="18" t="s">
        <v>1500</v>
      </c>
      <c r="O47" s="17" t="n">
        <f aca="false">IF(N47="Cancelled",0,IF(K47&lt;&gt;"",MAX(0,K47-J47),IF(N47="Delayed",MAX(0,'Daily MIS Report'!$B$4-J47),0)))</f>
        <v>0</v>
      </c>
    </row>
    <row r="48" customFormat="false" ht="15" hidden="false" customHeight="false" outlineLevel="0" collapsed="false">
      <c r="A48" s="26" t="s">
        <v>1544</v>
      </c>
      <c r="B48" s="34" t="n">
        <v>46122</v>
      </c>
      <c r="C48" s="26" t="s">
        <v>152</v>
      </c>
      <c r="D48" s="27" t="str">
        <f aca="false">VLOOKUP(C48,'Supplier Database'!$A$5:$K$29,2,FALSE())</f>
        <v>Ever Logistics</v>
      </c>
      <c r="E48" s="26" t="s">
        <v>282</v>
      </c>
      <c r="F48" s="27" t="str">
        <f aca="false">VLOOKUP(E48,'Product Master'!$A$5:$K$104,2,FALSE())</f>
        <v>Premium Automotive Item 088</v>
      </c>
      <c r="G48" s="28" t="n">
        <v>492</v>
      </c>
      <c r="H48" s="29" t="n">
        <v>898.31</v>
      </c>
      <c r="I48" s="29" t="n">
        <f aca="false">G48*H48</f>
        <v>441968.52</v>
      </c>
      <c r="J48" s="34" t="n">
        <v>46125</v>
      </c>
      <c r="K48" s="34" t="n">
        <v>46123</v>
      </c>
      <c r="L48" s="28" t="n">
        <v>492</v>
      </c>
      <c r="M48" s="28" t="n">
        <f aca="false">MAX(0,G48-L48)</f>
        <v>0</v>
      </c>
      <c r="N48" s="26" t="s">
        <v>1500</v>
      </c>
      <c r="O48" s="28" t="n">
        <f aca="false">IF(N48="Cancelled",0,IF(K48&lt;&gt;"",MAX(0,K48-J48),IF(N48="Delayed",MAX(0,'Daily MIS Report'!$B$4-J48),0)))</f>
        <v>0</v>
      </c>
    </row>
    <row r="49" customFormat="false" ht="15" hidden="false" customHeight="false" outlineLevel="0" collapsed="false">
      <c r="A49" s="18" t="s">
        <v>1545</v>
      </c>
      <c r="B49" s="25" t="n">
        <v>46302</v>
      </c>
      <c r="C49" s="18" t="s">
        <v>161</v>
      </c>
      <c r="D49" s="20" t="str">
        <f aca="false">VLOOKUP(C49,'Supplier Database'!$A$5:$K$29,2,FALSE())</f>
        <v>Northstar Partners</v>
      </c>
      <c r="E49" s="18" t="s">
        <v>207</v>
      </c>
      <c r="F49" s="20" t="str">
        <f aca="false">VLOOKUP(E49,'Product Master'!$A$5:$K$104,2,FALSE())</f>
        <v>Eco Industrial Item 013</v>
      </c>
      <c r="G49" s="17" t="n">
        <v>401</v>
      </c>
      <c r="H49" s="16" t="n">
        <v>8538.47</v>
      </c>
      <c r="I49" s="16" t="n">
        <f aca="false">G49*H49</f>
        <v>3423926.47</v>
      </c>
      <c r="J49" s="25" t="n">
        <v>46311</v>
      </c>
      <c r="K49" s="25"/>
      <c r="L49" s="17" t="n">
        <v>8</v>
      </c>
      <c r="M49" s="17" t="n">
        <f aca="false">MAX(0,G49-L49)</f>
        <v>393</v>
      </c>
      <c r="N49" s="18" t="s">
        <v>1514</v>
      </c>
      <c r="O49" s="17" t="n">
        <f aca="false">IF(N49="Cancelled",0,IF(K49&lt;&gt;"",MAX(0,K49-J49),IF(N49="Delayed",MAX(0,'Daily MIS Report'!$B$4-J49),0)))</f>
        <v>3</v>
      </c>
    </row>
    <row r="50" customFormat="false" ht="15" hidden="false" customHeight="false" outlineLevel="0" collapsed="false">
      <c r="A50" s="26" t="s">
        <v>1546</v>
      </c>
      <c r="B50" s="34" t="n">
        <v>45961</v>
      </c>
      <c r="C50" s="26" t="s">
        <v>166</v>
      </c>
      <c r="D50" s="27" t="str">
        <f aca="false">VLOOKUP(C50,'Supplier Database'!$A$5:$K$29,2,FALSE())</f>
        <v>Summit Logistics</v>
      </c>
      <c r="E50" s="26" t="s">
        <v>266</v>
      </c>
      <c r="F50" s="27" t="str">
        <f aca="false">VLOOKUP(E50,'Product Master'!$A$5:$K$104,2,FALSE())</f>
        <v>Premium Automotive Item 072</v>
      </c>
      <c r="G50" s="28" t="n">
        <v>307</v>
      </c>
      <c r="H50" s="29" t="n">
        <v>1406.78</v>
      </c>
      <c r="I50" s="29" t="n">
        <f aca="false">G50*H50</f>
        <v>431881.46</v>
      </c>
      <c r="J50" s="34" t="n">
        <v>45966</v>
      </c>
      <c r="K50" s="34" t="n">
        <v>45966</v>
      </c>
      <c r="L50" s="28" t="n">
        <v>307</v>
      </c>
      <c r="M50" s="28" t="n">
        <f aca="false">MAX(0,G50-L50)</f>
        <v>0</v>
      </c>
      <c r="N50" s="26" t="s">
        <v>1500</v>
      </c>
      <c r="O50" s="28" t="n">
        <f aca="false">IF(N50="Cancelled",0,IF(K50&lt;&gt;"",MAX(0,K50-J50),IF(N50="Delayed",MAX(0,'Daily MIS Report'!$B$4-J50),0)))</f>
        <v>0</v>
      </c>
    </row>
    <row r="51" customFormat="false" ht="15" hidden="false" customHeight="false" outlineLevel="0" collapsed="false">
      <c r="A51" s="18" t="s">
        <v>1547</v>
      </c>
      <c r="B51" s="25" t="n">
        <v>46271</v>
      </c>
      <c r="C51" s="18" t="s">
        <v>172</v>
      </c>
      <c r="D51" s="20" t="str">
        <f aca="false">VLOOKUP(C51,'Supplier Database'!$A$5:$K$29,2,FALSE())</f>
        <v>Zenith Trading Co.</v>
      </c>
      <c r="E51" s="18" t="s">
        <v>249</v>
      </c>
      <c r="F51" s="20" t="str">
        <f aca="false">VLOOKUP(E51,'Product Master'!$A$5:$K$104,2,FALSE())</f>
        <v>Eco Apparel Item 055</v>
      </c>
      <c r="G51" s="17" t="n">
        <v>464</v>
      </c>
      <c r="H51" s="16" t="n">
        <v>2271.55</v>
      </c>
      <c r="I51" s="16" t="n">
        <f aca="false">G51*H51</f>
        <v>1053999.2</v>
      </c>
      <c r="J51" s="25" t="n">
        <v>46276</v>
      </c>
      <c r="K51" s="25" t="n">
        <v>46276</v>
      </c>
      <c r="L51" s="17" t="n">
        <v>464</v>
      </c>
      <c r="M51" s="17" t="n">
        <f aca="false">MAX(0,G51-L51)</f>
        <v>0</v>
      </c>
      <c r="N51" s="18" t="s">
        <v>1500</v>
      </c>
      <c r="O51" s="17" t="n">
        <f aca="false">IF(N51="Cancelled",0,IF(K51&lt;&gt;"",MAX(0,K51-J51),IF(N51="Delayed",MAX(0,'Daily MIS Report'!$B$4-J51),0)))</f>
        <v>0</v>
      </c>
    </row>
    <row r="52" customFormat="false" ht="15" hidden="false" customHeight="false" outlineLevel="0" collapsed="false">
      <c r="A52" s="26" t="s">
        <v>1548</v>
      </c>
      <c r="B52" s="34" t="n">
        <v>46238</v>
      </c>
      <c r="C52" s="26" t="s">
        <v>157</v>
      </c>
      <c r="D52" s="27" t="str">
        <f aca="false">VLOOKUP(C52,'Supplier Database'!$A$5:$K$29,2,FALSE())</f>
        <v>Jupiter Industries</v>
      </c>
      <c r="E52" s="26" t="s">
        <v>240</v>
      </c>
      <c r="F52" s="27" t="str">
        <f aca="false">VLOOKUP(E52,'Product Master'!$A$5:$K$104,2,FALSE())</f>
        <v>Classic Packaging Item 046</v>
      </c>
      <c r="G52" s="28" t="n">
        <v>73</v>
      </c>
      <c r="H52" s="29" t="n">
        <v>5376.6</v>
      </c>
      <c r="I52" s="29" t="n">
        <f aca="false">G52*H52</f>
        <v>392491.8</v>
      </c>
      <c r="J52" s="34" t="n">
        <v>46252</v>
      </c>
      <c r="K52" s="34" t="n">
        <v>46256</v>
      </c>
      <c r="L52" s="28" t="n">
        <v>73</v>
      </c>
      <c r="M52" s="28" t="n">
        <f aca="false">MAX(0,G52-L52)</f>
        <v>0</v>
      </c>
      <c r="N52" s="26" t="s">
        <v>1500</v>
      </c>
      <c r="O52" s="28" t="n">
        <f aca="false">IF(N52="Cancelled",0,IF(K52&lt;&gt;"",MAX(0,K52-J52),IF(N52="Delayed",MAX(0,'Daily MIS Report'!$B$4-J52),0)))</f>
        <v>4</v>
      </c>
    </row>
    <row r="53" customFormat="false" ht="15" hidden="false" customHeight="false" outlineLevel="0" collapsed="false">
      <c r="A53" s="18" t="s">
        <v>1549</v>
      </c>
      <c r="B53" s="25" t="n">
        <v>46045</v>
      </c>
      <c r="C53" s="18" t="s">
        <v>151</v>
      </c>
      <c r="D53" s="20" t="str">
        <f aca="false">VLOOKUP(C53,'Supplier Database'!$A$5:$K$29,2,FALSE())</f>
        <v>Delta Trading Co.</v>
      </c>
      <c r="E53" s="18" t="s">
        <v>239</v>
      </c>
      <c r="F53" s="20" t="str">
        <f aca="false">VLOOKUP(E53,'Product Master'!$A$5:$K$104,2,FALSE())</f>
        <v>Essential Industrial Item 045</v>
      </c>
      <c r="G53" s="17" t="n">
        <v>452</v>
      </c>
      <c r="H53" s="16" t="n">
        <v>6711.74</v>
      </c>
      <c r="I53" s="16" t="n">
        <f aca="false">G53*H53</f>
        <v>3033706.48</v>
      </c>
      <c r="J53" s="25" t="n">
        <v>46055</v>
      </c>
      <c r="K53" s="25" t="n">
        <v>46055</v>
      </c>
      <c r="L53" s="17" t="n">
        <v>452</v>
      </c>
      <c r="M53" s="17" t="n">
        <f aca="false">MAX(0,G53-L53)</f>
        <v>0</v>
      </c>
      <c r="N53" s="18" t="s">
        <v>1500</v>
      </c>
      <c r="O53" s="17" t="n">
        <f aca="false">IF(N53="Cancelled",0,IF(K53&lt;&gt;"",MAX(0,K53-J53),IF(N53="Delayed",MAX(0,'Daily MIS Report'!$B$4-J53),0)))</f>
        <v>0</v>
      </c>
    </row>
    <row r="54" customFormat="false" ht="15" hidden="false" customHeight="false" outlineLevel="0" collapsed="false">
      <c r="A54" s="26" t="s">
        <v>1550</v>
      </c>
      <c r="B54" s="34" t="n">
        <v>46224</v>
      </c>
      <c r="C54" s="26" t="s">
        <v>155</v>
      </c>
      <c r="D54" s="27" t="str">
        <f aca="false">VLOOKUP(C54,'Supplier Database'!$A$5:$K$29,2,FALSE())</f>
        <v>Horizon Supplies</v>
      </c>
      <c r="E54" s="26" t="s">
        <v>249</v>
      </c>
      <c r="F54" s="27" t="str">
        <f aca="false">VLOOKUP(E54,'Product Master'!$A$5:$K$104,2,FALSE())</f>
        <v>Eco Apparel Item 055</v>
      </c>
      <c r="G54" s="28" t="n">
        <v>452</v>
      </c>
      <c r="H54" s="29" t="n">
        <v>2179.41</v>
      </c>
      <c r="I54" s="29" t="n">
        <f aca="false">G54*H54</f>
        <v>985093.32</v>
      </c>
      <c r="J54" s="34" t="n">
        <v>46229</v>
      </c>
      <c r="K54" s="34"/>
      <c r="L54" s="28" t="n">
        <v>0</v>
      </c>
      <c r="M54" s="28" t="n">
        <f aca="false">MAX(0,G54-L54)</f>
        <v>452</v>
      </c>
      <c r="N54" s="26" t="s">
        <v>37</v>
      </c>
      <c r="O54" s="28" t="n">
        <f aca="false">IF(N54="Cancelled",0,IF(K54&lt;&gt;"",MAX(0,K54-J54),IF(N54="Delayed",MAX(0,'Daily MIS Report'!$B$4-J54),0)))</f>
        <v>0</v>
      </c>
    </row>
    <row r="55" customFormat="false" ht="15" hidden="false" customHeight="false" outlineLevel="0" collapsed="false">
      <c r="A55" s="18" t="s">
        <v>1551</v>
      </c>
      <c r="B55" s="25" t="n">
        <v>46249</v>
      </c>
      <c r="C55" s="18" t="s">
        <v>167</v>
      </c>
      <c r="D55" s="20" t="str">
        <f aca="false">VLOOKUP(C55,'Supplier Database'!$A$5:$K$29,2,FALSE())</f>
        <v>Trident Wholesale</v>
      </c>
      <c r="E55" s="18" t="s">
        <v>281</v>
      </c>
      <c r="F55" s="20" t="str">
        <f aca="false">VLOOKUP(E55,'Product Master'!$A$5:$K$104,2,FALSE())</f>
        <v>Compact Apparel Item 087</v>
      </c>
      <c r="G55" s="17" t="n">
        <v>349</v>
      </c>
      <c r="H55" s="16" t="n">
        <v>5436.35</v>
      </c>
      <c r="I55" s="16" t="n">
        <f aca="false">G55*H55</f>
        <v>1897286.15</v>
      </c>
      <c r="J55" s="25" t="n">
        <v>46261</v>
      </c>
      <c r="K55" s="25" t="n">
        <v>46265</v>
      </c>
      <c r="L55" s="17" t="n">
        <v>137</v>
      </c>
      <c r="M55" s="17" t="n">
        <f aca="false">MAX(0,G55-L55)</f>
        <v>212</v>
      </c>
      <c r="N55" s="18" t="s">
        <v>1503</v>
      </c>
      <c r="O55" s="17" t="n">
        <f aca="false">IF(N55="Cancelled",0,IF(K55&lt;&gt;"",MAX(0,K55-J55),IF(N55="Delayed",MAX(0,'Daily MIS Report'!$B$4-J55),0)))</f>
        <v>4</v>
      </c>
    </row>
    <row r="56" customFormat="false" ht="15" hidden="false" customHeight="false" outlineLevel="0" collapsed="false">
      <c r="A56" s="26" t="s">
        <v>1552</v>
      </c>
      <c r="B56" s="34" t="n">
        <v>46302</v>
      </c>
      <c r="C56" s="26" t="s">
        <v>153</v>
      </c>
      <c r="D56" s="27" t="str">
        <f aca="false">VLOOKUP(C56,'Supplier Database'!$A$5:$K$29,2,FALSE())</f>
        <v>Frontier Wholesale</v>
      </c>
      <c r="E56" s="26" t="s">
        <v>229</v>
      </c>
      <c r="F56" s="27" t="str">
        <f aca="false">VLOOKUP(E56,'Product Master'!$A$5:$K$104,2,FALSE())</f>
        <v>Smart Office Item 035</v>
      </c>
      <c r="G56" s="28" t="n">
        <v>379</v>
      </c>
      <c r="H56" s="29" t="n">
        <v>6291.58</v>
      </c>
      <c r="I56" s="29" t="n">
        <f aca="false">G56*H56</f>
        <v>2384508.82</v>
      </c>
      <c r="J56" s="34" t="n">
        <v>46310</v>
      </c>
      <c r="K56" s="34"/>
      <c r="L56" s="28" t="n">
        <v>5</v>
      </c>
      <c r="M56" s="28" t="n">
        <f aca="false">MAX(0,G56-L56)</f>
        <v>374</v>
      </c>
      <c r="N56" s="26" t="s">
        <v>1514</v>
      </c>
      <c r="O56" s="28" t="n">
        <f aca="false">IF(N56="Cancelled",0,IF(K56&lt;&gt;"",MAX(0,K56-J56),IF(N56="Delayed",MAX(0,'Daily MIS Report'!$B$4-J56),0)))</f>
        <v>4</v>
      </c>
    </row>
    <row r="57" customFormat="false" ht="15" hidden="false" customHeight="false" outlineLevel="0" collapsed="false">
      <c r="A57" s="18" t="s">
        <v>1553</v>
      </c>
      <c r="B57" s="25" t="n">
        <v>45934</v>
      </c>
      <c r="C57" s="18" t="s">
        <v>153</v>
      </c>
      <c r="D57" s="20" t="str">
        <f aca="false">VLOOKUP(C57,'Supplier Database'!$A$5:$K$29,2,FALSE())</f>
        <v>Frontier Wholesale</v>
      </c>
      <c r="E57" s="18" t="s">
        <v>213</v>
      </c>
      <c r="F57" s="20" t="str">
        <f aca="false">VLOOKUP(E57,'Product Master'!$A$5:$K$104,2,FALSE())</f>
        <v>Everyday Office Item 019</v>
      </c>
      <c r="G57" s="17" t="n">
        <v>309</v>
      </c>
      <c r="H57" s="16" t="n">
        <v>2352.58</v>
      </c>
      <c r="I57" s="16" t="n">
        <f aca="false">G57*H57</f>
        <v>726947.22</v>
      </c>
      <c r="J57" s="25" t="n">
        <v>45945</v>
      </c>
      <c r="K57" s="25" t="n">
        <v>45942</v>
      </c>
      <c r="L57" s="17" t="n">
        <v>309</v>
      </c>
      <c r="M57" s="17" t="n">
        <f aca="false">MAX(0,G57-L57)</f>
        <v>0</v>
      </c>
      <c r="N57" s="18" t="s">
        <v>1500</v>
      </c>
      <c r="O57" s="17" t="n">
        <f aca="false">IF(N57="Cancelled",0,IF(K57&lt;&gt;"",MAX(0,K57-J57),IF(N57="Delayed",MAX(0,'Daily MIS Report'!$B$4-J57),0)))</f>
        <v>0</v>
      </c>
    </row>
    <row r="58" customFormat="false" ht="15" hidden="false" customHeight="false" outlineLevel="0" collapsed="false">
      <c r="A58" s="26" t="s">
        <v>1554</v>
      </c>
      <c r="B58" s="34" t="n">
        <v>45977</v>
      </c>
      <c r="C58" s="26" t="s">
        <v>171</v>
      </c>
      <c r="D58" s="27" t="str">
        <f aca="false">VLOOKUP(C58,'Supplier Database'!$A$5:$K$29,2,FALSE())</f>
        <v>Yugma Industries</v>
      </c>
      <c r="E58" s="26" t="s">
        <v>262</v>
      </c>
      <c r="F58" s="27" t="str">
        <f aca="false">VLOOKUP(E58,'Product Master'!$A$5:$K$104,2,FALSE())</f>
        <v>Compact Personal Item 068</v>
      </c>
      <c r="G58" s="28" t="n">
        <v>130</v>
      </c>
      <c r="H58" s="29" t="n">
        <v>4881.82</v>
      </c>
      <c r="I58" s="29" t="n">
        <f aca="false">G58*H58</f>
        <v>634636.6</v>
      </c>
      <c r="J58" s="34" t="n">
        <v>45980</v>
      </c>
      <c r="K58" s="34" t="n">
        <v>45979</v>
      </c>
      <c r="L58" s="28" t="n">
        <v>130</v>
      </c>
      <c r="M58" s="28" t="n">
        <f aca="false">MAX(0,G58-L58)</f>
        <v>0</v>
      </c>
      <c r="N58" s="26" t="s">
        <v>1500</v>
      </c>
      <c r="O58" s="28" t="n">
        <f aca="false">IF(N58="Cancelled",0,IF(K58&lt;&gt;"",MAX(0,K58-J58),IF(N58="Delayed",MAX(0,'Daily MIS Report'!$B$4-J58),0)))</f>
        <v>0</v>
      </c>
    </row>
    <row r="59" customFormat="false" ht="15" hidden="false" customHeight="false" outlineLevel="0" collapsed="false">
      <c r="A59" s="18" t="s">
        <v>1555</v>
      </c>
      <c r="B59" s="25" t="n">
        <v>46120</v>
      </c>
      <c r="C59" s="18" t="s">
        <v>157</v>
      </c>
      <c r="D59" s="20" t="str">
        <f aca="false">VLOOKUP(C59,'Supplier Database'!$A$5:$K$29,2,FALSE())</f>
        <v>Jupiter Industries</v>
      </c>
      <c r="E59" s="18" t="s">
        <v>287</v>
      </c>
      <c r="F59" s="20" t="str">
        <f aca="false">VLOOKUP(E59,'Product Master'!$A$5:$K$104,2,FALSE())</f>
        <v>Compact Industrial Item 093</v>
      </c>
      <c r="G59" s="17" t="n">
        <v>186</v>
      </c>
      <c r="H59" s="16" t="n">
        <v>5145.19</v>
      </c>
      <c r="I59" s="16" t="n">
        <f aca="false">G59*H59</f>
        <v>957005.34</v>
      </c>
      <c r="J59" s="25" t="n">
        <v>46134</v>
      </c>
      <c r="K59" s="25" t="n">
        <v>46133</v>
      </c>
      <c r="L59" s="17" t="n">
        <v>14</v>
      </c>
      <c r="M59" s="17" t="n">
        <f aca="false">MAX(0,G59-L59)</f>
        <v>172</v>
      </c>
      <c r="N59" s="18" t="s">
        <v>1503</v>
      </c>
      <c r="O59" s="17" t="n">
        <f aca="false">IF(N59="Cancelled",0,IF(K59&lt;&gt;"",MAX(0,K59-J59),IF(N59="Delayed",MAX(0,'Daily MIS Report'!$B$4-J59),0)))</f>
        <v>0</v>
      </c>
    </row>
    <row r="60" customFormat="false" ht="15" hidden="false" customHeight="false" outlineLevel="0" collapsed="false">
      <c r="A60" s="26" t="s">
        <v>1556</v>
      </c>
      <c r="B60" s="34" t="n">
        <v>46010</v>
      </c>
      <c r="C60" s="26" t="s">
        <v>153</v>
      </c>
      <c r="D60" s="27" t="str">
        <f aca="false">VLOOKUP(C60,'Supplier Database'!$A$5:$K$29,2,FALSE())</f>
        <v>Frontier Wholesale</v>
      </c>
      <c r="E60" s="26" t="s">
        <v>291</v>
      </c>
      <c r="F60" s="27" t="str">
        <f aca="false">VLOOKUP(E60,'Product Master'!$A$5:$K$104,2,FALSE())</f>
        <v>Smart Electronics Item 097</v>
      </c>
      <c r="G60" s="28" t="n">
        <v>336</v>
      </c>
      <c r="H60" s="29" t="n">
        <v>1114.3</v>
      </c>
      <c r="I60" s="29" t="n">
        <f aca="false">G60*H60</f>
        <v>374404.8</v>
      </c>
      <c r="J60" s="34" t="n">
        <v>46021</v>
      </c>
      <c r="K60" s="34" t="n">
        <v>46025</v>
      </c>
      <c r="L60" s="28" t="n">
        <v>336</v>
      </c>
      <c r="M60" s="28" t="n">
        <f aca="false">MAX(0,G60-L60)</f>
        <v>0</v>
      </c>
      <c r="N60" s="26" t="s">
        <v>1500</v>
      </c>
      <c r="O60" s="28" t="n">
        <f aca="false">IF(N60="Cancelled",0,IF(K60&lt;&gt;"",MAX(0,K60-J60),IF(N60="Delayed",MAX(0,'Daily MIS Report'!$B$4-J60),0)))</f>
        <v>4</v>
      </c>
    </row>
    <row r="61" customFormat="false" ht="15" hidden="false" customHeight="false" outlineLevel="0" collapsed="false">
      <c r="A61" s="18" t="s">
        <v>1557</v>
      </c>
      <c r="B61" s="25" t="n">
        <v>46269</v>
      </c>
      <c r="C61" s="18" t="s">
        <v>161</v>
      </c>
      <c r="D61" s="20" t="str">
        <f aca="false">VLOOKUP(C61,'Supplier Database'!$A$5:$K$29,2,FALSE())</f>
        <v>Northstar Partners</v>
      </c>
      <c r="E61" s="18" t="s">
        <v>257</v>
      </c>
      <c r="F61" s="20" t="str">
        <f aca="false">VLOOKUP(E61,'Product Master'!$A$5:$K$104,2,FALSE())</f>
        <v>Everyday Apparel Item 063</v>
      </c>
      <c r="G61" s="17" t="n">
        <v>330</v>
      </c>
      <c r="H61" s="16" t="n">
        <v>2420.12</v>
      </c>
      <c r="I61" s="16" t="n">
        <f aca="false">G61*H61</f>
        <v>798639.6</v>
      </c>
      <c r="J61" s="25" t="n">
        <v>46272</v>
      </c>
      <c r="K61" s="25" t="n">
        <v>46272</v>
      </c>
      <c r="L61" s="17" t="n">
        <v>330</v>
      </c>
      <c r="M61" s="17" t="n">
        <f aca="false">MAX(0,G61-L61)</f>
        <v>0</v>
      </c>
      <c r="N61" s="18" t="s">
        <v>1500</v>
      </c>
      <c r="O61" s="17" t="n">
        <f aca="false">IF(N61="Cancelled",0,IF(K61&lt;&gt;"",MAX(0,K61-J61),IF(N61="Delayed",MAX(0,'Daily MIS Report'!$B$4-J61),0)))</f>
        <v>0</v>
      </c>
    </row>
    <row r="62" customFormat="false" ht="15" hidden="false" customHeight="false" outlineLevel="0" collapsed="false">
      <c r="A62" s="26" t="s">
        <v>1558</v>
      </c>
      <c r="B62" s="34" t="n">
        <v>45989</v>
      </c>
      <c r="C62" s="26" t="s">
        <v>159</v>
      </c>
      <c r="D62" s="27" t="str">
        <f aca="false">VLOOKUP(C62,'Supplier Database'!$A$5:$K$29,2,FALSE())</f>
        <v>Lotus Logistics</v>
      </c>
      <c r="E62" s="26" t="s">
        <v>250</v>
      </c>
      <c r="F62" s="27" t="str">
        <f aca="false">VLOOKUP(E62,'Product Master'!$A$5:$K$104,2,FALSE())</f>
        <v>Smart Automotive Item 056</v>
      </c>
      <c r="G62" s="28" t="n">
        <v>76</v>
      </c>
      <c r="H62" s="29" t="n">
        <v>2769.66</v>
      </c>
      <c r="I62" s="29" t="n">
        <f aca="false">G62*H62</f>
        <v>210494.16</v>
      </c>
      <c r="J62" s="34" t="n">
        <v>45999</v>
      </c>
      <c r="K62" s="34" t="n">
        <v>46001</v>
      </c>
      <c r="L62" s="28" t="n">
        <v>68</v>
      </c>
      <c r="M62" s="28" t="n">
        <f aca="false">MAX(0,G62-L62)</f>
        <v>8</v>
      </c>
      <c r="N62" s="26" t="s">
        <v>1503</v>
      </c>
      <c r="O62" s="28" t="n">
        <f aca="false">IF(N62="Cancelled",0,IF(K62&lt;&gt;"",MAX(0,K62-J62),IF(N62="Delayed",MAX(0,'Daily MIS Report'!$B$4-J62),0)))</f>
        <v>2</v>
      </c>
    </row>
    <row r="63" customFormat="false" ht="15" hidden="false" customHeight="false" outlineLevel="0" collapsed="false">
      <c r="A63" s="18" t="s">
        <v>1559</v>
      </c>
      <c r="B63" s="25" t="n">
        <v>46272</v>
      </c>
      <c r="C63" s="18" t="s">
        <v>157</v>
      </c>
      <c r="D63" s="20" t="str">
        <f aca="false">VLOOKUP(C63,'Supplier Database'!$A$5:$K$29,2,FALSE())</f>
        <v>Jupiter Industries</v>
      </c>
      <c r="E63" s="18" t="s">
        <v>200</v>
      </c>
      <c r="F63" s="20" t="str">
        <f aca="false">VLOOKUP(E63,'Product Master'!$A$5:$K$104,2,FALSE())</f>
        <v>Pro Packaging Item 006</v>
      </c>
      <c r="G63" s="17" t="n">
        <v>132</v>
      </c>
      <c r="H63" s="16" t="n">
        <v>1404.77</v>
      </c>
      <c r="I63" s="16" t="n">
        <f aca="false">G63*H63</f>
        <v>185429.64</v>
      </c>
      <c r="J63" s="25" t="n">
        <v>46286</v>
      </c>
      <c r="K63" s="25" t="n">
        <v>46285</v>
      </c>
      <c r="L63" s="17" t="n">
        <v>53</v>
      </c>
      <c r="M63" s="17" t="n">
        <f aca="false">MAX(0,G63-L63)</f>
        <v>79</v>
      </c>
      <c r="N63" s="18" t="s">
        <v>1503</v>
      </c>
      <c r="O63" s="17" t="n">
        <f aca="false">IF(N63="Cancelled",0,IF(K63&lt;&gt;"",MAX(0,K63-J63),IF(N63="Delayed",MAX(0,'Daily MIS Report'!$B$4-J63),0)))</f>
        <v>0</v>
      </c>
    </row>
    <row r="64" customFormat="false" ht="15" hidden="false" customHeight="false" outlineLevel="0" collapsed="false">
      <c r="A64" s="26" t="s">
        <v>1560</v>
      </c>
      <c r="B64" s="34" t="n">
        <v>46085</v>
      </c>
      <c r="C64" s="26" t="s">
        <v>154</v>
      </c>
      <c r="D64" s="27" t="str">
        <f aca="false">VLOOKUP(C64,'Supplier Database'!$A$5:$K$29,2,FALSE())</f>
        <v>Global Partners</v>
      </c>
      <c r="E64" s="26" t="s">
        <v>293</v>
      </c>
      <c r="F64" s="27" t="str">
        <f aca="false">VLOOKUP(E64,'Product Master'!$A$5:$K$104,2,FALSE())</f>
        <v>Eco Office Item 099</v>
      </c>
      <c r="G64" s="28" t="n">
        <v>90</v>
      </c>
      <c r="H64" s="29" t="n">
        <v>6880.59</v>
      </c>
      <c r="I64" s="29" t="n">
        <f aca="false">G64*H64</f>
        <v>619253.1</v>
      </c>
      <c r="J64" s="34" t="n">
        <v>46099</v>
      </c>
      <c r="K64" s="34" t="n">
        <v>46097</v>
      </c>
      <c r="L64" s="28" t="n">
        <v>90</v>
      </c>
      <c r="M64" s="28" t="n">
        <f aca="false">MAX(0,G64-L64)</f>
        <v>0</v>
      </c>
      <c r="N64" s="26" t="s">
        <v>1500</v>
      </c>
      <c r="O64" s="28" t="n">
        <f aca="false">IF(N64="Cancelled",0,IF(K64&lt;&gt;"",MAX(0,K64-J64),IF(N64="Delayed",MAX(0,'Daily MIS Report'!$B$4-J64),0)))</f>
        <v>0</v>
      </c>
    </row>
    <row r="65" customFormat="false" ht="15" hidden="false" customHeight="false" outlineLevel="0" collapsed="false">
      <c r="A65" s="18" t="s">
        <v>1561</v>
      </c>
      <c r="B65" s="25" t="n">
        <v>45934</v>
      </c>
      <c r="C65" s="18" t="s">
        <v>163</v>
      </c>
      <c r="D65" s="20" t="str">
        <f aca="false">VLOOKUP(C65,'Supplier Database'!$A$5:$K$29,2,FALSE())</f>
        <v>Pioneer Distributors</v>
      </c>
      <c r="E65" s="18" t="s">
        <v>290</v>
      </c>
      <c r="F65" s="20" t="str">
        <f aca="false">VLOOKUP(E65,'Product Master'!$A$5:$K$104,2,FALSE())</f>
        <v>Eco Automotive Item 096</v>
      </c>
      <c r="G65" s="17" t="n">
        <v>240</v>
      </c>
      <c r="H65" s="16" t="n">
        <v>5795.15</v>
      </c>
      <c r="I65" s="16" t="n">
        <f aca="false">G65*H65</f>
        <v>1390836</v>
      </c>
      <c r="J65" s="25" t="n">
        <v>45941</v>
      </c>
      <c r="K65" s="25" t="n">
        <v>45941</v>
      </c>
      <c r="L65" s="17" t="n">
        <v>240</v>
      </c>
      <c r="M65" s="17" t="n">
        <f aca="false">MAX(0,G65-L65)</f>
        <v>0</v>
      </c>
      <c r="N65" s="18" t="s">
        <v>1500</v>
      </c>
      <c r="O65" s="17" t="n">
        <f aca="false">IF(N65="Cancelled",0,IF(K65&lt;&gt;"",MAX(0,K65-J65),IF(N65="Delayed",MAX(0,'Daily MIS Report'!$B$4-J65),0)))</f>
        <v>0</v>
      </c>
    </row>
    <row r="66" customFormat="false" ht="15" hidden="false" customHeight="false" outlineLevel="0" collapsed="false">
      <c r="A66" s="26" t="s">
        <v>1562</v>
      </c>
      <c r="B66" s="34" t="n">
        <v>46187</v>
      </c>
      <c r="C66" s="26" t="s">
        <v>165</v>
      </c>
      <c r="D66" s="27" t="str">
        <f aca="false">VLOOKUP(C66,'Supplier Database'!$A$5:$K$29,2,FALSE())</f>
        <v>Riverstone Trading Co.</v>
      </c>
      <c r="E66" s="26" t="s">
        <v>280</v>
      </c>
      <c r="F66" s="27" t="str">
        <f aca="false">VLOOKUP(E66,'Product Master'!$A$5:$K$104,2,FALSE())</f>
        <v>Classic Packaging Item 086</v>
      </c>
      <c r="G66" s="28" t="n">
        <v>432</v>
      </c>
      <c r="H66" s="29" t="n">
        <v>4639.82</v>
      </c>
      <c r="I66" s="29" t="n">
        <f aca="false">G66*H66</f>
        <v>2004402.24</v>
      </c>
      <c r="J66" s="34" t="n">
        <v>46199</v>
      </c>
      <c r="K66" s="34" t="n">
        <v>46202</v>
      </c>
      <c r="L66" s="28" t="n">
        <v>432</v>
      </c>
      <c r="M66" s="28" t="n">
        <f aca="false">MAX(0,G66-L66)</f>
        <v>0</v>
      </c>
      <c r="N66" s="26" t="s">
        <v>1500</v>
      </c>
      <c r="O66" s="28" t="n">
        <f aca="false">IF(N66="Cancelled",0,IF(K66&lt;&gt;"",MAX(0,K66-J66),IF(N66="Delayed",MAX(0,'Daily MIS Report'!$B$4-J66),0)))</f>
        <v>3</v>
      </c>
    </row>
    <row r="67" customFormat="false" ht="15" hidden="false" customHeight="false" outlineLevel="0" collapsed="false">
      <c r="A67" s="18" t="s">
        <v>1563</v>
      </c>
      <c r="B67" s="25" t="n">
        <v>46154</v>
      </c>
      <c r="C67" s="18" t="s">
        <v>148</v>
      </c>
      <c r="D67" s="20" t="str">
        <f aca="false">VLOOKUP(C67,'Supplier Database'!$A$5:$K$29,2,FALSE())</f>
        <v>Apex Supplies</v>
      </c>
      <c r="E67" s="18" t="s">
        <v>253</v>
      </c>
      <c r="F67" s="20" t="str">
        <f aca="false">VLOOKUP(E67,'Product Master'!$A$5:$K$104,2,FALSE())</f>
        <v>Eco Office Item 059</v>
      </c>
      <c r="G67" s="17" t="n">
        <v>491</v>
      </c>
      <c r="H67" s="16" t="n">
        <v>251.1</v>
      </c>
      <c r="I67" s="16" t="n">
        <f aca="false">G67*H67</f>
        <v>123290.1</v>
      </c>
      <c r="J67" s="25" t="n">
        <v>46157</v>
      </c>
      <c r="K67" s="25" t="n">
        <v>46157</v>
      </c>
      <c r="L67" s="17" t="n">
        <v>491</v>
      </c>
      <c r="M67" s="17" t="n">
        <f aca="false">MAX(0,G67-L67)</f>
        <v>0</v>
      </c>
      <c r="N67" s="18" t="s">
        <v>1500</v>
      </c>
      <c r="O67" s="17" t="n">
        <f aca="false">IF(N67="Cancelled",0,IF(K67&lt;&gt;"",MAX(0,K67-J67),IF(N67="Delayed",MAX(0,'Daily MIS Report'!$B$4-J67),0)))</f>
        <v>0</v>
      </c>
    </row>
    <row r="68" customFormat="false" ht="15" hidden="false" customHeight="false" outlineLevel="0" collapsed="false">
      <c r="A68" s="26" t="s">
        <v>1564</v>
      </c>
      <c r="B68" s="34" t="n">
        <v>46224</v>
      </c>
      <c r="C68" s="26" t="s">
        <v>160</v>
      </c>
      <c r="D68" s="27" t="str">
        <f aca="false">VLOOKUP(C68,'Supplier Database'!$A$5:$K$29,2,FALSE())</f>
        <v>Meridian Wholesale</v>
      </c>
      <c r="E68" s="26" t="s">
        <v>285</v>
      </c>
      <c r="F68" s="27" t="str">
        <f aca="false">VLOOKUP(E68,'Product Master'!$A$5:$K$104,2,FALSE())</f>
        <v>Premium Office Item 091</v>
      </c>
      <c r="G68" s="28" t="n">
        <v>347</v>
      </c>
      <c r="H68" s="29" t="n">
        <v>4335.81</v>
      </c>
      <c r="I68" s="29" t="n">
        <f aca="false">G68*H68</f>
        <v>1504526.07</v>
      </c>
      <c r="J68" s="34" t="n">
        <v>46226</v>
      </c>
      <c r="K68" s="34" t="n">
        <v>46228</v>
      </c>
      <c r="L68" s="28" t="n">
        <v>347</v>
      </c>
      <c r="M68" s="28" t="n">
        <f aca="false">MAX(0,G68-L68)</f>
        <v>0</v>
      </c>
      <c r="N68" s="26" t="s">
        <v>1500</v>
      </c>
      <c r="O68" s="28" t="n">
        <f aca="false">IF(N68="Cancelled",0,IF(K68&lt;&gt;"",MAX(0,K68-J68),IF(N68="Delayed",MAX(0,'Daily MIS Report'!$B$4-J68),0)))</f>
        <v>2</v>
      </c>
    </row>
    <row r="69" customFormat="false" ht="15" hidden="false" customHeight="false" outlineLevel="0" collapsed="false">
      <c r="A69" s="18" t="s">
        <v>1565</v>
      </c>
      <c r="B69" s="25" t="n">
        <v>46302</v>
      </c>
      <c r="C69" s="18" t="s">
        <v>153</v>
      </c>
      <c r="D69" s="20" t="str">
        <f aca="false">VLOOKUP(C69,'Supplier Database'!$A$5:$K$29,2,FALSE())</f>
        <v>Frontier Wholesale</v>
      </c>
      <c r="E69" s="18" t="s">
        <v>274</v>
      </c>
      <c r="F69" s="20" t="str">
        <f aca="false">VLOOKUP(E69,'Product Master'!$A$5:$K$104,2,FALSE())</f>
        <v>Classic Automotive Item 080</v>
      </c>
      <c r="G69" s="17" t="n">
        <v>255</v>
      </c>
      <c r="H69" s="16" t="n">
        <v>1651.37</v>
      </c>
      <c r="I69" s="16" t="n">
        <f aca="false">G69*H69</f>
        <v>421099.35</v>
      </c>
      <c r="J69" s="25" t="n">
        <v>46309</v>
      </c>
      <c r="K69" s="25"/>
      <c r="L69" s="17" t="n">
        <v>1</v>
      </c>
      <c r="M69" s="17" t="n">
        <f aca="false">MAX(0,G69-L69)</f>
        <v>254</v>
      </c>
      <c r="N69" s="18" t="s">
        <v>1514</v>
      </c>
      <c r="O69" s="17" t="n">
        <f aca="false">IF(N69="Cancelled",0,IF(K69&lt;&gt;"",MAX(0,K69-J69),IF(N69="Delayed",MAX(0,'Daily MIS Report'!$B$4-J69),0)))</f>
        <v>5</v>
      </c>
    </row>
    <row r="70" customFormat="false" ht="15" hidden="false" customHeight="false" outlineLevel="0" collapsed="false">
      <c r="A70" s="26" t="s">
        <v>1566</v>
      </c>
      <c r="B70" s="34" t="n">
        <v>46154</v>
      </c>
      <c r="C70" s="26" t="s">
        <v>151</v>
      </c>
      <c r="D70" s="27" t="str">
        <f aca="false">VLOOKUP(C70,'Supplier Database'!$A$5:$K$29,2,FALSE())</f>
        <v>Delta Trading Co.</v>
      </c>
      <c r="E70" s="26" t="s">
        <v>226</v>
      </c>
      <c r="F70" s="27" t="str">
        <f aca="false">VLOOKUP(E70,'Product Master'!$A$5:$K$104,2,FALSE())</f>
        <v>Smart Automotive Item 032</v>
      </c>
      <c r="G70" s="28" t="n">
        <v>243</v>
      </c>
      <c r="H70" s="29" t="n">
        <v>6908.77</v>
      </c>
      <c r="I70" s="29" t="n">
        <f aca="false">G70*H70</f>
        <v>1678831.11</v>
      </c>
      <c r="J70" s="34" t="n">
        <v>46164</v>
      </c>
      <c r="K70" s="34" t="n">
        <v>46164</v>
      </c>
      <c r="L70" s="28" t="n">
        <v>243</v>
      </c>
      <c r="M70" s="28" t="n">
        <f aca="false">MAX(0,G70-L70)</f>
        <v>0</v>
      </c>
      <c r="N70" s="26" t="s">
        <v>1500</v>
      </c>
      <c r="O70" s="28" t="n">
        <f aca="false">IF(N70="Cancelled",0,IF(K70&lt;&gt;"",MAX(0,K70-J70),IF(N70="Delayed",MAX(0,'Daily MIS Report'!$B$4-J70),0)))</f>
        <v>0</v>
      </c>
    </row>
    <row r="71" customFormat="false" ht="15" hidden="false" customHeight="false" outlineLevel="0" collapsed="false">
      <c r="A71" s="18" t="s">
        <v>1567</v>
      </c>
      <c r="B71" s="25" t="n">
        <v>46089</v>
      </c>
      <c r="C71" s="18" t="s">
        <v>171</v>
      </c>
      <c r="D71" s="20" t="str">
        <f aca="false">VLOOKUP(C71,'Supplier Database'!$A$5:$K$29,2,FALSE())</f>
        <v>Yugma Industries</v>
      </c>
      <c r="E71" s="18" t="s">
        <v>238</v>
      </c>
      <c r="F71" s="20" t="str">
        <f aca="false">VLOOKUP(E71,'Product Master'!$A$5:$K$104,2,FALSE())</f>
        <v>Essential Personal Item 044</v>
      </c>
      <c r="G71" s="17" t="n">
        <v>133</v>
      </c>
      <c r="H71" s="16" t="n">
        <v>790.22</v>
      </c>
      <c r="I71" s="16" t="n">
        <f aca="false">G71*H71</f>
        <v>105099.26</v>
      </c>
      <c r="J71" s="25" t="n">
        <v>46092</v>
      </c>
      <c r="K71" s="25" t="n">
        <v>46092</v>
      </c>
      <c r="L71" s="17" t="n">
        <v>133</v>
      </c>
      <c r="M71" s="17" t="n">
        <f aca="false">MAX(0,G71-L71)</f>
        <v>0</v>
      </c>
      <c r="N71" s="18" t="s">
        <v>1500</v>
      </c>
      <c r="O71" s="17" t="n">
        <f aca="false">IF(N71="Cancelled",0,IF(K71&lt;&gt;"",MAX(0,K71-J71),IF(N71="Delayed",MAX(0,'Daily MIS Report'!$B$4-J71),0)))</f>
        <v>0</v>
      </c>
    </row>
    <row r="72" customFormat="false" ht="15" hidden="false" customHeight="false" outlineLevel="0" collapsed="false">
      <c r="A72" s="26" t="s">
        <v>1568</v>
      </c>
      <c r="B72" s="34" t="n">
        <v>46255</v>
      </c>
      <c r="C72" s="26" t="s">
        <v>151</v>
      </c>
      <c r="D72" s="27" t="str">
        <f aca="false">VLOOKUP(C72,'Supplier Database'!$A$5:$K$29,2,FALSE())</f>
        <v>Delta Trading Co.</v>
      </c>
      <c r="E72" s="26" t="s">
        <v>262</v>
      </c>
      <c r="F72" s="27" t="str">
        <f aca="false">VLOOKUP(E72,'Product Master'!$A$5:$K$104,2,FALSE())</f>
        <v>Compact Personal Item 068</v>
      </c>
      <c r="G72" s="28" t="n">
        <v>281</v>
      </c>
      <c r="H72" s="29" t="n">
        <v>4773.42</v>
      </c>
      <c r="I72" s="29" t="n">
        <f aca="false">G72*H72</f>
        <v>1341331.02</v>
      </c>
      <c r="J72" s="34" t="n">
        <v>46265</v>
      </c>
      <c r="K72" s="34"/>
      <c r="L72" s="28" t="n">
        <v>0</v>
      </c>
      <c r="M72" s="28" t="n">
        <f aca="false">MAX(0,G72-L72)</f>
        <v>281</v>
      </c>
      <c r="N72" s="26" t="s">
        <v>37</v>
      </c>
      <c r="O72" s="28" t="n">
        <f aca="false">IF(N72="Cancelled",0,IF(K72&lt;&gt;"",MAX(0,K72-J72),IF(N72="Delayed",MAX(0,'Daily MIS Report'!$B$4-J72),0)))</f>
        <v>0</v>
      </c>
    </row>
    <row r="73" customFormat="false" ht="15" hidden="false" customHeight="false" outlineLevel="0" collapsed="false">
      <c r="A73" s="18" t="s">
        <v>1569</v>
      </c>
      <c r="B73" s="25" t="n">
        <v>46110</v>
      </c>
      <c r="C73" s="18" t="s">
        <v>171</v>
      </c>
      <c r="D73" s="20" t="str">
        <f aca="false">VLOOKUP(C73,'Supplier Database'!$A$5:$K$29,2,FALSE())</f>
        <v>Yugma Industries</v>
      </c>
      <c r="E73" s="18" t="s">
        <v>277</v>
      </c>
      <c r="F73" s="20" t="str">
        <f aca="false">VLOOKUP(E73,'Product Master'!$A$5:$K$104,2,FALSE())</f>
        <v>Essential Office Item 083</v>
      </c>
      <c r="G73" s="17" t="n">
        <v>437</v>
      </c>
      <c r="H73" s="16" t="n">
        <v>2428.09</v>
      </c>
      <c r="I73" s="16" t="n">
        <f aca="false">G73*H73</f>
        <v>1061075.33</v>
      </c>
      <c r="J73" s="25" t="n">
        <v>46113</v>
      </c>
      <c r="K73" s="25" t="n">
        <v>46113</v>
      </c>
      <c r="L73" s="17" t="n">
        <v>437</v>
      </c>
      <c r="M73" s="17" t="n">
        <f aca="false">MAX(0,G73-L73)</f>
        <v>0</v>
      </c>
      <c r="N73" s="18" t="s">
        <v>1500</v>
      </c>
      <c r="O73" s="17" t="n">
        <f aca="false">IF(N73="Cancelled",0,IF(K73&lt;&gt;"",MAX(0,K73-J73),IF(N73="Delayed",MAX(0,'Daily MIS Report'!$B$4-J73),0)))</f>
        <v>0</v>
      </c>
    </row>
    <row r="74" customFormat="false" ht="15" hidden="false" customHeight="false" outlineLevel="0" collapsed="false">
      <c r="A74" s="26" t="s">
        <v>1570</v>
      </c>
      <c r="B74" s="34" t="n">
        <v>46032</v>
      </c>
      <c r="C74" s="26" t="s">
        <v>153</v>
      </c>
      <c r="D74" s="27" t="str">
        <f aca="false">VLOOKUP(C74,'Supplier Database'!$A$5:$K$29,2,FALSE())</f>
        <v>Frontier Wholesale</v>
      </c>
      <c r="E74" s="26" t="s">
        <v>272</v>
      </c>
      <c r="F74" s="27" t="str">
        <f aca="false">VLOOKUP(E74,'Product Master'!$A$5:$K$104,2,FALSE())</f>
        <v>Smart Packaging Item 078</v>
      </c>
      <c r="G74" s="28" t="n">
        <v>98</v>
      </c>
      <c r="H74" s="29" t="n">
        <v>468.21</v>
      </c>
      <c r="I74" s="29" t="n">
        <f aca="false">G74*H74</f>
        <v>45884.58</v>
      </c>
      <c r="J74" s="34" t="n">
        <v>46043</v>
      </c>
      <c r="K74" s="34" t="n">
        <v>46043</v>
      </c>
      <c r="L74" s="28" t="n">
        <v>81</v>
      </c>
      <c r="M74" s="28" t="n">
        <f aca="false">MAX(0,G74-L74)</f>
        <v>17</v>
      </c>
      <c r="N74" s="26" t="s">
        <v>1503</v>
      </c>
      <c r="O74" s="28" t="n">
        <f aca="false">IF(N74="Cancelled",0,IF(K74&lt;&gt;"",MAX(0,K74-J74),IF(N74="Delayed",MAX(0,'Daily MIS Report'!$B$4-J74),0)))</f>
        <v>0</v>
      </c>
    </row>
    <row r="75" customFormat="false" ht="15" hidden="false" customHeight="false" outlineLevel="0" collapsed="false">
      <c r="A75" s="18" t="s">
        <v>1571</v>
      </c>
      <c r="B75" s="25" t="n">
        <v>46183</v>
      </c>
      <c r="C75" s="18" t="s">
        <v>162</v>
      </c>
      <c r="D75" s="20" t="str">
        <f aca="false">VLOOKUP(C75,'Supplier Database'!$A$5:$K$29,2,FALSE())</f>
        <v>Orbit Supplies</v>
      </c>
      <c r="E75" s="18" t="s">
        <v>291</v>
      </c>
      <c r="F75" s="20" t="str">
        <f aca="false">VLOOKUP(E75,'Product Master'!$A$5:$K$104,2,FALSE())</f>
        <v>Smart Electronics Item 097</v>
      </c>
      <c r="G75" s="17" t="n">
        <v>308</v>
      </c>
      <c r="H75" s="16" t="n">
        <v>1214.67</v>
      </c>
      <c r="I75" s="16" t="n">
        <f aca="false">G75*H75</f>
        <v>374118.36</v>
      </c>
      <c r="J75" s="25" t="n">
        <v>46197</v>
      </c>
      <c r="K75" s="25" t="n">
        <v>46198</v>
      </c>
      <c r="L75" s="17" t="n">
        <v>308</v>
      </c>
      <c r="M75" s="17" t="n">
        <f aca="false">MAX(0,G75-L75)</f>
        <v>0</v>
      </c>
      <c r="N75" s="18" t="s">
        <v>1500</v>
      </c>
      <c r="O75" s="17" t="n">
        <f aca="false">IF(N75="Cancelled",0,IF(K75&lt;&gt;"",MAX(0,K75-J75),IF(N75="Delayed",MAX(0,'Daily MIS Report'!$B$4-J75),0)))</f>
        <v>1</v>
      </c>
    </row>
    <row r="76" customFormat="false" ht="15" hidden="false" customHeight="false" outlineLevel="0" collapsed="false">
      <c r="A76" s="26" t="s">
        <v>1572</v>
      </c>
      <c r="B76" s="34" t="n">
        <v>46252</v>
      </c>
      <c r="C76" s="26" t="s">
        <v>158</v>
      </c>
      <c r="D76" s="27" t="str">
        <f aca="false">VLOOKUP(C76,'Supplier Database'!$A$5:$K$29,2,FALSE())</f>
        <v>Kinetic Trading Co.</v>
      </c>
      <c r="E76" s="26" t="s">
        <v>214</v>
      </c>
      <c r="F76" s="27" t="str">
        <f aca="false">VLOOKUP(E76,'Product Master'!$A$5:$K$104,2,FALSE())</f>
        <v>Eco Personal Item 020</v>
      </c>
      <c r="G76" s="28" t="n">
        <v>245</v>
      </c>
      <c r="H76" s="29" t="n">
        <v>2860.57</v>
      </c>
      <c r="I76" s="29" t="n">
        <f aca="false">G76*H76</f>
        <v>700839.65</v>
      </c>
      <c r="J76" s="34" t="n">
        <v>46264</v>
      </c>
      <c r="K76" s="34" t="n">
        <v>46264</v>
      </c>
      <c r="L76" s="28" t="n">
        <v>245</v>
      </c>
      <c r="M76" s="28" t="n">
        <f aca="false">MAX(0,G76-L76)</f>
        <v>0</v>
      </c>
      <c r="N76" s="26" t="s">
        <v>1500</v>
      </c>
      <c r="O76" s="28" t="n">
        <f aca="false">IF(N76="Cancelled",0,IF(K76&lt;&gt;"",MAX(0,K76-J76),IF(N76="Delayed",MAX(0,'Daily MIS Report'!$B$4-J76),0)))</f>
        <v>0</v>
      </c>
    </row>
    <row r="77" customFormat="false" ht="15" hidden="false" customHeight="false" outlineLevel="0" collapsed="false">
      <c r="A77" s="18" t="s">
        <v>1573</v>
      </c>
      <c r="B77" s="25" t="n">
        <v>46071</v>
      </c>
      <c r="C77" s="18" t="s">
        <v>166</v>
      </c>
      <c r="D77" s="20" t="str">
        <f aca="false">VLOOKUP(C77,'Supplier Database'!$A$5:$K$29,2,FALSE())</f>
        <v>Summit Logistics</v>
      </c>
      <c r="E77" s="18" t="s">
        <v>202</v>
      </c>
      <c r="F77" s="20" t="str">
        <f aca="false">VLOOKUP(E77,'Product Master'!$A$5:$K$104,2,FALSE())</f>
        <v>Smart Automotive Item 008</v>
      </c>
      <c r="G77" s="17" t="n">
        <v>200</v>
      </c>
      <c r="H77" s="16" t="n">
        <v>7076.16</v>
      </c>
      <c r="I77" s="16" t="n">
        <f aca="false">G77*H77</f>
        <v>1415232</v>
      </c>
      <c r="J77" s="25" t="n">
        <v>46076</v>
      </c>
      <c r="K77" s="25" t="n">
        <v>46076</v>
      </c>
      <c r="L77" s="17" t="n">
        <v>200</v>
      </c>
      <c r="M77" s="17" t="n">
        <f aca="false">MAX(0,G77-L77)</f>
        <v>0</v>
      </c>
      <c r="N77" s="18" t="s">
        <v>1500</v>
      </c>
      <c r="O77" s="17" t="n">
        <f aca="false">IF(N77="Cancelled",0,IF(K77&lt;&gt;"",MAX(0,K77-J77),IF(N77="Delayed",MAX(0,'Daily MIS Report'!$B$4-J77),0)))</f>
        <v>0</v>
      </c>
    </row>
    <row r="78" customFormat="false" ht="15" hidden="false" customHeight="false" outlineLevel="0" collapsed="false">
      <c r="A78" s="26" t="s">
        <v>1574</v>
      </c>
      <c r="B78" s="34" t="n">
        <v>45950</v>
      </c>
      <c r="C78" s="26" t="s">
        <v>149</v>
      </c>
      <c r="D78" s="27" t="str">
        <f aca="false">VLOOKUP(C78,'Supplier Database'!$A$5:$K$29,2,FALSE())</f>
        <v>Bright Distributors</v>
      </c>
      <c r="E78" s="26" t="s">
        <v>242</v>
      </c>
      <c r="F78" s="27" t="str">
        <f aca="false">VLOOKUP(E78,'Product Master'!$A$5:$K$104,2,FALSE())</f>
        <v>Eco Automotive Item 048</v>
      </c>
      <c r="G78" s="28" t="n">
        <v>445</v>
      </c>
      <c r="H78" s="29" t="n">
        <v>326.63</v>
      </c>
      <c r="I78" s="29" t="n">
        <f aca="false">G78*H78</f>
        <v>145350.35</v>
      </c>
      <c r="J78" s="34" t="n">
        <v>45958</v>
      </c>
      <c r="K78" s="34" t="n">
        <v>45963</v>
      </c>
      <c r="L78" s="28" t="n">
        <v>47</v>
      </c>
      <c r="M78" s="28" t="n">
        <f aca="false">MAX(0,G78-L78)</f>
        <v>398</v>
      </c>
      <c r="N78" s="26" t="s">
        <v>1503</v>
      </c>
      <c r="O78" s="28" t="n">
        <f aca="false">IF(N78="Cancelled",0,IF(K78&lt;&gt;"",MAX(0,K78-J78),IF(N78="Delayed",MAX(0,'Daily MIS Report'!$B$4-J78),0)))</f>
        <v>5</v>
      </c>
    </row>
    <row r="79" customFormat="false" ht="15" hidden="false" customHeight="false" outlineLevel="0" collapsed="false">
      <c r="A79" s="18" t="s">
        <v>1575</v>
      </c>
      <c r="B79" s="25" t="n">
        <v>46245</v>
      </c>
      <c r="C79" s="18" t="s">
        <v>167</v>
      </c>
      <c r="D79" s="20" t="str">
        <f aca="false">VLOOKUP(C79,'Supplier Database'!$A$5:$K$29,2,FALSE())</f>
        <v>Trident Wholesale</v>
      </c>
      <c r="E79" s="18" t="s">
        <v>259</v>
      </c>
      <c r="F79" s="20" t="str">
        <f aca="false">VLOOKUP(E79,'Product Master'!$A$5:$K$104,2,FALSE())</f>
        <v>Compact Electronics Item 065</v>
      </c>
      <c r="G79" s="17" t="n">
        <v>216</v>
      </c>
      <c r="H79" s="16" t="n">
        <v>4735.86</v>
      </c>
      <c r="I79" s="16" t="n">
        <f aca="false">G79*H79</f>
        <v>1022945.76</v>
      </c>
      <c r="J79" s="25" t="n">
        <v>46257</v>
      </c>
      <c r="K79" s="25" t="n">
        <v>46254</v>
      </c>
      <c r="L79" s="17" t="n">
        <v>216</v>
      </c>
      <c r="M79" s="17" t="n">
        <f aca="false">MAX(0,G79-L79)</f>
        <v>0</v>
      </c>
      <c r="N79" s="18" t="s">
        <v>1500</v>
      </c>
      <c r="O79" s="17" t="n">
        <f aca="false">IF(N79="Cancelled",0,IF(K79&lt;&gt;"",MAX(0,K79-J79),IF(N79="Delayed",MAX(0,'Daily MIS Report'!$B$4-J79),0)))</f>
        <v>0</v>
      </c>
    </row>
    <row r="80" customFormat="false" ht="15" hidden="false" customHeight="false" outlineLevel="0" collapsed="false">
      <c r="A80" s="26" t="s">
        <v>1576</v>
      </c>
      <c r="B80" s="34" t="n">
        <v>46161</v>
      </c>
      <c r="C80" s="26" t="s">
        <v>166</v>
      </c>
      <c r="D80" s="27" t="str">
        <f aca="false">VLOOKUP(C80,'Supplier Database'!$A$5:$K$29,2,FALSE())</f>
        <v>Summit Logistics</v>
      </c>
      <c r="E80" s="26" t="s">
        <v>278</v>
      </c>
      <c r="F80" s="27" t="str">
        <f aca="false">VLOOKUP(E80,'Product Master'!$A$5:$K$104,2,FALSE())</f>
        <v>Eco Personal Item 084</v>
      </c>
      <c r="G80" s="28" t="n">
        <v>116</v>
      </c>
      <c r="H80" s="29" t="n">
        <v>2768.44</v>
      </c>
      <c r="I80" s="29" t="n">
        <f aca="false">G80*H80</f>
        <v>321139.04</v>
      </c>
      <c r="J80" s="34" t="n">
        <v>46166</v>
      </c>
      <c r="K80" s="34" t="n">
        <v>46165</v>
      </c>
      <c r="L80" s="28" t="n">
        <v>116</v>
      </c>
      <c r="M80" s="28" t="n">
        <f aca="false">MAX(0,G80-L80)</f>
        <v>0</v>
      </c>
      <c r="N80" s="26" t="s">
        <v>1500</v>
      </c>
      <c r="O80" s="28" t="n">
        <f aca="false">IF(N80="Cancelled",0,IF(K80&lt;&gt;"",MAX(0,K80-J80),IF(N80="Delayed",MAX(0,'Daily MIS Report'!$B$4-J80),0)))</f>
        <v>0</v>
      </c>
    </row>
    <row r="81" customFormat="false" ht="15" hidden="false" customHeight="false" outlineLevel="0" collapsed="false">
      <c r="A81" s="18" t="s">
        <v>1577</v>
      </c>
      <c r="B81" s="25" t="n">
        <v>45962</v>
      </c>
      <c r="C81" s="18" t="s">
        <v>162</v>
      </c>
      <c r="D81" s="20" t="str">
        <f aca="false">VLOOKUP(C81,'Supplier Database'!$A$5:$K$29,2,FALSE())</f>
        <v>Orbit Supplies</v>
      </c>
      <c r="E81" s="18" t="s">
        <v>208</v>
      </c>
      <c r="F81" s="20" t="str">
        <f aca="false">VLOOKUP(E81,'Product Master'!$A$5:$K$104,2,FALSE())</f>
        <v>Pro Packaging Item 014</v>
      </c>
      <c r="G81" s="17" t="n">
        <v>435</v>
      </c>
      <c r="H81" s="16" t="n">
        <v>3042.78</v>
      </c>
      <c r="I81" s="16" t="n">
        <f aca="false">G81*H81</f>
        <v>1323609.3</v>
      </c>
      <c r="J81" s="25" t="n">
        <v>45976</v>
      </c>
      <c r="K81" s="25" t="n">
        <v>45974</v>
      </c>
      <c r="L81" s="17" t="n">
        <v>435</v>
      </c>
      <c r="M81" s="17" t="n">
        <f aca="false">MAX(0,G81-L81)</f>
        <v>0</v>
      </c>
      <c r="N81" s="18" t="s">
        <v>1500</v>
      </c>
      <c r="O81" s="17" t="n">
        <f aca="false">IF(N81="Cancelled",0,IF(K81&lt;&gt;"",MAX(0,K81-J81),IF(N81="Delayed",MAX(0,'Daily MIS Report'!$B$4-J81),0)))</f>
        <v>0</v>
      </c>
    </row>
    <row r="82" customFormat="false" ht="15" hidden="false" customHeight="false" outlineLevel="0" collapsed="false">
      <c r="A82" s="26" t="s">
        <v>1578</v>
      </c>
      <c r="B82" s="34" t="n">
        <v>46189</v>
      </c>
      <c r="C82" s="26" t="s">
        <v>168</v>
      </c>
      <c r="D82" s="27" t="str">
        <f aca="false">VLOOKUP(C82,'Supplier Database'!$A$5:$K$29,2,FALSE())</f>
        <v>Unity Partners</v>
      </c>
      <c r="E82" s="26" t="s">
        <v>217</v>
      </c>
      <c r="F82" s="27" t="str">
        <f aca="false">VLOOKUP(E82,'Product Master'!$A$5:$K$104,2,FALSE())</f>
        <v>Eco Apparel Item 023</v>
      </c>
      <c r="G82" s="28" t="n">
        <v>40</v>
      </c>
      <c r="H82" s="29" t="n">
        <v>2556.89</v>
      </c>
      <c r="I82" s="29" t="n">
        <f aca="false">G82*H82</f>
        <v>102275.6</v>
      </c>
      <c r="J82" s="34" t="n">
        <v>46193</v>
      </c>
      <c r="K82" s="34" t="n">
        <v>46193</v>
      </c>
      <c r="L82" s="28" t="n">
        <v>40</v>
      </c>
      <c r="M82" s="28" t="n">
        <f aca="false">MAX(0,G82-L82)</f>
        <v>0</v>
      </c>
      <c r="N82" s="26" t="s">
        <v>1500</v>
      </c>
      <c r="O82" s="28" t="n">
        <f aca="false">IF(N82="Cancelled",0,IF(K82&lt;&gt;"",MAX(0,K82-J82),IF(N82="Delayed",MAX(0,'Daily MIS Report'!$B$4-J82),0)))</f>
        <v>0</v>
      </c>
    </row>
    <row r="83" customFormat="false" ht="15" hidden="false" customHeight="false" outlineLevel="0" collapsed="false">
      <c r="A83" s="18" t="s">
        <v>1579</v>
      </c>
      <c r="B83" s="25" t="n">
        <v>46302</v>
      </c>
      <c r="C83" s="18" t="s">
        <v>164</v>
      </c>
      <c r="D83" s="20" t="str">
        <f aca="false">VLOOKUP(C83,'Supplier Database'!$A$5:$K$29,2,FALSE())</f>
        <v>Quantum Industries</v>
      </c>
      <c r="E83" s="18" t="s">
        <v>273</v>
      </c>
      <c r="F83" s="20" t="str">
        <f aca="false">VLOOKUP(E83,'Product Master'!$A$5:$K$104,2,FALSE())</f>
        <v>Essential Apparel Item 079</v>
      </c>
      <c r="G83" s="17" t="n">
        <v>101</v>
      </c>
      <c r="H83" s="16" t="n">
        <v>8047.21</v>
      </c>
      <c r="I83" s="16" t="n">
        <f aca="false">G83*H83</f>
        <v>812768.21</v>
      </c>
      <c r="J83" s="25" t="n">
        <v>46307</v>
      </c>
      <c r="K83" s="25"/>
      <c r="L83" s="17" t="n">
        <v>6</v>
      </c>
      <c r="M83" s="17" t="n">
        <f aca="false">MAX(0,G83-L83)</f>
        <v>95</v>
      </c>
      <c r="N83" s="18" t="s">
        <v>1514</v>
      </c>
      <c r="O83" s="17" t="n">
        <f aca="false">IF(N83="Cancelled",0,IF(K83&lt;&gt;"",MAX(0,K83-J83),IF(N83="Delayed",MAX(0,'Daily MIS Report'!$B$4-J83),0)))</f>
        <v>7</v>
      </c>
    </row>
    <row r="84" customFormat="false" ht="15" hidden="false" customHeight="false" outlineLevel="0" collapsed="false">
      <c r="A84" s="26" t="s">
        <v>1580</v>
      </c>
      <c r="B84" s="34" t="n">
        <v>46140</v>
      </c>
      <c r="C84" s="26" t="s">
        <v>172</v>
      </c>
      <c r="D84" s="27" t="str">
        <f aca="false">VLOOKUP(C84,'Supplier Database'!$A$5:$K$29,2,FALSE())</f>
        <v>Zenith Trading Co.</v>
      </c>
      <c r="E84" s="26" t="s">
        <v>238</v>
      </c>
      <c r="F84" s="27" t="str">
        <f aca="false">VLOOKUP(E84,'Product Master'!$A$5:$K$104,2,FALSE())</f>
        <v>Essential Personal Item 044</v>
      </c>
      <c r="G84" s="28" t="n">
        <v>367</v>
      </c>
      <c r="H84" s="29" t="n">
        <v>815.84</v>
      </c>
      <c r="I84" s="29" t="n">
        <f aca="false">G84*H84</f>
        <v>299413.28</v>
      </c>
      <c r="J84" s="34" t="n">
        <v>46145</v>
      </c>
      <c r="K84" s="34"/>
      <c r="L84" s="28" t="n">
        <v>0</v>
      </c>
      <c r="M84" s="28" t="n">
        <f aca="false">MAX(0,G84-L84)</f>
        <v>367</v>
      </c>
      <c r="N84" s="26" t="s">
        <v>37</v>
      </c>
      <c r="O84" s="28" t="n">
        <f aca="false">IF(N84="Cancelled",0,IF(K84&lt;&gt;"",MAX(0,K84-J84),IF(N84="Delayed",MAX(0,'Daily MIS Report'!$B$4-J84),0)))</f>
        <v>0</v>
      </c>
    </row>
    <row r="85" customFormat="false" ht="15" hidden="false" customHeight="false" outlineLevel="0" collapsed="false">
      <c r="A85" s="18" t="s">
        <v>1581</v>
      </c>
      <c r="B85" s="25" t="n">
        <v>46262</v>
      </c>
      <c r="C85" s="18" t="s">
        <v>158</v>
      </c>
      <c r="D85" s="20" t="str">
        <f aca="false">VLOOKUP(C85,'Supplier Database'!$A$5:$K$29,2,FALSE())</f>
        <v>Kinetic Trading Co.</v>
      </c>
      <c r="E85" s="18" t="s">
        <v>203</v>
      </c>
      <c r="F85" s="20" t="str">
        <f aca="false">VLOOKUP(E85,'Product Master'!$A$5:$K$104,2,FALSE())</f>
        <v>Essential Electronics Item 009</v>
      </c>
      <c r="G85" s="17" t="n">
        <v>188</v>
      </c>
      <c r="H85" s="16" t="n">
        <v>3636.58</v>
      </c>
      <c r="I85" s="16" t="n">
        <f aca="false">G85*H85</f>
        <v>683677.04</v>
      </c>
      <c r="J85" s="25" t="n">
        <v>46274</v>
      </c>
      <c r="K85" s="25" t="n">
        <v>46275</v>
      </c>
      <c r="L85" s="17" t="n">
        <v>65</v>
      </c>
      <c r="M85" s="17" t="n">
        <f aca="false">MAX(0,G85-L85)</f>
        <v>123</v>
      </c>
      <c r="N85" s="18" t="s">
        <v>1503</v>
      </c>
      <c r="O85" s="17" t="n">
        <f aca="false">IF(N85="Cancelled",0,IF(K85&lt;&gt;"",MAX(0,K85-J85),IF(N85="Delayed",MAX(0,'Daily MIS Report'!$B$4-J85),0)))</f>
        <v>1</v>
      </c>
    </row>
    <row r="86" customFormat="false" ht="15" hidden="false" customHeight="false" outlineLevel="0" collapsed="false">
      <c r="A86" s="26" t="s">
        <v>1582</v>
      </c>
      <c r="B86" s="34" t="n">
        <v>46301</v>
      </c>
      <c r="C86" s="26" t="s">
        <v>169</v>
      </c>
      <c r="D86" s="27" t="str">
        <f aca="false">VLOOKUP(C86,'Supplier Database'!$A$5:$K$29,2,FALSE())</f>
        <v>Vertex Supplies</v>
      </c>
      <c r="E86" s="26" t="s">
        <v>272</v>
      </c>
      <c r="F86" s="27" t="str">
        <f aca="false">VLOOKUP(E86,'Product Master'!$A$5:$K$104,2,FALSE())</f>
        <v>Smart Packaging Item 078</v>
      </c>
      <c r="G86" s="28" t="n">
        <v>467</v>
      </c>
      <c r="H86" s="29" t="n">
        <v>434.98</v>
      </c>
      <c r="I86" s="29" t="n">
        <f aca="false">G86*H86</f>
        <v>203135.66</v>
      </c>
      <c r="J86" s="34" t="n">
        <v>46305</v>
      </c>
      <c r="K86" s="34" t="n">
        <v>46308</v>
      </c>
      <c r="L86" s="28" t="n">
        <v>467</v>
      </c>
      <c r="M86" s="28" t="n">
        <f aca="false">MAX(0,G86-L86)</f>
        <v>0</v>
      </c>
      <c r="N86" s="26" t="s">
        <v>1500</v>
      </c>
      <c r="O86" s="28" t="n">
        <f aca="false">IF(N86="Cancelled",0,IF(K86&lt;&gt;"",MAX(0,K86-J86),IF(N86="Delayed",MAX(0,'Daily MIS Report'!$B$4-J86),0)))</f>
        <v>3</v>
      </c>
    </row>
    <row r="87" customFormat="false" ht="15" hidden="false" customHeight="false" outlineLevel="0" collapsed="false">
      <c r="A87" s="18" t="s">
        <v>1583</v>
      </c>
      <c r="B87" s="25" t="n">
        <v>46110</v>
      </c>
      <c r="C87" s="18" t="s">
        <v>157</v>
      </c>
      <c r="D87" s="20" t="str">
        <f aca="false">VLOOKUP(C87,'Supplier Database'!$A$5:$K$29,2,FALSE())</f>
        <v>Jupiter Industries</v>
      </c>
      <c r="E87" s="18" t="s">
        <v>278</v>
      </c>
      <c r="F87" s="20" t="str">
        <f aca="false">VLOOKUP(E87,'Product Master'!$A$5:$K$104,2,FALSE())</f>
        <v>Eco Personal Item 084</v>
      </c>
      <c r="G87" s="17" t="n">
        <v>377</v>
      </c>
      <c r="H87" s="16" t="n">
        <v>2884.07</v>
      </c>
      <c r="I87" s="16" t="n">
        <f aca="false">G87*H87</f>
        <v>1087294.39</v>
      </c>
      <c r="J87" s="25" t="n">
        <v>46124</v>
      </c>
      <c r="K87" s="25" t="n">
        <v>46122</v>
      </c>
      <c r="L87" s="17" t="n">
        <v>377</v>
      </c>
      <c r="M87" s="17" t="n">
        <f aca="false">MAX(0,G87-L87)</f>
        <v>0</v>
      </c>
      <c r="N87" s="18" t="s">
        <v>1500</v>
      </c>
      <c r="O87" s="17" t="n">
        <f aca="false">IF(N87="Cancelled",0,IF(K87&lt;&gt;"",MAX(0,K87-J87),IF(N87="Delayed",MAX(0,'Daily MIS Report'!$B$4-J87),0)))</f>
        <v>0</v>
      </c>
    </row>
    <row r="88" customFormat="false" ht="15" hidden="false" customHeight="false" outlineLevel="0" collapsed="false">
      <c r="A88" s="26" t="s">
        <v>1584</v>
      </c>
      <c r="B88" s="34" t="n">
        <v>46302</v>
      </c>
      <c r="C88" s="26" t="s">
        <v>165</v>
      </c>
      <c r="D88" s="27" t="str">
        <f aca="false">VLOOKUP(C88,'Supplier Database'!$A$5:$K$29,2,FALSE())</f>
        <v>Riverstone Trading Co.</v>
      </c>
      <c r="E88" s="26" t="s">
        <v>243</v>
      </c>
      <c r="F88" s="27" t="str">
        <f aca="false">VLOOKUP(E88,'Product Master'!$A$5:$K$104,2,FALSE())</f>
        <v>Premium Electronics Item 049</v>
      </c>
      <c r="G88" s="28" t="n">
        <v>349</v>
      </c>
      <c r="H88" s="29" t="n">
        <v>6114.1</v>
      </c>
      <c r="I88" s="29" t="n">
        <f aca="false">G88*H88</f>
        <v>2133820.9</v>
      </c>
      <c r="J88" s="34" t="n">
        <v>46308</v>
      </c>
      <c r="K88" s="34"/>
      <c r="L88" s="28" t="n">
        <v>10</v>
      </c>
      <c r="M88" s="28" t="n">
        <f aca="false">MAX(0,G88-L88)</f>
        <v>339</v>
      </c>
      <c r="N88" s="26" t="s">
        <v>1514</v>
      </c>
      <c r="O88" s="28" t="n">
        <f aca="false">IF(N88="Cancelled",0,IF(K88&lt;&gt;"",MAX(0,K88-J88),IF(N88="Delayed",MAX(0,'Daily MIS Report'!$B$4-J88),0)))</f>
        <v>6</v>
      </c>
    </row>
    <row r="89" customFormat="false" ht="15" hidden="false" customHeight="false" outlineLevel="0" collapsed="false">
      <c r="A89" s="18" t="s">
        <v>1585</v>
      </c>
      <c r="B89" s="25" t="n">
        <v>46290</v>
      </c>
      <c r="C89" s="18" t="s">
        <v>171</v>
      </c>
      <c r="D89" s="20" t="str">
        <f aca="false">VLOOKUP(C89,'Supplier Database'!$A$5:$K$29,2,FALSE())</f>
        <v>Yugma Industries</v>
      </c>
      <c r="E89" s="18" t="s">
        <v>282</v>
      </c>
      <c r="F89" s="20" t="str">
        <f aca="false">VLOOKUP(E89,'Product Master'!$A$5:$K$104,2,FALSE())</f>
        <v>Premium Automotive Item 088</v>
      </c>
      <c r="G89" s="17" t="n">
        <v>487</v>
      </c>
      <c r="H89" s="16" t="n">
        <v>903.94</v>
      </c>
      <c r="I89" s="16" t="n">
        <f aca="false">G89*H89</f>
        <v>440218.78</v>
      </c>
      <c r="J89" s="25" t="n">
        <v>46293</v>
      </c>
      <c r="K89" s="25" t="n">
        <v>46295</v>
      </c>
      <c r="L89" s="17" t="n">
        <v>261</v>
      </c>
      <c r="M89" s="17" t="n">
        <f aca="false">MAX(0,G89-L89)</f>
        <v>226</v>
      </c>
      <c r="N89" s="18" t="s">
        <v>1503</v>
      </c>
      <c r="O89" s="17" t="n">
        <f aca="false">IF(N89="Cancelled",0,IF(K89&lt;&gt;"",MAX(0,K89-J89),IF(N89="Delayed",MAX(0,'Daily MIS Report'!$B$4-J89),0)))</f>
        <v>2</v>
      </c>
    </row>
    <row r="90" customFormat="false" ht="15" hidden="false" customHeight="false" outlineLevel="0" collapsed="false">
      <c r="A90" s="26" t="s">
        <v>1586</v>
      </c>
      <c r="B90" s="34" t="n">
        <v>46116</v>
      </c>
      <c r="C90" s="26" t="s">
        <v>148</v>
      </c>
      <c r="D90" s="27" t="str">
        <f aca="false">VLOOKUP(C90,'Supplier Database'!$A$5:$K$29,2,FALSE())</f>
        <v>Apex Supplies</v>
      </c>
      <c r="E90" s="26" t="s">
        <v>241</v>
      </c>
      <c r="F90" s="27" t="str">
        <f aca="false">VLOOKUP(E90,'Product Master'!$A$5:$K$104,2,FALSE())</f>
        <v>Premium Apparel Item 047</v>
      </c>
      <c r="G90" s="28" t="n">
        <v>178</v>
      </c>
      <c r="H90" s="29" t="n">
        <v>2180.33</v>
      </c>
      <c r="I90" s="29" t="n">
        <f aca="false">G90*H90</f>
        <v>388098.74</v>
      </c>
      <c r="J90" s="34" t="n">
        <v>46119</v>
      </c>
      <c r="K90" s="34" t="n">
        <v>46119</v>
      </c>
      <c r="L90" s="28" t="n">
        <v>178</v>
      </c>
      <c r="M90" s="28" t="n">
        <f aca="false">MAX(0,G90-L90)</f>
        <v>0</v>
      </c>
      <c r="N90" s="26" t="s">
        <v>1500</v>
      </c>
      <c r="O90" s="28" t="n">
        <f aca="false">IF(N90="Cancelled",0,IF(K90&lt;&gt;"",MAX(0,K90-J90),IF(N90="Delayed",MAX(0,'Daily MIS Report'!$B$4-J90),0)))</f>
        <v>0</v>
      </c>
    </row>
    <row r="91" customFormat="false" ht="15" hidden="false" customHeight="false" outlineLevel="0" collapsed="false">
      <c r="A91" s="18" t="s">
        <v>1587</v>
      </c>
      <c r="B91" s="25" t="n">
        <v>46302</v>
      </c>
      <c r="C91" s="18" t="s">
        <v>155</v>
      </c>
      <c r="D91" s="20" t="str">
        <f aca="false">VLOOKUP(C91,'Supplier Database'!$A$5:$K$29,2,FALSE())</f>
        <v>Horizon Supplies</v>
      </c>
      <c r="E91" s="18" t="s">
        <v>212</v>
      </c>
      <c r="F91" s="20" t="str">
        <f aca="false">VLOOKUP(E91,'Product Master'!$A$5:$K$104,2,FALSE())</f>
        <v>Smart Home Item 018</v>
      </c>
      <c r="G91" s="17" t="n">
        <v>99</v>
      </c>
      <c r="H91" s="16" t="n">
        <v>3293.27</v>
      </c>
      <c r="I91" s="16" t="n">
        <f aca="false">G91*H91</f>
        <v>326033.73</v>
      </c>
      <c r="J91" s="25" t="n">
        <v>46311</v>
      </c>
      <c r="K91" s="25"/>
      <c r="L91" s="17" t="n">
        <v>1</v>
      </c>
      <c r="M91" s="17" t="n">
        <f aca="false">MAX(0,G91-L91)</f>
        <v>98</v>
      </c>
      <c r="N91" s="18" t="s">
        <v>1514</v>
      </c>
      <c r="O91" s="17" t="n">
        <f aca="false">IF(N91="Cancelled",0,IF(K91&lt;&gt;"",MAX(0,K91-J91),IF(N91="Delayed",MAX(0,'Daily MIS Report'!$B$4-J91),0)))</f>
        <v>3</v>
      </c>
    </row>
    <row r="92" customFormat="false" ht="15" hidden="false" customHeight="false" outlineLevel="0" collapsed="false">
      <c r="A92" s="26" t="s">
        <v>1588</v>
      </c>
      <c r="B92" s="34" t="n">
        <v>46190</v>
      </c>
      <c r="C92" s="26" t="s">
        <v>172</v>
      </c>
      <c r="D92" s="27" t="str">
        <f aca="false">VLOOKUP(C92,'Supplier Database'!$A$5:$K$29,2,FALSE())</f>
        <v>Zenith Trading Co.</v>
      </c>
      <c r="E92" s="26" t="s">
        <v>264</v>
      </c>
      <c r="F92" s="27" t="str">
        <f aca="false">VLOOKUP(E92,'Product Master'!$A$5:$K$104,2,FALSE())</f>
        <v>Eco Packaging Item 070</v>
      </c>
      <c r="G92" s="28" t="n">
        <v>447</v>
      </c>
      <c r="H92" s="29" t="n">
        <v>3939.68</v>
      </c>
      <c r="I92" s="29" t="n">
        <f aca="false">G92*H92</f>
        <v>1761036.96</v>
      </c>
      <c r="J92" s="34" t="n">
        <v>46195</v>
      </c>
      <c r="K92" s="34" t="n">
        <v>46196</v>
      </c>
      <c r="L92" s="28" t="n">
        <v>447</v>
      </c>
      <c r="M92" s="28" t="n">
        <f aca="false">MAX(0,G92-L92)</f>
        <v>0</v>
      </c>
      <c r="N92" s="26" t="s">
        <v>1500</v>
      </c>
      <c r="O92" s="28" t="n">
        <f aca="false">IF(N92="Cancelled",0,IF(K92&lt;&gt;"",MAX(0,K92-J92),IF(N92="Delayed",MAX(0,'Daily MIS Report'!$B$4-J92),0)))</f>
        <v>1</v>
      </c>
    </row>
    <row r="93" customFormat="false" ht="15" hidden="false" customHeight="false" outlineLevel="0" collapsed="false">
      <c r="A93" s="18" t="s">
        <v>1589</v>
      </c>
      <c r="B93" s="25" t="n">
        <v>46247</v>
      </c>
      <c r="C93" s="18" t="s">
        <v>152</v>
      </c>
      <c r="D93" s="20" t="str">
        <f aca="false">VLOOKUP(C93,'Supplier Database'!$A$5:$K$29,2,FALSE())</f>
        <v>Ever Logistics</v>
      </c>
      <c r="E93" s="18" t="s">
        <v>271</v>
      </c>
      <c r="F93" s="20" t="str">
        <f aca="false">VLOOKUP(E93,'Product Master'!$A$5:$K$104,2,FALSE())</f>
        <v>Everyday Industrial Item 077</v>
      </c>
      <c r="G93" s="17" t="n">
        <v>212</v>
      </c>
      <c r="H93" s="16" t="n">
        <v>2557.57</v>
      </c>
      <c r="I93" s="16" t="n">
        <f aca="false">G93*H93</f>
        <v>542204.84</v>
      </c>
      <c r="J93" s="25" t="n">
        <v>46250</v>
      </c>
      <c r="K93" s="25" t="n">
        <v>46249</v>
      </c>
      <c r="L93" s="17" t="n">
        <v>212</v>
      </c>
      <c r="M93" s="17" t="n">
        <f aca="false">MAX(0,G93-L93)</f>
        <v>0</v>
      </c>
      <c r="N93" s="18" t="s">
        <v>1500</v>
      </c>
      <c r="O93" s="17" t="n">
        <f aca="false">IF(N93="Cancelled",0,IF(K93&lt;&gt;"",MAX(0,K93-J93),IF(N93="Delayed",MAX(0,'Daily MIS Report'!$B$4-J93),0)))</f>
        <v>0</v>
      </c>
    </row>
    <row r="94" customFormat="false" ht="15" hidden="false" customHeight="false" outlineLevel="0" collapsed="false">
      <c r="A94" s="26" t="s">
        <v>1590</v>
      </c>
      <c r="B94" s="34" t="n">
        <v>46300</v>
      </c>
      <c r="C94" s="26" t="s">
        <v>162</v>
      </c>
      <c r="D94" s="27" t="str">
        <f aca="false">VLOOKUP(C94,'Supplier Database'!$A$5:$K$29,2,FALSE())</f>
        <v>Orbit Supplies</v>
      </c>
      <c r="E94" s="26" t="s">
        <v>200</v>
      </c>
      <c r="F94" s="27" t="str">
        <f aca="false">VLOOKUP(E94,'Product Master'!$A$5:$K$104,2,FALSE())</f>
        <v>Pro Packaging Item 006</v>
      </c>
      <c r="G94" s="28" t="n">
        <v>230</v>
      </c>
      <c r="H94" s="29" t="n">
        <v>1399.48</v>
      </c>
      <c r="I94" s="29" t="n">
        <f aca="false">G94*H94</f>
        <v>321880.4</v>
      </c>
      <c r="J94" s="34" t="n">
        <v>46314</v>
      </c>
      <c r="K94" s="34"/>
      <c r="L94" s="28" t="n">
        <v>0</v>
      </c>
      <c r="M94" s="28" t="n">
        <f aca="false">MAX(0,G94-L94)</f>
        <v>230</v>
      </c>
      <c r="N94" s="26" t="s">
        <v>37</v>
      </c>
      <c r="O94" s="28" t="n">
        <f aca="false">IF(N94="Cancelled",0,IF(K94&lt;&gt;"",MAX(0,K94-J94),IF(N94="Delayed",MAX(0,'Daily MIS Report'!$B$4-J94),0)))</f>
        <v>0</v>
      </c>
    </row>
    <row r="95" customFormat="false" ht="15" hidden="false" customHeight="false" outlineLevel="0" collapsed="false">
      <c r="A95" s="18" t="s">
        <v>1591</v>
      </c>
      <c r="B95" s="25" t="n">
        <v>46158</v>
      </c>
      <c r="C95" s="18" t="s">
        <v>167</v>
      </c>
      <c r="D95" s="20" t="str">
        <f aca="false">VLOOKUP(C95,'Supplier Database'!$A$5:$K$29,2,FALSE())</f>
        <v>Trident Wholesale</v>
      </c>
      <c r="E95" s="18" t="s">
        <v>231</v>
      </c>
      <c r="F95" s="20" t="str">
        <f aca="false">VLOOKUP(E95,'Product Master'!$A$5:$K$104,2,FALSE())</f>
        <v>Pro Industrial Item 037</v>
      </c>
      <c r="G95" s="17" t="n">
        <v>405</v>
      </c>
      <c r="H95" s="16" t="n">
        <v>4806.27</v>
      </c>
      <c r="I95" s="16" t="n">
        <f aca="false">G95*H95</f>
        <v>1946539.35</v>
      </c>
      <c r="J95" s="25" t="n">
        <v>46170</v>
      </c>
      <c r="K95" s="25" t="n">
        <v>46170</v>
      </c>
      <c r="L95" s="17" t="n">
        <v>405</v>
      </c>
      <c r="M95" s="17" t="n">
        <f aca="false">MAX(0,G95-L95)</f>
        <v>0</v>
      </c>
      <c r="N95" s="18" t="s">
        <v>1500</v>
      </c>
      <c r="O95" s="17" t="n">
        <f aca="false">IF(N95="Cancelled",0,IF(K95&lt;&gt;"",MAX(0,K95-J95),IF(N95="Delayed",MAX(0,'Daily MIS Report'!$B$4-J95),0)))</f>
        <v>0</v>
      </c>
    </row>
    <row r="96" customFormat="false" ht="15" hidden="false" customHeight="false" outlineLevel="0" collapsed="false">
      <c r="A96" s="26" t="s">
        <v>1592</v>
      </c>
      <c r="B96" s="34" t="n">
        <v>46053</v>
      </c>
      <c r="C96" s="26" t="s">
        <v>157</v>
      </c>
      <c r="D96" s="27" t="str">
        <f aca="false">VLOOKUP(C96,'Supplier Database'!$A$5:$K$29,2,FALSE())</f>
        <v>Jupiter Industries</v>
      </c>
      <c r="E96" s="26" t="s">
        <v>255</v>
      </c>
      <c r="F96" s="27" t="str">
        <f aca="false">VLOOKUP(E96,'Product Master'!$A$5:$K$104,2,FALSE())</f>
        <v>Pro Industrial Item 061</v>
      </c>
      <c r="G96" s="28" t="n">
        <v>482</v>
      </c>
      <c r="H96" s="29" t="n">
        <v>4080.12</v>
      </c>
      <c r="I96" s="29" t="n">
        <f aca="false">G96*H96</f>
        <v>1966617.84</v>
      </c>
      <c r="J96" s="34" t="n">
        <v>46067</v>
      </c>
      <c r="K96" s="34" t="n">
        <v>46071</v>
      </c>
      <c r="L96" s="28" t="n">
        <v>482</v>
      </c>
      <c r="M96" s="28" t="n">
        <f aca="false">MAX(0,G96-L96)</f>
        <v>0</v>
      </c>
      <c r="N96" s="26" t="s">
        <v>1500</v>
      </c>
      <c r="O96" s="28" t="n">
        <f aca="false">IF(N96="Cancelled",0,IF(K96&lt;&gt;"",MAX(0,K96-J96),IF(N96="Delayed",MAX(0,'Daily MIS Report'!$B$4-J96),0)))</f>
        <v>4</v>
      </c>
    </row>
    <row r="97" customFormat="false" ht="15" hidden="false" customHeight="false" outlineLevel="0" collapsed="false">
      <c r="A97" s="18" t="s">
        <v>1593</v>
      </c>
      <c r="B97" s="25" t="n">
        <v>46167</v>
      </c>
      <c r="C97" s="18" t="s">
        <v>172</v>
      </c>
      <c r="D97" s="20" t="str">
        <f aca="false">VLOOKUP(C97,'Supplier Database'!$A$5:$K$29,2,FALSE())</f>
        <v>Zenith Trading Co.</v>
      </c>
      <c r="E97" s="18" t="s">
        <v>231</v>
      </c>
      <c r="F97" s="20" t="str">
        <f aca="false">VLOOKUP(E97,'Product Master'!$A$5:$K$104,2,FALSE())</f>
        <v>Pro Industrial Item 037</v>
      </c>
      <c r="G97" s="17" t="n">
        <v>418</v>
      </c>
      <c r="H97" s="16" t="n">
        <v>4600.92</v>
      </c>
      <c r="I97" s="16" t="n">
        <f aca="false">G97*H97</f>
        <v>1923184.56</v>
      </c>
      <c r="J97" s="25" t="n">
        <v>46172</v>
      </c>
      <c r="K97" s="25" t="n">
        <v>46171</v>
      </c>
      <c r="L97" s="17" t="n">
        <v>418</v>
      </c>
      <c r="M97" s="17" t="n">
        <f aca="false">MAX(0,G97-L97)</f>
        <v>0</v>
      </c>
      <c r="N97" s="18" t="s">
        <v>1500</v>
      </c>
      <c r="O97" s="17" t="n">
        <f aca="false">IF(N97="Cancelled",0,IF(K97&lt;&gt;"",MAX(0,K97-J97),IF(N97="Delayed",MAX(0,'Daily MIS Report'!$B$4-J97),0)))</f>
        <v>0</v>
      </c>
    </row>
    <row r="98" customFormat="false" ht="15" hidden="false" customHeight="false" outlineLevel="0" collapsed="false">
      <c r="A98" s="26" t="s">
        <v>1594</v>
      </c>
      <c r="B98" s="34" t="n">
        <v>46033</v>
      </c>
      <c r="C98" s="26" t="s">
        <v>167</v>
      </c>
      <c r="D98" s="27" t="str">
        <f aca="false">VLOOKUP(C98,'Supplier Database'!$A$5:$K$29,2,FALSE())</f>
        <v>Trident Wholesale</v>
      </c>
      <c r="E98" s="26" t="s">
        <v>212</v>
      </c>
      <c r="F98" s="27" t="str">
        <f aca="false">VLOOKUP(E98,'Product Master'!$A$5:$K$104,2,FALSE())</f>
        <v>Smart Home Item 018</v>
      </c>
      <c r="G98" s="28" t="n">
        <v>466</v>
      </c>
      <c r="H98" s="29" t="n">
        <v>3365.22</v>
      </c>
      <c r="I98" s="29" t="n">
        <f aca="false">G98*H98</f>
        <v>1568192.52</v>
      </c>
      <c r="J98" s="34" t="n">
        <v>46045</v>
      </c>
      <c r="K98" s="34" t="n">
        <v>46050</v>
      </c>
      <c r="L98" s="28" t="n">
        <v>191</v>
      </c>
      <c r="M98" s="28" t="n">
        <f aca="false">MAX(0,G98-L98)</f>
        <v>275</v>
      </c>
      <c r="N98" s="26" t="s">
        <v>1503</v>
      </c>
      <c r="O98" s="28" t="n">
        <f aca="false">IF(N98="Cancelled",0,IF(K98&lt;&gt;"",MAX(0,K98-J98),IF(N98="Delayed",MAX(0,'Daily MIS Report'!$B$4-J98),0)))</f>
        <v>5</v>
      </c>
    </row>
    <row r="99" customFormat="false" ht="15" hidden="false" customHeight="false" outlineLevel="0" collapsed="false">
      <c r="A99" s="18" t="s">
        <v>1595</v>
      </c>
      <c r="B99" s="25" t="n">
        <v>46214</v>
      </c>
      <c r="C99" s="18" t="s">
        <v>151</v>
      </c>
      <c r="D99" s="20" t="str">
        <f aca="false">VLOOKUP(C99,'Supplier Database'!$A$5:$K$29,2,FALSE())</f>
        <v>Delta Trading Co.</v>
      </c>
      <c r="E99" s="18" t="s">
        <v>286</v>
      </c>
      <c r="F99" s="20" t="str">
        <f aca="false">VLOOKUP(E99,'Product Master'!$A$5:$K$104,2,FALSE())</f>
        <v>Essential Personal Item 092</v>
      </c>
      <c r="G99" s="17" t="n">
        <v>453</v>
      </c>
      <c r="H99" s="16" t="n">
        <v>6733.9</v>
      </c>
      <c r="I99" s="16" t="n">
        <f aca="false">G99*H99</f>
        <v>3050456.7</v>
      </c>
      <c r="J99" s="25" t="n">
        <v>46224</v>
      </c>
      <c r="K99" s="25" t="n">
        <v>46222</v>
      </c>
      <c r="L99" s="17" t="n">
        <v>453</v>
      </c>
      <c r="M99" s="17" t="n">
        <f aca="false">MAX(0,G99-L99)</f>
        <v>0</v>
      </c>
      <c r="N99" s="18" t="s">
        <v>1500</v>
      </c>
      <c r="O99" s="17" t="n">
        <f aca="false">IF(N99="Cancelled",0,IF(K99&lt;&gt;"",MAX(0,K99-J99),IF(N99="Delayed",MAX(0,'Daily MIS Report'!$B$4-J99),0)))</f>
        <v>0</v>
      </c>
    </row>
    <row r="100" customFormat="false" ht="15" hidden="false" customHeight="false" outlineLevel="0" collapsed="false">
      <c r="A100" s="26" t="s">
        <v>1596</v>
      </c>
      <c r="B100" s="34" t="n">
        <v>46302</v>
      </c>
      <c r="C100" s="26" t="s">
        <v>156</v>
      </c>
      <c r="D100" s="27" t="str">
        <f aca="false">VLOOKUP(C100,'Supplier Database'!$A$5:$K$29,2,FALSE())</f>
        <v>Indus Distributors</v>
      </c>
      <c r="E100" s="26" t="s">
        <v>252</v>
      </c>
      <c r="F100" s="27" t="str">
        <f aca="false">VLOOKUP(E100,'Product Master'!$A$5:$K$104,2,FALSE())</f>
        <v>Pro Home Item 058</v>
      </c>
      <c r="G100" s="28" t="n">
        <v>483</v>
      </c>
      <c r="H100" s="29" t="n">
        <v>3531.52</v>
      </c>
      <c r="I100" s="29" t="n">
        <f aca="false">G100*H100</f>
        <v>1705724.16</v>
      </c>
      <c r="J100" s="34" t="n">
        <v>46308</v>
      </c>
      <c r="K100" s="34"/>
      <c r="L100" s="28" t="n">
        <v>1</v>
      </c>
      <c r="M100" s="28" t="n">
        <f aca="false">MAX(0,G100-L100)</f>
        <v>482</v>
      </c>
      <c r="N100" s="26" t="s">
        <v>1514</v>
      </c>
      <c r="O100" s="28" t="n">
        <f aca="false">IF(N100="Cancelled",0,IF(K100&lt;&gt;"",MAX(0,K100-J100),IF(N100="Delayed",MAX(0,'Daily MIS Report'!$B$4-J100),0)))</f>
        <v>6</v>
      </c>
    </row>
    <row r="101" customFormat="false" ht="15" hidden="false" customHeight="false" outlineLevel="0" collapsed="false">
      <c r="A101" s="18" t="s">
        <v>1597</v>
      </c>
      <c r="B101" s="25" t="n">
        <v>46044</v>
      </c>
      <c r="C101" s="18" t="s">
        <v>162</v>
      </c>
      <c r="D101" s="20" t="str">
        <f aca="false">VLOOKUP(C101,'Supplier Database'!$A$5:$K$29,2,FALSE())</f>
        <v>Orbit Supplies</v>
      </c>
      <c r="E101" s="18" t="s">
        <v>239</v>
      </c>
      <c r="F101" s="20" t="str">
        <f aca="false">VLOOKUP(E101,'Product Master'!$A$5:$K$104,2,FALSE())</f>
        <v>Essential Industrial Item 045</v>
      </c>
      <c r="G101" s="17" t="n">
        <v>496</v>
      </c>
      <c r="H101" s="16" t="n">
        <v>6288.06</v>
      </c>
      <c r="I101" s="16" t="n">
        <f aca="false">G101*H101</f>
        <v>3118877.76</v>
      </c>
      <c r="J101" s="25" t="n">
        <v>46058</v>
      </c>
      <c r="K101" s="25" t="n">
        <v>46065</v>
      </c>
      <c r="L101" s="17" t="n">
        <v>496</v>
      </c>
      <c r="M101" s="17" t="n">
        <f aca="false">MAX(0,G101-L101)</f>
        <v>0</v>
      </c>
      <c r="N101" s="18" t="s">
        <v>1500</v>
      </c>
      <c r="O101" s="17" t="n">
        <f aca="false">IF(N101="Cancelled",0,IF(K101&lt;&gt;"",MAX(0,K101-J101),IF(N101="Delayed",MAX(0,'Daily MIS Report'!$B$4-J101),0)))</f>
        <v>7</v>
      </c>
    </row>
    <row r="102" customFormat="false" ht="15" hidden="false" customHeight="false" outlineLevel="0" collapsed="false">
      <c r="A102" s="26" t="s">
        <v>1598</v>
      </c>
      <c r="B102" s="34" t="n">
        <v>46122</v>
      </c>
      <c r="C102" s="26" t="s">
        <v>155</v>
      </c>
      <c r="D102" s="27" t="str">
        <f aca="false">VLOOKUP(C102,'Supplier Database'!$A$5:$K$29,2,FALSE())</f>
        <v>Horizon Supplies</v>
      </c>
      <c r="E102" s="26" t="s">
        <v>244</v>
      </c>
      <c r="F102" s="27" t="str">
        <f aca="false">VLOOKUP(E102,'Product Master'!$A$5:$K$104,2,FALSE())</f>
        <v>Eco Home Item 050</v>
      </c>
      <c r="G102" s="28" t="n">
        <v>61</v>
      </c>
      <c r="H102" s="29" t="n">
        <v>4789.52</v>
      </c>
      <c r="I102" s="29" t="n">
        <f aca="false">G102*H102</f>
        <v>292160.72</v>
      </c>
      <c r="J102" s="34" t="n">
        <v>46127</v>
      </c>
      <c r="K102" s="34" t="n">
        <v>46125</v>
      </c>
      <c r="L102" s="28" t="n">
        <v>61</v>
      </c>
      <c r="M102" s="28" t="n">
        <f aca="false">MAX(0,G102-L102)</f>
        <v>0</v>
      </c>
      <c r="N102" s="26" t="s">
        <v>1500</v>
      </c>
      <c r="O102" s="28" t="n">
        <f aca="false">IF(N102="Cancelled",0,IF(K102&lt;&gt;"",MAX(0,K102-J102),IF(N102="Delayed",MAX(0,'Daily MIS Report'!$B$4-J102),0)))</f>
        <v>0</v>
      </c>
    </row>
    <row r="103" customFormat="false" ht="15" hidden="false" customHeight="false" outlineLevel="0" collapsed="false">
      <c r="A103" s="18" t="s">
        <v>1599</v>
      </c>
      <c r="B103" s="25" t="n">
        <v>46296</v>
      </c>
      <c r="C103" s="18" t="s">
        <v>168</v>
      </c>
      <c r="D103" s="20" t="str">
        <f aca="false">VLOOKUP(C103,'Supplier Database'!$A$5:$K$29,2,FALSE())</f>
        <v>Unity Partners</v>
      </c>
      <c r="E103" s="18" t="s">
        <v>237</v>
      </c>
      <c r="F103" s="20" t="str">
        <f aca="false">VLOOKUP(E103,'Product Master'!$A$5:$K$104,2,FALSE())</f>
        <v>Eco Office Item 043</v>
      </c>
      <c r="G103" s="17" t="n">
        <v>425</v>
      </c>
      <c r="H103" s="16" t="n">
        <v>1813.28</v>
      </c>
      <c r="I103" s="16" t="n">
        <f aca="false">G103*H103</f>
        <v>770644</v>
      </c>
      <c r="J103" s="25" t="n">
        <v>46300</v>
      </c>
      <c r="K103" s="25" t="n">
        <v>46300</v>
      </c>
      <c r="L103" s="17" t="n">
        <v>425</v>
      </c>
      <c r="M103" s="17" t="n">
        <f aca="false">MAX(0,G103-L103)</f>
        <v>0</v>
      </c>
      <c r="N103" s="18" t="s">
        <v>1500</v>
      </c>
      <c r="O103" s="17" t="n">
        <f aca="false">IF(N103="Cancelled",0,IF(K103&lt;&gt;"",MAX(0,K103-J103),IF(N103="Delayed",MAX(0,'Daily MIS Report'!$B$4-J103),0)))</f>
        <v>0</v>
      </c>
    </row>
    <row r="104" customFormat="false" ht="15" hidden="false" customHeight="false" outlineLevel="0" collapsed="false">
      <c r="A104" s="26" t="s">
        <v>1600</v>
      </c>
      <c r="B104" s="34" t="n">
        <v>46287</v>
      </c>
      <c r="C104" s="26" t="s">
        <v>152</v>
      </c>
      <c r="D104" s="27" t="str">
        <f aca="false">VLOOKUP(C104,'Supplier Database'!$A$5:$K$29,2,FALSE())</f>
        <v>Ever Logistics</v>
      </c>
      <c r="E104" s="26" t="s">
        <v>292</v>
      </c>
      <c r="F104" s="27" t="str">
        <f aca="false">VLOOKUP(E104,'Product Master'!$A$5:$K$104,2,FALSE())</f>
        <v>Compact Home Item 098</v>
      </c>
      <c r="G104" s="28" t="n">
        <v>381</v>
      </c>
      <c r="H104" s="29" t="n">
        <v>7720.77</v>
      </c>
      <c r="I104" s="29" t="n">
        <f aca="false">G104*H104</f>
        <v>2941613.37</v>
      </c>
      <c r="J104" s="34" t="n">
        <v>46290</v>
      </c>
      <c r="K104" s="34" t="n">
        <v>46289</v>
      </c>
      <c r="L104" s="28" t="n">
        <v>10</v>
      </c>
      <c r="M104" s="28" t="n">
        <f aca="false">MAX(0,G104-L104)</f>
        <v>371</v>
      </c>
      <c r="N104" s="26" t="s">
        <v>1503</v>
      </c>
      <c r="O104" s="28" t="n">
        <f aca="false">IF(N104="Cancelled",0,IF(K104&lt;&gt;"",MAX(0,K104-J104),IF(N104="Delayed",MAX(0,'Daily MIS Report'!$B$4-J104),0)))</f>
        <v>0</v>
      </c>
    </row>
    <row r="105" customFormat="false" ht="15" hidden="false" customHeight="false" outlineLevel="0" collapsed="false">
      <c r="A105" s="18" t="s">
        <v>1601</v>
      </c>
      <c r="B105" s="25" t="n">
        <v>46062</v>
      </c>
      <c r="C105" s="18" t="s">
        <v>154</v>
      </c>
      <c r="D105" s="20" t="str">
        <f aca="false">VLOOKUP(C105,'Supplier Database'!$A$5:$K$29,2,FALSE())</f>
        <v>Global Partners</v>
      </c>
      <c r="E105" s="18" t="s">
        <v>214</v>
      </c>
      <c r="F105" s="20" t="str">
        <f aca="false">VLOOKUP(E105,'Product Master'!$A$5:$K$104,2,FALSE())</f>
        <v>Eco Personal Item 020</v>
      </c>
      <c r="G105" s="17" t="n">
        <v>300</v>
      </c>
      <c r="H105" s="16" t="n">
        <v>3176.23</v>
      </c>
      <c r="I105" s="16" t="n">
        <f aca="false">G105*H105</f>
        <v>952869</v>
      </c>
      <c r="J105" s="25" t="n">
        <v>46076</v>
      </c>
      <c r="K105" s="25" t="n">
        <v>46078</v>
      </c>
      <c r="L105" s="17" t="n">
        <v>57</v>
      </c>
      <c r="M105" s="17" t="n">
        <f aca="false">MAX(0,G105-L105)</f>
        <v>243</v>
      </c>
      <c r="N105" s="18" t="s">
        <v>1503</v>
      </c>
      <c r="O105" s="17" t="n">
        <f aca="false">IF(N105="Cancelled",0,IF(K105&lt;&gt;"",MAX(0,K105-J105),IF(N105="Delayed",MAX(0,'Daily MIS Report'!$B$4-J105),0)))</f>
        <v>2</v>
      </c>
    </row>
    <row r="106" customFormat="false" ht="15" hidden="false" customHeight="false" outlineLevel="0" collapsed="false">
      <c r="A106" s="26" t="s">
        <v>1602</v>
      </c>
      <c r="B106" s="34" t="n">
        <v>46078</v>
      </c>
      <c r="C106" s="26" t="s">
        <v>155</v>
      </c>
      <c r="D106" s="27" t="str">
        <f aca="false">VLOOKUP(C106,'Supplier Database'!$A$5:$K$29,2,FALSE())</f>
        <v>Horizon Supplies</v>
      </c>
      <c r="E106" s="26" t="s">
        <v>233</v>
      </c>
      <c r="F106" s="27" t="str">
        <f aca="false">VLOOKUP(E106,'Product Master'!$A$5:$K$104,2,FALSE())</f>
        <v>Eco Apparel Item 039</v>
      </c>
      <c r="G106" s="28" t="n">
        <v>82</v>
      </c>
      <c r="H106" s="29" t="n">
        <v>2480.05</v>
      </c>
      <c r="I106" s="29" t="n">
        <f aca="false">G106*H106</f>
        <v>203364.1</v>
      </c>
      <c r="J106" s="34" t="n">
        <v>46083</v>
      </c>
      <c r="K106" s="34" t="n">
        <v>46083</v>
      </c>
      <c r="L106" s="28" t="n">
        <v>82</v>
      </c>
      <c r="M106" s="28" t="n">
        <f aca="false">MAX(0,G106-L106)</f>
        <v>0</v>
      </c>
      <c r="N106" s="26" t="s">
        <v>1500</v>
      </c>
      <c r="O106" s="28" t="n">
        <f aca="false">IF(N106="Cancelled",0,IF(K106&lt;&gt;"",MAX(0,K106-J106),IF(N106="Delayed",MAX(0,'Daily MIS Report'!$B$4-J106),0)))</f>
        <v>0</v>
      </c>
    </row>
    <row r="107" customFormat="false" ht="15" hidden="false" customHeight="false" outlineLevel="0" collapsed="false">
      <c r="A107" s="18" t="s">
        <v>1603</v>
      </c>
      <c r="B107" s="25" t="n">
        <v>45963</v>
      </c>
      <c r="C107" s="18" t="s">
        <v>151</v>
      </c>
      <c r="D107" s="20" t="str">
        <f aca="false">VLOOKUP(C107,'Supplier Database'!$A$5:$K$29,2,FALSE())</f>
        <v>Delta Trading Co.</v>
      </c>
      <c r="E107" s="18" t="s">
        <v>258</v>
      </c>
      <c r="F107" s="20" t="str">
        <f aca="false">VLOOKUP(E107,'Product Master'!$A$5:$K$104,2,FALSE())</f>
        <v>Compact Automotive Item 064</v>
      </c>
      <c r="G107" s="17" t="n">
        <v>325</v>
      </c>
      <c r="H107" s="16" t="n">
        <v>3157.78</v>
      </c>
      <c r="I107" s="16" t="n">
        <f aca="false">G107*H107</f>
        <v>1026278.5</v>
      </c>
      <c r="J107" s="25" t="n">
        <v>45973</v>
      </c>
      <c r="K107" s="25" t="n">
        <v>45976</v>
      </c>
      <c r="L107" s="17" t="n">
        <v>124</v>
      </c>
      <c r="M107" s="17" t="n">
        <f aca="false">MAX(0,G107-L107)</f>
        <v>201</v>
      </c>
      <c r="N107" s="18" t="s">
        <v>1503</v>
      </c>
      <c r="O107" s="17" t="n">
        <f aca="false">IF(N107="Cancelled",0,IF(K107&lt;&gt;"",MAX(0,K107-J107),IF(N107="Delayed",MAX(0,'Daily MIS Report'!$B$4-J107),0)))</f>
        <v>3</v>
      </c>
    </row>
    <row r="108" customFormat="false" ht="15" hidden="false" customHeight="false" outlineLevel="0" collapsed="false">
      <c r="A108" s="26" t="s">
        <v>1604</v>
      </c>
      <c r="B108" s="34" t="n">
        <v>46298</v>
      </c>
      <c r="C108" s="26" t="s">
        <v>152</v>
      </c>
      <c r="D108" s="27" t="str">
        <f aca="false">VLOOKUP(C108,'Supplier Database'!$A$5:$K$29,2,FALSE())</f>
        <v>Ever Logistics</v>
      </c>
      <c r="E108" s="26" t="s">
        <v>232</v>
      </c>
      <c r="F108" s="27" t="str">
        <f aca="false">VLOOKUP(E108,'Product Master'!$A$5:$K$104,2,FALSE())</f>
        <v>Eco Packaging Item 038</v>
      </c>
      <c r="G108" s="28" t="n">
        <v>239</v>
      </c>
      <c r="H108" s="29" t="n">
        <v>4714.66</v>
      </c>
      <c r="I108" s="29" t="n">
        <f aca="false">G108*H108</f>
        <v>1126803.74</v>
      </c>
      <c r="J108" s="34" t="n">
        <v>46301</v>
      </c>
      <c r="K108" s="34" t="n">
        <v>46303</v>
      </c>
      <c r="L108" s="28" t="n">
        <v>239</v>
      </c>
      <c r="M108" s="28" t="n">
        <f aca="false">MAX(0,G108-L108)</f>
        <v>0</v>
      </c>
      <c r="N108" s="26" t="s">
        <v>1500</v>
      </c>
      <c r="O108" s="28" t="n">
        <f aca="false">IF(N108="Cancelled",0,IF(K108&lt;&gt;"",MAX(0,K108-J108),IF(N108="Delayed",MAX(0,'Daily MIS Report'!$B$4-J108),0)))</f>
        <v>2</v>
      </c>
    </row>
    <row r="109" customFormat="false" ht="15" hidden="false" customHeight="false" outlineLevel="0" collapsed="false">
      <c r="A109" s="18" t="s">
        <v>1605</v>
      </c>
      <c r="B109" s="25" t="n">
        <v>46026</v>
      </c>
      <c r="C109" s="18" t="s">
        <v>169</v>
      </c>
      <c r="D109" s="20" t="str">
        <f aca="false">VLOOKUP(C109,'Supplier Database'!$A$5:$K$29,2,FALSE())</f>
        <v>Vertex Supplies</v>
      </c>
      <c r="E109" s="18" t="s">
        <v>280</v>
      </c>
      <c r="F109" s="20" t="str">
        <f aca="false">VLOOKUP(E109,'Product Master'!$A$5:$K$104,2,FALSE())</f>
        <v>Classic Packaging Item 086</v>
      </c>
      <c r="G109" s="17" t="n">
        <v>63</v>
      </c>
      <c r="H109" s="16" t="n">
        <v>4735.77</v>
      </c>
      <c r="I109" s="16" t="n">
        <f aca="false">G109*H109</f>
        <v>298353.51</v>
      </c>
      <c r="J109" s="25" t="n">
        <v>46030</v>
      </c>
      <c r="K109" s="25" t="n">
        <v>46037</v>
      </c>
      <c r="L109" s="17" t="n">
        <v>63</v>
      </c>
      <c r="M109" s="17" t="n">
        <f aca="false">MAX(0,G109-L109)</f>
        <v>0</v>
      </c>
      <c r="N109" s="18" t="s">
        <v>1500</v>
      </c>
      <c r="O109" s="17" t="n">
        <f aca="false">IF(N109="Cancelled",0,IF(K109&lt;&gt;"",MAX(0,K109-J109),IF(N109="Delayed",MAX(0,'Daily MIS Report'!$B$4-J109),0)))</f>
        <v>7</v>
      </c>
    </row>
    <row r="110" customFormat="false" ht="15" hidden="false" customHeight="false" outlineLevel="0" collapsed="false">
      <c r="A110" s="26" t="s">
        <v>1606</v>
      </c>
      <c r="B110" s="34" t="n">
        <v>46302</v>
      </c>
      <c r="C110" s="26" t="s">
        <v>164</v>
      </c>
      <c r="D110" s="27" t="str">
        <f aca="false">VLOOKUP(C110,'Supplier Database'!$A$5:$K$29,2,FALSE())</f>
        <v>Quantum Industries</v>
      </c>
      <c r="E110" s="26" t="s">
        <v>259</v>
      </c>
      <c r="F110" s="27" t="str">
        <f aca="false">VLOOKUP(E110,'Product Master'!$A$5:$K$104,2,FALSE())</f>
        <v>Compact Electronics Item 065</v>
      </c>
      <c r="G110" s="28" t="n">
        <v>303</v>
      </c>
      <c r="H110" s="29" t="n">
        <v>4483.33</v>
      </c>
      <c r="I110" s="29" t="n">
        <f aca="false">G110*H110</f>
        <v>1358448.99</v>
      </c>
      <c r="J110" s="34" t="n">
        <v>46310</v>
      </c>
      <c r="K110" s="34"/>
      <c r="L110" s="28" t="n">
        <v>0</v>
      </c>
      <c r="M110" s="28" t="n">
        <f aca="false">MAX(0,G110-L110)</f>
        <v>303</v>
      </c>
      <c r="N110" s="26" t="s">
        <v>1514</v>
      </c>
      <c r="O110" s="28" t="n">
        <f aca="false">IF(N110="Cancelled",0,IF(K110&lt;&gt;"",MAX(0,K110-J110),IF(N110="Delayed",MAX(0,'Daily MIS Report'!$B$4-J110),0)))</f>
        <v>4</v>
      </c>
    </row>
    <row r="111" customFormat="false" ht="15" hidden="false" customHeight="false" outlineLevel="0" collapsed="false">
      <c r="A111" s="18" t="s">
        <v>1607</v>
      </c>
      <c r="B111" s="25" t="n">
        <v>46256</v>
      </c>
      <c r="C111" s="18" t="s">
        <v>160</v>
      </c>
      <c r="D111" s="20" t="str">
        <f aca="false">VLOOKUP(C111,'Supplier Database'!$A$5:$K$29,2,FALSE())</f>
        <v>Meridian Wholesale</v>
      </c>
      <c r="E111" s="18" t="s">
        <v>242</v>
      </c>
      <c r="F111" s="20" t="str">
        <f aca="false">VLOOKUP(E111,'Product Master'!$A$5:$K$104,2,FALSE())</f>
        <v>Eco Automotive Item 048</v>
      </c>
      <c r="G111" s="17" t="n">
        <v>149</v>
      </c>
      <c r="H111" s="16" t="n">
        <v>345.14</v>
      </c>
      <c r="I111" s="16" t="n">
        <f aca="false">G111*H111</f>
        <v>51425.86</v>
      </c>
      <c r="J111" s="25" t="n">
        <v>46258</v>
      </c>
      <c r="K111" s="25" t="n">
        <v>46256</v>
      </c>
      <c r="L111" s="17" t="n">
        <v>149</v>
      </c>
      <c r="M111" s="17" t="n">
        <f aca="false">MAX(0,G111-L111)</f>
        <v>0</v>
      </c>
      <c r="N111" s="18" t="s">
        <v>1500</v>
      </c>
      <c r="O111" s="17" t="n">
        <f aca="false">IF(N111="Cancelled",0,IF(K111&lt;&gt;"",MAX(0,K111-J111),IF(N111="Delayed",MAX(0,'Daily MIS Report'!$B$4-J111),0)))</f>
        <v>0</v>
      </c>
    </row>
    <row r="112" customFormat="false" ht="15" hidden="false" customHeight="false" outlineLevel="0" collapsed="false">
      <c r="A112" s="26" t="s">
        <v>1608</v>
      </c>
      <c r="B112" s="34" t="n">
        <v>46107</v>
      </c>
      <c r="C112" s="26" t="s">
        <v>155</v>
      </c>
      <c r="D112" s="27" t="str">
        <f aca="false">VLOOKUP(C112,'Supplier Database'!$A$5:$K$29,2,FALSE())</f>
        <v>Horizon Supplies</v>
      </c>
      <c r="E112" s="26" t="s">
        <v>288</v>
      </c>
      <c r="F112" s="27" t="str">
        <f aca="false">VLOOKUP(E112,'Product Master'!$A$5:$K$104,2,FALSE())</f>
        <v>Classic Packaging Item 094</v>
      </c>
      <c r="G112" s="28" t="n">
        <v>356</v>
      </c>
      <c r="H112" s="29" t="n">
        <v>4818.1</v>
      </c>
      <c r="I112" s="29" t="n">
        <f aca="false">G112*H112</f>
        <v>1715243.6</v>
      </c>
      <c r="J112" s="34" t="n">
        <v>46112</v>
      </c>
      <c r="K112" s="34"/>
      <c r="L112" s="28" t="n">
        <v>0</v>
      </c>
      <c r="M112" s="28" t="n">
        <f aca="false">MAX(0,G112-L112)</f>
        <v>356</v>
      </c>
      <c r="N112" s="26" t="s">
        <v>37</v>
      </c>
      <c r="O112" s="28" t="n">
        <f aca="false">IF(N112="Cancelled",0,IF(K112&lt;&gt;"",MAX(0,K112-J112),IF(N112="Delayed",MAX(0,'Daily MIS Report'!$B$4-J112),0)))</f>
        <v>0</v>
      </c>
    </row>
    <row r="113" customFormat="false" ht="15" hidden="false" customHeight="false" outlineLevel="0" collapsed="false">
      <c r="A113" s="18" t="s">
        <v>1609</v>
      </c>
      <c r="B113" s="25" t="n">
        <v>46307</v>
      </c>
      <c r="C113" s="18" t="s">
        <v>172</v>
      </c>
      <c r="D113" s="20" t="str">
        <f aca="false">VLOOKUP(C113,'Supplier Database'!$A$5:$K$29,2,FALSE())</f>
        <v>Zenith Trading Co.</v>
      </c>
      <c r="E113" s="18" t="s">
        <v>237</v>
      </c>
      <c r="F113" s="20" t="str">
        <f aca="false">VLOOKUP(E113,'Product Master'!$A$5:$K$104,2,FALSE())</f>
        <v>Eco Office Item 043</v>
      </c>
      <c r="G113" s="17" t="n">
        <v>88</v>
      </c>
      <c r="H113" s="16" t="n">
        <v>1790.16</v>
      </c>
      <c r="I113" s="16" t="n">
        <f aca="false">G113*H113</f>
        <v>157534.08</v>
      </c>
      <c r="J113" s="25" t="n">
        <v>46312</v>
      </c>
      <c r="K113" s="25" t="n">
        <v>46311</v>
      </c>
      <c r="L113" s="17" t="n">
        <v>88</v>
      </c>
      <c r="M113" s="17" t="n">
        <f aca="false">MAX(0,G113-L113)</f>
        <v>0</v>
      </c>
      <c r="N113" s="18" t="s">
        <v>1500</v>
      </c>
      <c r="O113" s="17" t="n">
        <f aca="false">IF(N113="Cancelled",0,IF(K113&lt;&gt;"",MAX(0,K113-J113),IF(N113="Delayed",MAX(0,'Daily MIS Report'!$B$4-J113),0)))</f>
        <v>0</v>
      </c>
    </row>
    <row r="114" customFormat="false" ht="15" hidden="false" customHeight="false" outlineLevel="0" collapsed="false">
      <c r="A114" s="26" t="s">
        <v>1610</v>
      </c>
      <c r="B114" s="34" t="n">
        <v>46302</v>
      </c>
      <c r="C114" s="26" t="s">
        <v>162</v>
      </c>
      <c r="D114" s="27" t="str">
        <f aca="false">VLOOKUP(C114,'Supplier Database'!$A$5:$K$29,2,FALSE())</f>
        <v>Orbit Supplies</v>
      </c>
      <c r="E114" s="26" t="s">
        <v>284</v>
      </c>
      <c r="F114" s="27" t="str">
        <f aca="false">VLOOKUP(E114,'Product Master'!$A$5:$K$104,2,FALSE())</f>
        <v>Compact Home Item 090</v>
      </c>
      <c r="G114" s="28" t="n">
        <v>265</v>
      </c>
      <c r="H114" s="29" t="n">
        <v>8466.2</v>
      </c>
      <c r="I114" s="29" t="n">
        <f aca="false">G114*H114</f>
        <v>2243543</v>
      </c>
      <c r="J114" s="34" t="n">
        <v>46312</v>
      </c>
      <c r="K114" s="34"/>
      <c r="L114" s="28" t="n">
        <v>1</v>
      </c>
      <c r="M114" s="28" t="n">
        <f aca="false">MAX(0,G114-L114)</f>
        <v>264</v>
      </c>
      <c r="N114" s="26" t="s">
        <v>1514</v>
      </c>
      <c r="O114" s="28" t="n">
        <f aca="false">IF(N114="Cancelled",0,IF(K114&lt;&gt;"",MAX(0,K114-J114),IF(N114="Delayed",MAX(0,'Daily MIS Report'!$B$4-J114),0)))</f>
        <v>2</v>
      </c>
    </row>
    <row r="115" customFormat="false" ht="15" hidden="false" customHeight="false" outlineLevel="0" collapsed="false">
      <c r="A115" s="18" t="s">
        <v>1611</v>
      </c>
      <c r="B115" s="25" t="n">
        <v>46297</v>
      </c>
      <c r="C115" s="18" t="s">
        <v>172</v>
      </c>
      <c r="D115" s="20" t="str">
        <f aca="false">VLOOKUP(C115,'Supplier Database'!$A$5:$K$29,2,FALSE())</f>
        <v>Zenith Trading Co.</v>
      </c>
      <c r="E115" s="18" t="s">
        <v>253</v>
      </c>
      <c r="F115" s="20" t="str">
        <f aca="false">VLOOKUP(E115,'Product Master'!$A$5:$K$104,2,FALSE())</f>
        <v>Eco Office Item 059</v>
      </c>
      <c r="G115" s="17" t="n">
        <v>38</v>
      </c>
      <c r="H115" s="16" t="n">
        <v>257.94</v>
      </c>
      <c r="I115" s="16" t="n">
        <f aca="false">G115*H115</f>
        <v>9801.72</v>
      </c>
      <c r="J115" s="25" t="n">
        <v>46302</v>
      </c>
      <c r="K115" s="25" t="n">
        <v>46302</v>
      </c>
      <c r="L115" s="17" t="n">
        <v>38</v>
      </c>
      <c r="M115" s="17" t="n">
        <f aca="false">MAX(0,G115-L115)</f>
        <v>0</v>
      </c>
      <c r="N115" s="18" t="s">
        <v>1500</v>
      </c>
      <c r="O115" s="17" t="n">
        <f aca="false">IF(N115="Cancelled",0,IF(K115&lt;&gt;"",MAX(0,K115-J115),IF(N115="Delayed",MAX(0,'Daily MIS Report'!$B$4-J115),0)))</f>
        <v>0</v>
      </c>
    </row>
    <row r="116" customFormat="false" ht="15" hidden="false" customHeight="false" outlineLevel="0" collapsed="false">
      <c r="A116" s="26" t="s">
        <v>1612</v>
      </c>
      <c r="B116" s="34" t="n">
        <v>46302</v>
      </c>
      <c r="C116" s="26" t="s">
        <v>158</v>
      </c>
      <c r="D116" s="27" t="str">
        <f aca="false">VLOOKUP(C116,'Supplier Database'!$A$5:$K$29,2,FALSE())</f>
        <v>Kinetic Trading Co.</v>
      </c>
      <c r="E116" s="26" t="s">
        <v>234</v>
      </c>
      <c r="F116" s="27" t="str">
        <f aca="false">VLOOKUP(E116,'Product Master'!$A$5:$K$104,2,FALSE())</f>
        <v>Smart Automotive Item 040</v>
      </c>
      <c r="G116" s="28" t="n">
        <v>283</v>
      </c>
      <c r="H116" s="29" t="n">
        <v>3726.24</v>
      </c>
      <c r="I116" s="29" t="n">
        <f aca="false">G116*H116</f>
        <v>1054525.92</v>
      </c>
      <c r="J116" s="34" t="n">
        <v>46310</v>
      </c>
      <c r="K116" s="34"/>
      <c r="L116" s="28" t="n">
        <v>7</v>
      </c>
      <c r="M116" s="28" t="n">
        <f aca="false">MAX(0,G116-L116)</f>
        <v>276</v>
      </c>
      <c r="N116" s="26" t="s">
        <v>1514</v>
      </c>
      <c r="O116" s="28" t="n">
        <f aca="false">IF(N116="Cancelled",0,IF(K116&lt;&gt;"",MAX(0,K116-J116),IF(N116="Delayed",MAX(0,'Daily MIS Report'!$B$4-J116),0)))</f>
        <v>4</v>
      </c>
    </row>
    <row r="117" customFormat="false" ht="15" hidden="false" customHeight="false" outlineLevel="0" collapsed="false">
      <c r="A117" s="18" t="s">
        <v>1613</v>
      </c>
      <c r="B117" s="25" t="n">
        <v>46060</v>
      </c>
      <c r="C117" s="18" t="s">
        <v>149</v>
      </c>
      <c r="D117" s="20" t="str">
        <f aca="false">VLOOKUP(C117,'Supplier Database'!$A$5:$K$29,2,FALSE())</f>
        <v>Bright Distributors</v>
      </c>
      <c r="E117" s="18" t="s">
        <v>291</v>
      </c>
      <c r="F117" s="20" t="str">
        <f aca="false">VLOOKUP(E117,'Product Master'!$A$5:$K$104,2,FALSE())</f>
        <v>Smart Electronics Item 097</v>
      </c>
      <c r="G117" s="17" t="n">
        <v>351</v>
      </c>
      <c r="H117" s="16" t="n">
        <v>1134.28</v>
      </c>
      <c r="I117" s="16" t="n">
        <f aca="false">G117*H117</f>
        <v>398132.28</v>
      </c>
      <c r="J117" s="25" t="n">
        <v>46068</v>
      </c>
      <c r="K117" s="25" t="n">
        <v>46065</v>
      </c>
      <c r="L117" s="17" t="n">
        <v>351</v>
      </c>
      <c r="M117" s="17" t="n">
        <f aca="false">MAX(0,G117-L117)</f>
        <v>0</v>
      </c>
      <c r="N117" s="18" t="s">
        <v>1500</v>
      </c>
      <c r="O117" s="17" t="n">
        <f aca="false">IF(N117="Cancelled",0,IF(K117&lt;&gt;"",MAX(0,K117-J117),IF(N117="Delayed",MAX(0,'Daily MIS Report'!$B$4-J117),0)))</f>
        <v>0</v>
      </c>
    </row>
    <row r="118" customFormat="false" ht="15" hidden="false" customHeight="false" outlineLevel="0" collapsed="false">
      <c r="A118" s="26" t="s">
        <v>1614</v>
      </c>
      <c r="B118" s="34" t="n">
        <v>46266</v>
      </c>
      <c r="C118" s="26" t="s">
        <v>158</v>
      </c>
      <c r="D118" s="27" t="str">
        <f aca="false">VLOOKUP(C118,'Supplier Database'!$A$5:$K$29,2,FALSE())</f>
        <v>Kinetic Trading Co.</v>
      </c>
      <c r="E118" s="26" t="s">
        <v>229</v>
      </c>
      <c r="F118" s="27" t="str">
        <f aca="false">VLOOKUP(E118,'Product Master'!$A$5:$K$104,2,FALSE())</f>
        <v>Smart Office Item 035</v>
      </c>
      <c r="G118" s="28" t="n">
        <v>83</v>
      </c>
      <c r="H118" s="29" t="n">
        <v>6318.61</v>
      </c>
      <c r="I118" s="29" t="n">
        <f aca="false">G118*H118</f>
        <v>524444.63</v>
      </c>
      <c r="J118" s="34" t="n">
        <v>46278</v>
      </c>
      <c r="K118" s="34" t="n">
        <v>46278</v>
      </c>
      <c r="L118" s="28" t="n">
        <v>83</v>
      </c>
      <c r="M118" s="28" t="n">
        <f aca="false">MAX(0,G118-L118)</f>
        <v>0</v>
      </c>
      <c r="N118" s="26" t="s">
        <v>1500</v>
      </c>
      <c r="O118" s="28" t="n">
        <f aca="false">IF(N118="Cancelled",0,IF(K118&lt;&gt;"",MAX(0,K118-J118),IF(N118="Delayed",MAX(0,'Daily MIS Report'!$B$4-J118),0)))</f>
        <v>0</v>
      </c>
    </row>
    <row r="119" customFormat="false" ht="15" hidden="false" customHeight="false" outlineLevel="0" collapsed="false">
      <c r="A119" s="18" t="s">
        <v>1615</v>
      </c>
      <c r="B119" s="25" t="n">
        <v>46311</v>
      </c>
      <c r="C119" s="18" t="s">
        <v>162</v>
      </c>
      <c r="D119" s="20" t="str">
        <f aca="false">VLOOKUP(C119,'Supplier Database'!$A$5:$K$29,2,FALSE())</f>
        <v>Orbit Supplies</v>
      </c>
      <c r="E119" s="18" t="s">
        <v>244</v>
      </c>
      <c r="F119" s="20" t="str">
        <f aca="false">VLOOKUP(E119,'Product Master'!$A$5:$K$104,2,FALSE())</f>
        <v>Eco Home Item 050</v>
      </c>
      <c r="G119" s="17" t="n">
        <v>193</v>
      </c>
      <c r="H119" s="16" t="n">
        <v>5138.93</v>
      </c>
      <c r="I119" s="16" t="n">
        <f aca="false">G119*H119</f>
        <v>991813.49</v>
      </c>
      <c r="J119" s="25" t="n">
        <v>46325</v>
      </c>
      <c r="K119" s="25" t="n">
        <v>46329</v>
      </c>
      <c r="L119" s="17" t="n">
        <v>193</v>
      </c>
      <c r="M119" s="17" t="n">
        <f aca="false">MAX(0,G119-L119)</f>
        <v>0</v>
      </c>
      <c r="N119" s="18" t="s">
        <v>1500</v>
      </c>
      <c r="O119" s="17" t="n">
        <f aca="false">IF(N119="Cancelled",0,IF(K119&lt;&gt;"",MAX(0,K119-J119),IF(N119="Delayed",MAX(0,'Daily MIS Report'!$B$4-J119),0)))</f>
        <v>4</v>
      </c>
    </row>
    <row r="120" customFormat="false" ht="15" hidden="false" customHeight="false" outlineLevel="0" collapsed="false">
      <c r="A120" s="26" t="s">
        <v>1616</v>
      </c>
      <c r="B120" s="34" t="n">
        <v>46119</v>
      </c>
      <c r="C120" s="26" t="s">
        <v>164</v>
      </c>
      <c r="D120" s="27" t="str">
        <f aca="false">VLOOKUP(C120,'Supplier Database'!$A$5:$K$29,2,FALSE())</f>
        <v>Quantum Industries</v>
      </c>
      <c r="E120" s="26" t="s">
        <v>229</v>
      </c>
      <c r="F120" s="27" t="str">
        <f aca="false">VLOOKUP(E120,'Product Master'!$A$5:$K$104,2,FALSE())</f>
        <v>Smart Office Item 035</v>
      </c>
      <c r="G120" s="28" t="n">
        <v>430</v>
      </c>
      <c r="H120" s="29" t="n">
        <v>5794.01</v>
      </c>
      <c r="I120" s="29" t="n">
        <f aca="false">G120*H120</f>
        <v>2491424.3</v>
      </c>
      <c r="J120" s="34" t="n">
        <v>46124</v>
      </c>
      <c r="K120" s="34" t="n">
        <v>46126</v>
      </c>
      <c r="L120" s="28" t="n">
        <v>430</v>
      </c>
      <c r="M120" s="28" t="n">
        <f aca="false">MAX(0,G120-L120)</f>
        <v>0</v>
      </c>
      <c r="N120" s="26" t="s">
        <v>1500</v>
      </c>
      <c r="O120" s="28" t="n">
        <f aca="false">IF(N120="Cancelled",0,IF(K120&lt;&gt;"",MAX(0,K120-J120),IF(N120="Delayed",MAX(0,'Daily MIS Report'!$B$4-J120),0)))</f>
        <v>2</v>
      </c>
    </row>
    <row r="121" customFormat="false" ht="15" hidden="false" customHeight="false" outlineLevel="0" collapsed="false">
      <c r="A121" s="18" t="s">
        <v>1617</v>
      </c>
      <c r="B121" s="25" t="n">
        <v>46239</v>
      </c>
      <c r="C121" s="18" t="s">
        <v>153</v>
      </c>
      <c r="D121" s="20" t="str">
        <f aca="false">VLOOKUP(C121,'Supplier Database'!$A$5:$K$29,2,FALSE())</f>
        <v>Frontier Wholesale</v>
      </c>
      <c r="E121" s="18" t="s">
        <v>264</v>
      </c>
      <c r="F121" s="20" t="str">
        <f aca="false">VLOOKUP(E121,'Product Master'!$A$5:$K$104,2,FALSE())</f>
        <v>Eco Packaging Item 070</v>
      </c>
      <c r="G121" s="17" t="n">
        <v>170</v>
      </c>
      <c r="H121" s="16" t="n">
        <v>3747.83</v>
      </c>
      <c r="I121" s="16" t="n">
        <f aca="false">G121*H121</f>
        <v>637131.1</v>
      </c>
      <c r="J121" s="25" t="n">
        <v>46250</v>
      </c>
      <c r="K121" s="25" t="n">
        <v>46250</v>
      </c>
      <c r="L121" s="17" t="n">
        <v>170</v>
      </c>
      <c r="M121" s="17" t="n">
        <f aca="false">MAX(0,G121-L121)</f>
        <v>0</v>
      </c>
      <c r="N121" s="18" t="s">
        <v>1500</v>
      </c>
      <c r="O121" s="17" t="n">
        <f aca="false">IF(N121="Cancelled",0,IF(K121&lt;&gt;"",MAX(0,K121-J121),IF(N121="Delayed",MAX(0,'Daily MIS Report'!$B$4-J121),0)))</f>
        <v>0</v>
      </c>
    </row>
    <row r="122" customFormat="false" ht="15" hidden="false" customHeight="false" outlineLevel="0" collapsed="false">
      <c r="A122" s="26" t="s">
        <v>1618</v>
      </c>
      <c r="B122" s="34" t="n">
        <v>46087</v>
      </c>
      <c r="C122" s="26" t="s">
        <v>162</v>
      </c>
      <c r="D122" s="27" t="str">
        <f aca="false">VLOOKUP(C122,'Supplier Database'!$A$5:$K$29,2,FALSE())</f>
        <v>Orbit Supplies</v>
      </c>
      <c r="E122" s="26" t="s">
        <v>272</v>
      </c>
      <c r="F122" s="27" t="str">
        <f aca="false">VLOOKUP(E122,'Product Master'!$A$5:$K$104,2,FALSE())</f>
        <v>Smart Packaging Item 078</v>
      </c>
      <c r="G122" s="28" t="n">
        <v>387</v>
      </c>
      <c r="H122" s="29" t="n">
        <v>450</v>
      </c>
      <c r="I122" s="29" t="n">
        <f aca="false">G122*H122</f>
        <v>174150</v>
      </c>
      <c r="J122" s="34" t="n">
        <v>46101</v>
      </c>
      <c r="K122" s="34"/>
      <c r="L122" s="28" t="n">
        <v>0</v>
      </c>
      <c r="M122" s="28" t="n">
        <f aca="false">MAX(0,G122-L122)</f>
        <v>387</v>
      </c>
      <c r="N122" s="26" t="s">
        <v>37</v>
      </c>
      <c r="O122" s="28" t="n">
        <f aca="false">IF(N122="Cancelled",0,IF(K122&lt;&gt;"",MAX(0,K122-J122),IF(N122="Delayed",MAX(0,'Daily MIS Report'!$B$4-J122),0)))</f>
        <v>0</v>
      </c>
    </row>
    <row r="123" customFormat="false" ht="15" hidden="false" customHeight="false" outlineLevel="0" collapsed="false">
      <c r="A123" s="18" t="s">
        <v>1619</v>
      </c>
      <c r="B123" s="25" t="n">
        <v>46110</v>
      </c>
      <c r="C123" s="18" t="s">
        <v>162</v>
      </c>
      <c r="D123" s="20" t="str">
        <f aca="false">VLOOKUP(C123,'Supplier Database'!$A$5:$K$29,2,FALSE())</f>
        <v>Orbit Supplies</v>
      </c>
      <c r="E123" s="18" t="s">
        <v>200</v>
      </c>
      <c r="F123" s="20" t="str">
        <f aca="false">VLOOKUP(E123,'Product Master'!$A$5:$K$104,2,FALSE())</f>
        <v>Pro Packaging Item 006</v>
      </c>
      <c r="G123" s="17" t="n">
        <v>392</v>
      </c>
      <c r="H123" s="16" t="n">
        <v>1485.82</v>
      </c>
      <c r="I123" s="16" t="n">
        <f aca="false">G123*H123</f>
        <v>582441.44</v>
      </c>
      <c r="J123" s="25" t="n">
        <v>46124</v>
      </c>
      <c r="K123" s="25" t="n">
        <v>46126</v>
      </c>
      <c r="L123" s="17" t="n">
        <v>392</v>
      </c>
      <c r="M123" s="17" t="n">
        <f aca="false">MAX(0,G123-L123)</f>
        <v>0</v>
      </c>
      <c r="N123" s="18" t="s">
        <v>1500</v>
      </c>
      <c r="O123" s="17" t="n">
        <f aca="false">IF(N123="Cancelled",0,IF(K123&lt;&gt;"",MAX(0,K123-J123),IF(N123="Delayed",MAX(0,'Daily MIS Report'!$B$4-J123),0)))</f>
        <v>2</v>
      </c>
    </row>
    <row r="124" customFormat="false" ht="15" hidden="false" customHeight="false" outlineLevel="0" collapsed="false">
      <c r="A124" s="26" t="s">
        <v>1620</v>
      </c>
      <c r="B124" s="34" t="n">
        <v>46071</v>
      </c>
      <c r="C124" s="26" t="s">
        <v>168</v>
      </c>
      <c r="D124" s="27" t="str">
        <f aca="false">VLOOKUP(C124,'Supplier Database'!$A$5:$K$29,2,FALSE())</f>
        <v>Unity Partners</v>
      </c>
      <c r="E124" s="26" t="s">
        <v>202</v>
      </c>
      <c r="F124" s="27" t="str">
        <f aca="false">VLOOKUP(E124,'Product Master'!$A$5:$K$104,2,FALSE())</f>
        <v>Smart Automotive Item 008</v>
      </c>
      <c r="G124" s="28" t="n">
        <v>58</v>
      </c>
      <c r="H124" s="29" t="n">
        <v>7215.17</v>
      </c>
      <c r="I124" s="29" t="n">
        <f aca="false">G124*H124</f>
        <v>418479.86</v>
      </c>
      <c r="J124" s="34" t="n">
        <v>46075</v>
      </c>
      <c r="K124" s="34" t="n">
        <v>46082</v>
      </c>
      <c r="L124" s="28" t="n">
        <v>58</v>
      </c>
      <c r="M124" s="28" t="n">
        <f aca="false">MAX(0,G124-L124)</f>
        <v>0</v>
      </c>
      <c r="N124" s="26" t="s">
        <v>1500</v>
      </c>
      <c r="O124" s="28" t="n">
        <f aca="false">IF(N124="Cancelled",0,IF(K124&lt;&gt;"",MAX(0,K124-J124),IF(N124="Delayed",MAX(0,'Daily MIS Report'!$B$4-J124),0)))</f>
        <v>7</v>
      </c>
    </row>
    <row r="125" customFormat="false" ht="15" hidden="false" customHeight="false" outlineLevel="0" collapsed="false">
      <c r="A125" s="18" t="s">
        <v>1621</v>
      </c>
      <c r="B125" s="25" t="n">
        <v>46314</v>
      </c>
      <c r="C125" s="18" t="s">
        <v>169</v>
      </c>
      <c r="D125" s="20" t="str">
        <f aca="false">VLOOKUP(C125,'Supplier Database'!$A$5:$K$29,2,FALSE())</f>
        <v>Vertex Supplies</v>
      </c>
      <c r="E125" s="18" t="s">
        <v>215</v>
      </c>
      <c r="F125" s="20" t="str">
        <f aca="false">VLOOKUP(E125,'Product Master'!$A$5:$K$104,2,FALSE())</f>
        <v>Eco Industrial Item 021</v>
      </c>
      <c r="G125" s="17" t="n">
        <v>35</v>
      </c>
      <c r="H125" s="16" t="n">
        <v>1639.44</v>
      </c>
      <c r="I125" s="16" t="n">
        <f aca="false">G125*H125</f>
        <v>57380.4</v>
      </c>
      <c r="J125" s="25" t="n">
        <v>46318</v>
      </c>
      <c r="K125" s="25" t="n">
        <v>46323</v>
      </c>
      <c r="L125" s="17" t="n">
        <v>29</v>
      </c>
      <c r="M125" s="17" t="n">
        <f aca="false">MAX(0,G125-L125)</f>
        <v>6</v>
      </c>
      <c r="N125" s="18" t="s">
        <v>1503</v>
      </c>
      <c r="O125" s="17" t="n">
        <f aca="false">IF(N125="Cancelled",0,IF(K125&lt;&gt;"",MAX(0,K125-J125),IF(N125="Delayed",MAX(0,'Daily MIS Report'!$B$4-J125),0)))</f>
        <v>5</v>
      </c>
    </row>
    <row r="126" customFormat="false" ht="15" hidden="false" customHeight="false" outlineLevel="0" collapsed="false">
      <c r="A126" s="26" t="s">
        <v>1622</v>
      </c>
      <c r="B126" s="34" t="n">
        <v>45948</v>
      </c>
      <c r="C126" s="26" t="s">
        <v>152</v>
      </c>
      <c r="D126" s="27" t="str">
        <f aca="false">VLOOKUP(C126,'Supplier Database'!$A$5:$K$29,2,FALSE())</f>
        <v>Ever Logistics</v>
      </c>
      <c r="E126" s="26" t="s">
        <v>203</v>
      </c>
      <c r="F126" s="27" t="str">
        <f aca="false">VLOOKUP(E126,'Product Master'!$A$5:$K$104,2,FALSE())</f>
        <v>Essential Electronics Item 009</v>
      </c>
      <c r="G126" s="28" t="n">
        <v>140</v>
      </c>
      <c r="H126" s="29" t="n">
        <v>3950.34</v>
      </c>
      <c r="I126" s="29" t="n">
        <f aca="false">G126*H126</f>
        <v>553047.6</v>
      </c>
      <c r="J126" s="34" t="n">
        <v>45951</v>
      </c>
      <c r="K126" s="34" t="n">
        <v>45951</v>
      </c>
      <c r="L126" s="28" t="n">
        <v>140</v>
      </c>
      <c r="M126" s="28" t="n">
        <f aca="false">MAX(0,G126-L126)</f>
        <v>0</v>
      </c>
      <c r="N126" s="26" t="s">
        <v>1500</v>
      </c>
      <c r="O126" s="28" t="n">
        <f aca="false">IF(N126="Cancelled",0,IF(K126&lt;&gt;"",MAX(0,K126-J126),IF(N126="Delayed",MAX(0,'Daily MIS Report'!$B$4-J126),0)))</f>
        <v>0</v>
      </c>
    </row>
    <row r="127" customFormat="false" ht="15" hidden="false" customHeight="false" outlineLevel="0" collapsed="false">
      <c r="A127" s="18" t="s">
        <v>1623</v>
      </c>
      <c r="B127" s="25" t="n">
        <v>46302</v>
      </c>
      <c r="C127" s="18" t="s">
        <v>149</v>
      </c>
      <c r="D127" s="20" t="str">
        <f aca="false">VLOOKUP(C127,'Supplier Database'!$A$5:$K$29,2,FALSE())</f>
        <v>Bright Distributors</v>
      </c>
      <c r="E127" s="18" t="s">
        <v>272</v>
      </c>
      <c r="F127" s="20" t="str">
        <f aca="false">VLOOKUP(E127,'Product Master'!$A$5:$K$104,2,FALSE())</f>
        <v>Smart Packaging Item 078</v>
      </c>
      <c r="G127" s="17" t="n">
        <v>98</v>
      </c>
      <c r="H127" s="16" t="n">
        <v>463.79</v>
      </c>
      <c r="I127" s="16" t="n">
        <f aca="false">G127*H127</f>
        <v>45451.42</v>
      </c>
      <c r="J127" s="25" t="n">
        <v>46311</v>
      </c>
      <c r="K127" s="25"/>
      <c r="L127" s="17" t="n">
        <v>5</v>
      </c>
      <c r="M127" s="17" t="n">
        <f aca="false">MAX(0,G127-L127)</f>
        <v>93</v>
      </c>
      <c r="N127" s="18" t="s">
        <v>1514</v>
      </c>
      <c r="O127" s="17" t="n">
        <f aca="false">IF(N127="Cancelled",0,IF(K127&lt;&gt;"",MAX(0,K127-J127),IF(N127="Delayed",MAX(0,'Daily MIS Report'!$B$4-J127),0)))</f>
        <v>3</v>
      </c>
    </row>
    <row r="128" customFormat="false" ht="15" hidden="false" customHeight="false" outlineLevel="0" collapsed="false">
      <c r="A128" s="26" t="s">
        <v>1624</v>
      </c>
      <c r="B128" s="34" t="n">
        <v>46158</v>
      </c>
      <c r="C128" s="26" t="s">
        <v>172</v>
      </c>
      <c r="D128" s="27" t="str">
        <f aca="false">VLOOKUP(C128,'Supplier Database'!$A$5:$K$29,2,FALSE())</f>
        <v>Zenith Trading Co.</v>
      </c>
      <c r="E128" s="26" t="s">
        <v>204</v>
      </c>
      <c r="F128" s="27" t="str">
        <f aca="false">VLOOKUP(E128,'Product Master'!$A$5:$K$104,2,FALSE())</f>
        <v>Essential Home Item 010</v>
      </c>
      <c r="G128" s="28" t="n">
        <v>313</v>
      </c>
      <c r="H128" s="29" t="n">
        <v>5653.76</v>
      </c>
      <c r="I128" s="29" t="n">
        <f aca="false">G128*H128</f>
        <v>1769626.88</v>
      </c>
      <c r="J128" s="34" t="n">
        <v>46163</v>
      </c>
      <c r="K128" s="34" t="n">
        <v>46164</v>
      </c>
      <c r="L128" s="28" t="n">
        <v>313</v>
      </c>
      <c r="M128" s="28" t="n">
        <f aca="false">MAX(0,G128-L128)</f>
        <v>0</v>
      </c>
      <c r="N128" s="26" t="s">
        <v>1500</v>
      </c>
      <c r="O128" s="28" t="n">
        <f aca="false">IF(N128="Cancelled",0,IF(K128&lt;&gt;"",MAX(0,K128-J128),IF(N128="Delayed",MAX(0,'Daily MIS Report'!$B$4-J128),0)))</f>
        <v>1</v>
      </c>
    </row>
    <row r="129" customFormat="false" ht="15" hidden="false" customHeight="false" outlineLevel="0" collapsed="false">
      <c r="A129" s="18" t="s">
        <v>1625</v>
      </c>
      <c r="B129" s="25" t="n">
        <v>46263</v>
      </c>
      <c r="C129" s="18" t="s">
        <v>156</v>
      </c>
      <c r="D129" s="20" t="str">
        <f aca="false">VLOOKUP(C129,'Supplier Database'!$A$5:$K$29,2,FALSE())</f>
        <v>Indus Distributors</v>
      </c>
      <c r="E129" s="18" t="s">
        <v>226</v>
      </c>
      <c r="F129" s="20" t="str">
        <f aca="false">VLOOKUP(E129,'Product Master'!$A$5:$K$104,2,FALSE())</f>
        <v>Smart Automotive Item 032</v>
      </c>
      <c r="G129" s="17" t="n">
        <v>78</v>
      </c>
      <c r="H129" s="16" t="n">
        <v>6446.97</v>
      </c>
      <c r="I129" s="16" t="n">
        <f aca="false">G129*H129</f>
        <v>502863.66</v>
      </c>
      <c r="J129" s="25" t="n">
        <v>46271</v>
      </c>
      <c r="K129" s="25" t="n">
        <v>46271</v>
      </c>
      <c r="L129" s="17" t="n">
        <v>78</v>
      </c>
      <c r="M129" s="17" t="n">
        <f aca="false">MAX(0,G129-L129)</f>
        <v>0</v>
      </c>
      <c r="N129" s="18" t="s">
        <v>1500</v>
      </c>
      <c r="O129" s="17" t="n">
        <f aca="false">IF(N129="Cancelled",0,IF(K129&lt;&gt;"",MAX(0,K129-J129),IF(N129="Delayed",MAX(0,'Daily MIS Report'!$B$4-J129),0)))</f>
        <v>0</v>
      </c>
    </row>
    <row r="130" customFormat="false" ht="15" hidden="false" customHeight="false" outlineLevel="0" collapsed="false">
      <c r="A130" s="26" t="s">
        <v>1626</v>
      </c>
      <c r="B130" s="34" t="n">
        <v>46129</v>
      </c>
      <c r="C130" s="26" t="s">
        <v>165</v>
      </c>
      <c r="D130" s="27" t="str">
        <f aca="false">VLOOKUP(C130,'Supplier Database'!$A$5:$K$29,2,FALSE())</f>
        <v>Riverstone Trading Co.</v>
      </c>
      <c r="E130" s="26" t="s">
        <v>210</v>
      </c>
      <c r="F130" s="27" t="str">
        <f aca="false">VLOOKUP(E130,'Product Master'!$A$5:$K$104,2,FALSE())</f>
        <v>Pro Automotive Item 016</v>
      </c>
      <c r="G130" s="28" t="n">
        <v>154</v>
      </c>
      <c r="H130" s="29" t="n">
        <v>4108.58</v>
      </c>
      <c r="I130" s="29" t="n">
        <f aca="false">G130*H130</f>
        <v>632721.32</v>
      </c>
      <c r="J130" s="34" t="n">
        <v>46141</v>
      </c>
      <c r="K130" s="34"/>
      <c r="L130" s="28" t="n">
        <v>0</v>
      </c>
      <c r="M130" s="28" t="n">
        <f aca="false">MAX(0,G130-L130)</f>
        <v>154</v>
      </c>
      <c r="N130" s="26" t="s">
        <v>37</v>
      </c>
      <c r="O130" s="28" t="n">
        <f aca="false">IF(N130="Cancelled",0,IF(K130&lt;&gt;"",MAX(0,K130-J130),IF(N130="Delayed",MAX(0,'Daily MIS Report'!$B$4-J130),0)))</f>
        <v>0</v>
      </c>
    </row>
    <row r="131" customFormat="false" ht="15" hidden="false" customHeight="false" outlineLevel="0" collapsed="false">
      <c r="A131" s="18" t="s">
        <v>1627</v>
      </c>
      <c r="B131" s="25" t="n">
        <v>46040</v>
      </c>
      <c r="C131" s="18" t="s">
        <v>167</v>
      </c>
      <c r="D131" s="20" t="str">
        <f aca="false">VLOOKUP(C131,'Supplier Database'!$A$5:$K$29,2,FALSE())</f>
        <v>Trident Wholesale</v>
      </c>
      <c r="E131" s="18" t="s">
        <v>231</v>
      </c>
      <c r="F131" s="20" t="str">
        <f aca="false">VLOOKUP(E131,'Product Master'!$A$5:$K$104,2,FALSE())</f>
        <v>Pro Industrial Item 037</v>
      </c>
      <c r="G131" s="17" t="n">
        <v>375</v>
      </c>
      <c r="H131" s="16" t="n">
        <v>4900.33</v>
      </c>
      <c r="I131" s="16" t="n">
        <f aca="false">G131*H131</f>
        <v>1837623.75</v>
      </c>
      <c r="J131" s="25" t="n">
        <v>46052</v>
      </c>
      <c r="K131" s="25" t="n">
        <v>46050</v>
      </c>
      <c r="L131" s="17" t="n">
        <v>375</v>
      </c>
      <c r="M131" s="17" t="n">
        <f aca="false">MAX(0,G131-L131)</f>
        <v>0</v>
      </c>
      <c r="N131" s="18" t="s">
        <v>1500</v>
      </c>
      <c r="O131" s="17" t="n">
        <f aca="false">IF(N131="Cancelled",0,IF(K131&lt;&gt;"",MAX(0,K131-J131),IF(N131="Delayed",MAX(0,'Daily MIS Report'!$B$4-J131),0)))</f>
        <v>0</v>
      </c>
    </row>
    <row r="132" customFormat="false" ht="15" hidden="false" customHeight="false" outlineLevel="0" collapsed="false">
      <c r="A132" s="26" t="s">
        <v>1628</v>
      </c>
      <c r="B132" s="34" t="n">
        <v>46000</v>
      </c>
      <c r="C132" s="26" t="s">
        <v>150</v>
      </c>
      <c r="D132" s="27" t="str">
        <f aca="false">VLOOKUP(C132,'Supplier Database'!$A$5:$K$29,2,FALSE())</f>
        <v>Core Industries</v>
      </c>
      <c r="E132" s="26" t="s">
        <v>252</v>
      </c>
      <c r="F132" s="27" t="str">
        <f aca="false">VLOOKUP(E132,'Product Master'!$A$5:$K$104,2,FALSE())</f>
        <v>Pro Home Item 058</v>
      </c>
      <c r="G132" s="28" t="n">
        <v>108</v>
      </c>
      <c r="H132" s="29" t="n">
        <v>3694.55</v>
      </c>
      <c r="I132" s="29" t="n">
        <f aca="false">G132*H132</f>
        <v>399011.4</v>
      </c>
      <c r="J132" s="34" t="n">
        <v>46003</v>
      </c>
      <c r="K132" s="34" t="n">
        <v>46007</v>
      </c>
      <c r="L132" s="28" t="n">
        <v>108</v>
      </c>
      <c r="M132" s="28" t="n">
        <f aca="false">MAX(0,G132-L132)</f>
        <v>0</v>
      </c>
      <c r="N132" s="26" t="s">
        <v>1500</v>
      </c>
      <c r="O132" s="28" t="n">
        <f aca="false">IF(N132="Cancelled",0,IF(K132&lt;&gt;"",MAX(0,K132-J132),IF(N132="Delayed",MAX(0,'Daily MIS Report'!$B$4-J132),0)))</f>
        <v>4</v>
      </c>
    </row>
    <row r="133" customFormat="false" ht="15" hidden="false" customHeight="false" outlineLevel="0" collapsed="false">
      <c r="A133" s="18" t="s">
        <v>1629</v>
      </c>
      <c r="B133" s="25" t="n">
        <v>46280</v>
      </c>
      <c r="C133" s="18" t="s">
        <v>158</v>
      </c>
      <c r="D133" s="20" t="str">
        <f aca="false">VLOOKUP(C133,'Supplier Database'!$A$5:$K$29,2,FALSE())</f>
        <v>Kinetic Trading Co.</v>
      </c>
      <c r="E133" s="18" t="s">
        <v>280</v>
      </c>
      <c r="F133" s="20" t="str">
        <f aca="false">VLOOKUP(E133,'Product Master'!$A$5:$K$104,2,FALSE())</f>
        <v>Classic Packaging Item 086</v>
      </c>
      <c r="G133" s="17" t="n">
        <v>197</v>
      </c>
      <c r="H133" s="16" t="n">
        <v>4841.21</v>
      </c>
      <c r="I133" s="16" t="n">
        <f aca="false">G133*H133</f>
        <v>953718.37</v>
      </c>
      <c r="J133" s="25" t="n">
        <v>46292</v>
      </c>
      <c r="K133" s="25" t="n">
        <v>46292</v>
      </c>
      <c r="L133" s="17" t="n">
        <v>197</v>
      </c>
      <c r="M133" s="17" t="n">
        <f aca="false">MAX(0,G133-L133)</f>
        <v>0</v>
      </c>
      <c r="N133" s="18" t="s">
        <v>1500</v>
      </c>
      <c r="O133" s="17" t="n">
        <f aca="false">IF(N133="Cancelled",0,IF(K133&lt;&gt;"",MAX(0,K133-J133),IF(N133="Delayed",MAX(0,'Daily MIS Report'!$B$4-J133),0)))</f>
        <v>0</v>
      </c>
    </row>
    <row r="134" customFormat="false" ht="15" hidden="false" customHeight="false" outlineLevel="0" collapsed="false">
      <c r="A134" s="26" t="s">
        <v>1630</v>
      </c>
      <c r="B134" s="34" t="n">
        <v>46084</v>
      </c>
      <c r="C134" s="26" t="s">
        <v>153</v>
      </c>
      <c r="D134" s="27" t="str">
        <f aca="false">VLOOKUP(C134,'Supplier Database'!$A$5:$K$29,2,FALSE())</f>
        <v>Frontier Wholesale</v>
      </c>
      <c r="E134" s="26" t="s">
        <v>286</v>
      </c>
      <c r="F134" s="27" t="str">
        <f aca="false">VLOOKUP(E134,'Product Master'!$A$5:$K$104,2,FALSE())</f>
        <v>Essential Personal Item 092</v>
      </c>
      <c r="G134" s="28" t="n">
        <v>383</v>
      </c>
      <c r="H134" s="29" t="n">
        <v>7065.72</v>
      </c>
      <c r="I134" s="29" t="n">
        <f aca="false">G134*H134</f>
        <v>2706170.76</v>
      </c>
      <c r="J134" s="34" t="n">
        <v>46095</v>
      </c>
      <c r="K134" s="34" t="n">
        <v>46100</v>
      </c>
      <c r="L134" s="28" t="n">
        <v>186</v>
      </c>
      <c r="M134" s="28" t="n">
        <f aca="false">MAX(0,G134-L134)</f>
        <v>197</v>
      </c>
      <c r="N134" s="26" t="s">
        <v>1503</v>
      </c>
      <c r="O134" s="28" t="n">
        <f aca="false">IF(N134="Cancelled",0,IF(K134&lt;&gt;"",MAX(0,K134-J134),IF(N134="Delayed",MAX(0,'Daily MIS Report'!$B$4-J134),0)))</f>
        <v>5</v>
      </c>
    </row>
    <row r="135" customFormat="false" ht="15" hidden="false" customHeight="false" outlineLevel="0" collapsed="false">
      <c r="A135" s="18" t="s">
        <v>1631</v>
      </c>
      <c r="B135" s="25" t="n">
        <v>46191</v>
      </c>
      <c r="C135" s="18" t="s">
        <v>155</v>
      </c>
      <c r="D135" s="20" t="str">
        <f aca="false">VLOOKUP(C135,'Supplier Database'!$A$5:$K$29,2,FALSE())</f>
        <v>Horizon Supplies</v>
      </c>
      <c r="E135" s="18" t="s">
        <v>210</v>
      </c>
      <c r="F135" s="20" t="str">
        <f aca="false">VLOOKUP(E135,'Product Master'!$A$5:$K$104,2,FALSE())</f>
        <v>Pro Automotive Item 016</v>
      </c>
      <c r="G135" s="17" t="n">
        <v>122</v>
      </c>
      <c r="H135" s="16" t="n">
        <v>4116.74</v>
      </c>
      <c r="I135" s="16" t="n">
        <f aca="false">G135*H135</f>
        <v>502242.28</v>
      </c>
      <c r="J135" s="25" t="n">
        <v>46196</v>
      </c>
      <c r="K135" s="25" t="n">
        <v>46196</v>
      </c>
      <c r="L135" s="17" t="n">
        <v>122</v>
      </c>
      <c r="M135" s="17" t="n">
        <f aca="false">MAX(0,G135-L135)</f>
        <v>0</v>
      </c>
      <c r="N135" s="18" t="s">
        <v>1500</v>
      </c>
      <c r="O135" s="17" t="n">
        <f aca="false">IF(N135="Cancelled",0,IF(K135&lt;&gt;"",MAX(0,K135-J135),IF(N135="Delayed",MAX(0,'Daily MIS Report'!$B$4-J135),0)))</f>
        <v>0</v>
      </c>
    </row>
    <row r="136" customFormat="false" ht="15" hidden="false" customHeight="false" outlineLevel="0" collapsed="false">
      <c r="A136" s="26" t="s">
        <v>1632</v>
      </c>
      <c r="B136" s="34" t="n">
        <v>46302</v>
      </c>
      <c r="C136" s="26" t="s">
        <v>159</v>
      </c>
      <c r="D136" s="27" t="str">
        <f aca="false">VLOOKUP(C136,'Supplier Database'!$A$5:$K$29,2,FALSE())</f>
        <v>Lotus Logistics</v>
      </c>
      <c r="E136" s="26" t="s">
        <v>265</v>
      </c>
      <c r="F136" s="27" t="str">
        <f aca="false">VLOOKUP(E136,'Product Master'!$A$5:$K$104,2,FALSE())</f>
        <v>Pro Apparel Item 071</v>
      </c>
      <c r="G136" s="28" t="n">
        <v>313</v>
      </c>
      <c r="H136" s="29" t="n">
        <v>6222.5</v>
      </c>
      <c r="I136" s="29" t="n">
        <f aca="false">G136*H136</f>
        <v>1947642.5</v>
      </c>
      <c r="J136" s="34" t="n">
        <v>46308</v>
      </c>
      <c r="K136" s="34"/>
      <c r="L136" s="28" t="n">
        <v>8</v>
      </c>
      <c r="M136" s="28" t="n">
        <f aca="false">MAX(0,G136-L136)</f>
        <v>305</v>
      </c>
      <c r="N136" s="26" t="s">
        <v>1514</v>
      </c>
      <c r="O136" s="28" t="n">
        <f aca="false">IF(N136="Cancelled",0,IF(K136&lt;&gt;"",MAX(0,K136-J136),IF(N136="Delayed",MAX(0,'Daily MIS Report'!$B$4-J136),0)))</f>
        <v>6</v>
      </c>
    </row>
    <row r="137" customFormat="false" ht="15" hidden="false" customHeight="false" outlineLevel="0" collapsed="false">
      <c r="A137" s="18" t="s">
        <v>1633</v>
      </c>
      <c r="B137" s="25" t="n">
        <v>45997</v>
      </c>
      <c r="C137" s="18" t="s">
        <v>167</v>
      </c>
      <c r="D137" s="20" t="str">
        <f aca="false">VLOOKUP(C137,'Supplier Database'!$A$5:$K$29,2,FALSE())</f>
        <v>Trident Wholesale</v>
      </c>
      <c r="E137" s="18" t="s">
        <v>206</v>
      </c>
      <c r="F137" s="20" t="str">
        <f aca="false">VLOOKUP(E137,'Product Master'!$A$5:$K$104,2,FALSE())</f>
        <v>Eco Personal Item 012</v>
      </c>
      <c r="G137" s="17" t="n">
        <v>53</v>
      </c>
      <c r="H137" s="16" t="n">
        <v>5578.25</v>
      </c>
      <c r="I137" s="16" t="n">
        <f aca="false">G137*H137</f>
        <v>295647.25</v>
      </c>
      <c r="J137" s="25" t="n">
        <v>46009</v>
      </c>
      <c r="K137" s="25"/>
      <c r="L137" s="17" t="n">
        <v>0</v>
      </c>
      <c r="M137" s="17" t="n">
        <f aca="false">MAX(0,G137-L137)</f>
        <v>53</v>
      </c>
      <c r="N137" s="18" t="s">
        <v>43</v>
      </c>
      <c r="O137" s="17" t="n">
        <f aca="false">IF(N137="Cancelled",0,IF(K137&lt;&gt;"",MAX(0,K137-J137),IF(N137="Delayed",MAX(0,'Daily MIS Report'!$B$4-J137),0)))</f>
        <v>0</v>
      </c>
    </row>
    <row r="138" customFormat="false" ht="15" hidden="false" customHeight="false" outlineLevel="0" collapsed="false">
      <c r="A138" s="26" t="s">
        <v>1634</v>
      </c>
      <c r="B138" s="34" t="n">
        <v>46302</v>
      </c>
      <c r="C138" s="26" t="s">
        <v>163</v>
      </c>
      <c r="D138" s="27" t="str">
        <f aca="false">VLOOKUP(C138,'Supplier Database'!$A$5:$K$29,2,FALSE())</f>
        <v>Pioneer Distributors</v>
      </c>
      <c r="E138" s="26" t="s">
        <v>262</v>
      </c>
      <c r="F138" s="27" t="str">
        <f aca="false">VLOOKUP(E138,'Product Master'!$A$5:$K$104,2,FALSE())</f>
        <v>Compact Personal Item 068</v>
      </c>
      <c r="G138" s="28" t="n">
        <v>230</v>
      </c>
      <c r="H138" s="29" t="n">
        <v>5115.5</v>
      </c>
      <c r="I138" s="29" t="n">
        <f aca="false">G138*H138</f>
        <v>1176565</v>
      </c>
      <c r="J138" s="34" t="n">
        <v>46312</v>
      </c>
      <c r="K138" s="34"/>
      <c r="L138" s="28" t="n">
        <v>1</v>
      </c>
      <c r="M138" s="28" t="n">
        <f aca="false">MAX(0,G138-L138)</f>
        <v>229</v>
      </c>
      <c r="N138" s="26" t="s">
        <v>1514</v>
      </c>
      <c r="O138" s="28" t="n">
        <f aca="false">IF(N138="Cancelled",0,IF(K138&lt;&gt;"",MAX(0,K138-J138),IF(N138="Delayed",MAX(0,'Daily MIS Report'!$B$4-J138),0)))</f>
        <v>2</v>
      </c>
    </row>
    <row r="139" customFormat="false" ht="15" hidden="false" customHeight="false" outlineLevel="0" collapsed="false">
      <c r="A139" s="18" t="s">
        <v>1635</v>
      </c>
      <c r="B139" s="25" t="n">
        <v>45995</v>
      </c>
      <c r="C139" s="18" t="s">
        <v>158</v>
      </c>
      <c r="D139" s="20" t="str">
        <f aca="false">VLOOKUP(C139,'Supplier Database'!$A$5:$K$29,2,FALSE())</f>
        <v>Kinetic Trading Co.</v>
      </c>
      <c r="E139" s="18" t="s">
        <v>277</v>
      </c>
      <c r="F139" s="20" t="str">
        <f aca="false">VLOOKUP(E139,'Product Master'!$A$5:$K$104,2,FALSE())</f>
        <v>Essential Office Item 083</v>
      </c>
      <c r="G139" s="17" t="n">
        <v>57</v>
      </c>
      <c r="H139" s="16" t="n">
        <v>2520.05</v>
      </c>
      <c r="I139" s="16" t="n">
        <f aca="false">G139*H139</f>
        <v>143642.85</v>
      </c>
      <c r="J139" s="25" t="n">
        <v>46007</v>
      </c>
      <c r="K139" s="25"/>
      <c r="L139" s="17" t="n">
        <v>0</v>
      </c>
      <c r="M139" s="17" t="n">
        <f aca="false">MAX(0,G139-L139)</f>
        <v>57</v>
      </c>
      <c r="N139" s="18" t="s">
        <v>37</v>
      </c>
      <c r="O139" s="17" t="n">
        <f aca="false">IF(N139="Cancelled",0,IF(K139&lt;&gt;"",MAX(0,K139-J139),IF(N139="Delayed",MAX(0,'Daily MIS Report'!$B$4-J139),0)))</f>
        <v>0</v>
      </c>
    </row>
    <row r="140" customFormat="false" ht="15" hidden="false" customHeight="false" outlineLevel="0" collapsed="false">
      <c r="A140" s="26" t="s">
        <v>1636</v>
      </c>
      <c r="B140" s="34" t="n">
        <v>46107</v>
      </c>
      <c r="C140" s="26" t="s">
        <v>152</v>
      </c>
      <c r="D140" s="27" t="str">
        <f aca="false">VLOOKUP(C140,'Supplier Database'!$A$5:$K$29,2,FALSE())</f>
        <v>Ever Logistics</v>
      </c>
      <c r="E140" s="26" t="s">
        <v>294</v>
      </c>
      <c r="F140" s="27" t="str">
        <f aca="false">VLOOKUP(E140,'Product Master'!$A$5:$K$104,2,FALSE())</f>
        <v>Smart Personal Item 100</v>
      </c>
      <c r="G140" s="28" t="n">
        <v>302</v>
      </c>
      <c r="H140" s="29" t="n">
        <v>7444.11</v>
      </c>
      <c r="I140" s="29" t="n">
        <f aca="false">G140*H140</f>
        <v>2248121.22</v>
      </c>
      <c r="J140" s="34" t="n">
        <v>46110</v>
      </c>
      <c r="K140" s="34" t="n">
        <v>46109</v>
      </c>
      <c r="L140" s="28" t="n">
        <v>302</v>
      </c>
      <c r="M140" s="28" t="n">
        <f aca="false">MAX(0,G140-L140)</f>
        <v>0</v>
      </c>
      <c r="N140" s="26" t="s">
        <v>1500</v>
      </c>
      <c r="O140" s="28" t="n">
        <f aca="false">IF(N140="Cancelled",0,IF(K140&lt;&gt;"",MAX(0,K140-J140),IF(N140="Delayed",MAX(0,'Daily MIS Report'!$B$4-J140),0)))</f>
        <v>0</v>
      </c>
    </row>
    <row r="141" customFormat="false" ht="15" hidden="false" customHeight="false" outlineLevel="0" collapsed="false">
      <c r="A141" s="18" t="s">
        <v>1637</v>
      </c>
      <c r="B141" s="25" t="n">
        <v>46152</v>
      </c>
      <c r="C141" s="18" t="s">
        <v>164</v>
      </c>
      <c r="D141" s="20" t="str">
        <f aca="false">VLOOKUP(C141,'Supplier Database'!$A$5:$K$29,2,FALSE())</f>
        <v>Quantum Industries</v>
      </c>
      <c r="E141" s="18" t="s">
        <v>202</v>
      </c>
      <c r="F141" s="20" t="str">
        <f aca="false">VLOOKUP(E141,'Product Master'!$A$5:$K$104,2,FALSE())</f>
        <v>Smart Automotive Item 008</v>
      </c>
      <c r="G141" s="17" t="n">
        <v>445</v>
      </c>
      <c r="H141" s="16" t="n">
        <v>6751.08</v>
      </c>
      <c r="I141" s="16" t="n">
        <f aca="false">G141*H141</f>
        <v>3004230.6</v>
      </c>
      <c r="J141" s="25" t="n">
        <v>46157</v>
      </c>
      <c r="K141" s="25" t="n">
        <v>46156</v>
      </c>
      <c r="L141" s="17" t="n">
        <v>445</v>
      </c>
      <c r="M141" s="17" t="n">
        <f aca="false">MAX(0,G141-L141)</f>
        <v>0</v>
      </c>
      <c r="N141" s="18" t="s">
        <v>1500</v>
      </c>
      <c r="O141" s="17" t="n">
        <f aca="false">IF(N141="Cancelled",0,IF(K141&lt;&gt;"",MAX(0,K141-J141),IF(N141="Delayed",MAX(0,'Daily MIS Report'!$B$4-J141),0)))</f>
        <v>0</v>
      </c>
    </row>
    <row r="142" customFormat="false" ht="15" hidden="false" customHeight="false" outlineLevel="0" collapsed="false">
      <c r="A142" s="26" t="s">
        <v>1638</v>
      </c>
      <c r="B142" s="34" t="n">
        <v>46302</v>
      </c>
      <c r="C142" s="26" t="s">
        <v>158</v>
      </c>
      <c r="D142" s="27" t="str">
        <f aca="false">VLOOKUP(C142,'Supplier Database'!$A$5:$K$29,2,FALSE())</f>
        <v>Kinetic Trading Co.</v>
      </c>
      <c r="E142" s="26" t="s">
        <v>285</v>
      </c>
      <c r="F142" s="27" t="str">
        <f aca="false">VLOOKUP(E142,'Product Master'!$A$5:$K$104,2,FALSE())</f>
        <v>Premium Office Item 091</v>
      </c>
      <c r="G142" s="28" t="n">
        <v>135</v>
      </c>
      <c r="H142" s="29" t="n">
        <v>4298.15</v>
      </c>
      <c r="I142" s="29" t="n">
        <f aca="false">G142*H142</f>
        <v>580250.25</v>
      </c>
      <c r="J142" s="34" t="n">
        <v>46308</v>
      </c>
      <c r="K142" s="34"/>
      <c r="L142" s="28" t="n">
        <v>4</v>
      </c>
      <c r="M142" s="28" t="n">
        <f aca="false">MAX(0,G142-L142)</f>
        <v>131</v>
      </c>
      <c r="N142" s="26" t="s">
        <v>1514</v>
      </c>
      <c r="O142" s="28" t="n">
        <f aca="false">IF(N142="Cancelled",0,IF(K142&lt;&gt;"",MAX(0,K142-J142),IF(N142="Delayed",MAX(0,'Daily MIS Report'!$B$4-J142),0)))</f>
        <v>6</v>
      </c>
    </row>
    <row r="143" customFormat="false" ht="15" hidden="false" customHeight="false" outlineLevel="0" collapsed="false">
      <c r="A143" s="18" t="s">
        <v>1639</v>
      </c>
      <c r="B143" s="25" t="n">
        <v>45971</v>
      </c>
      <c r="C143" s="18" t="s">
        <v>156</v>
      </c>
      <c r="D143" s="20" t="str">
        <f aca="false">VLOOKUP(C143,'Supplier Database'!$A$5:$K$29,2,FALSE())</f>
        <v>Indus Distributors</v>
      </c>
      <c r="E143" s="18" t="s">
        <v>220</v>
      </c>
      <c r="F143" s="20" t="str">
        <f aca="false">VLOOKUP(E143,'Product Master'!$A$5:$K$104,2,FALSE())</f>
        <v>Classic Home Item 026</v>
      </c>
      <c r="G143" s="17" t="n">
        <v>345</v>
      </c>
      <c r="H143" s="16" t="n">
        <v>4034.78</v>
      </c>
      <c r="I143" s="16" t="n">
        <f aca="false">G143*H143</f>
        <v>1391999.1</v>
      </c>
      <c r="J143" s="25" t="n">
        <v>45979</v>
      </c>
      <c r="K143" s="25" t="n">
        <v>45979</v>
      </c>
      <c r="L143" s="17" t="n">
        <v>345</v>
      </c>
      <c r="M143" s="17" t="n">
        <f aca="false">MAX(0,G143-L143)</f>
        <v>0</v>
      </c>
      <c r="N143" s="18" t="s">
        <v>1500</v>
      </c>
      <c r="O143" s="17" t="n">
        <f aca="false">IF(N143="Cancelled",0,IF(K143&lt;&gt;"",MAX(0,K143-J143),IF(N143="Delayed",MAX(0,'Daily MIS Report'!$B$4-J143),0)))</f>
        <v>0</v>
      </c>
    </row>
    <row r="144" customFormat="false" ht="15" hidden="false" customHeight="false" outlineLevel="0" collapsed="false">
      <c r="A144" s="26" t="s">
        <v>1640</v>
      </c>
      <c r="B144" s="34" t="n">
        <v>46245</v>
      </c>
      <c r="C144" s="26" t="s">
        <v>165</v>
      </c>
      <c r="D144" s="27" t="str">
        <f aca="false">VLOOKUP(C144,'Supplier Database'!$A$5:$K$29,2,FALSE())</f>
        <v>Riverstone Trading Co.</v>
      </c>
      <c r="E144" s="26" t="s">
        <v>206</v>
      </c>
      <c r="F144" s="27" t="str">
        <f aca="false">VLOOKUP(E144,'Product Master'!$A$5:$K$104,2,FALSE())</f>
        <v>Eco Personal Item 012</v>
      </c>
      <c r="G144" s="28" t="n">
        <v>277</v>
      </c>
      <c r="H144" s="29" t="n">
        <v>5805.49</v>
      </c>
      <c r="I144" s="29" t="n">
        <f aca="false">G144*H144</f>
        <v>1608120.73</v>
      </c>
      <c r="J144" s="34" t="n">
        <v>46257</v>
      </c>
      <c r="K144" s="34" t="n">
        <v>46260</v>
      </c>
      <c r="L144" s="28" t="n">
        <v>79</v>
      </c>
      <c r="M144" s="28" t="n">
        <f aca="false">MAX(0,G144-L144)</f>
        <v>198</v>
      </c>
      <c r="N144" s="26" t="s">
        <v>1503</v>
      </c>
      <c r="O144" s="28" t="n">
        <f aca="false">IF(N144="Cancelled",0,IF(K144&lt;&gt;"",MAX(0,K144-J144),IF(N144="Delayed",MAX(0,'Daily MIS Report'!$B$4-J144),0)))</f>
        <v>3</v>
      </c>
    </row>
    <row r="145" customFormat="false" ht="15" hidden="false" customHeight="false" outlineLevel="0" collapsed="false">
      <c r="A145" s="18" t="s">
        <v>1641</v>
      </c>
      <c r="B145" s="25" t="n">
        <v>46018</v>
      </c>
      <c r="C145" s="18" t="s">
        <v>169</v>
      </c>
      <c r="D145" s="20" t="str">
        <f aca="false">VLOOKUP(C145,'Supplier Database'!$A$5:$K$29,2,FALSE())</f>
        <v>Vertex Supplies</v>
      </c>
      <c r="E145" s="18" t="s">
        <v>274</v>
      </c>
      <c r="F145" s="20" t="str">
        <f aca="false">VLOOKUP(E145,'Product Master'!$A$5:$K$104,2,FALSE())</f>
        <v>Classic Automotive Item 080</v>
      </c>
      <c r="G145" s="17" t="n">
        <v>388</v>
      </c>
      <c r="H145" s="16" t="n">
        <v>1664.71</v>
      </c>
      <c r="I145" s="16" t="n">
        <f aca="false">G145*H145</f>
        <v>645907.48</v>
      </c>
      <c r="J145" s="25" t="n">
        <v>46022</v>
      </c>
      <c r="K145" s="25" t="n">
        <v>46019</v>
      </c>
      <c r="L145" s="17" t="n">
        <v>388</v>
      </c>
      <c r="M145" s="17" t="n">
        <f aca="false">MAX(0,G145-L145)</f>
        <v>0</v>
      </c>
      <c r="N145" s="18" t="s">
        <v>1500</v>
      </c>
      <c r="O145" s="17" t="n">
        <f aca="false">IF(N145="Cancelled",0,IF(K145&lt;&gt;"",MAX(0,K145-J145),IF(N145="Delayed",MAX(0,'Daily MIS Report'!$B$4-J145),0)))</f>
        <v>0</v>
      </c>
    </row>
    <row r="146" customFormat="false" ht="15" hidden="false" customHeight="false" outlineLevel="0" collapsed="false">
      <c r="A146" s="26" t="s">
        <v>1642</v>
      </c>
      <c r="B146" s="34" t="n">
        <v>45945</v>
      </c>
      <c r="C146" s="26" t="s">
        <v>150</v>
      </c>
      <c r="D146" s="27" t="str">
        <f aca="false">VLOOKUP(C146,'Supplier Database'!$A$5:$K$29,2,FALSE())</f>
        <v>Core Industries</v>
      </c>
      <c r="E146" s="26" t="s">
        <v>200</v>
      </c>
      <c r="F146" s="27" t="str">
        <f aca="false">VLOOKUP(E146,'Product Master'!$A$5:$K$104,2,FALSE())</f>
        <v>Pro Packaging Item 006</v>
      </c>
      <c r="G146" s="28" t="n">
        <v>348</v>
      </c>
      <c r="H146" s="29" t="n">
        <v>1468.92</v>
      </c>
      <c r="I146" s="29" t="n">
        <f aca="false">G146*H146</f>
        <v>511184.16</v>
      </c>
      <c r="J146" s="34" t="n">
        <v>45948</v>
      </c>
      <c r="K146" s="34" t="n">
        <v>45951</v>
      </c>
      <c r="L146" s="28" t="n">
        <v>348</v>
      </c>
      <c r="M146" s="28" t="n">
        <f aca="false">MAX(0,G146-L146)</f>
        <v>0</v>
      </c>
      <c r="N146" s="26" t="s">
        <v>1500</v>
      </c>
      <c r="O146" s="28" t="n">
        <f aca="false">IF(N146="Cancelled",0,IF(K146&lt;&gt;"",MAX(0,K146-J146),IF(N146="Delayed",MAX(0,'Daily MIS Report'!$B$4-J146),0)))</f>
        <v>3</v>
      </c>
    </row>
    <row r="147" customFormat="false" ht="15" hidden="false" customHeight="false" outlineLevel="0" collapsed="false">
      <c r="A147" s="18" t="s">
        <v>1643</v>
      </c>
      <c r="B147" s="25" t="n">
        <v>46302</v>
      </c>
      <c r="C147" s="18" t="s">
        <v>161</v>
      </c>
      <c r="D147" s="20" t="str">
        <f aca="false">VLOOKUP(C147,'Supplier Database'!$A$5:$K$29,2,FALSE())</f>
        <v>Northstar Partners</v>
      </c>
      <c r="E147" s="18" t="s">
        <v>274</v>
      </c>
      <c r="F147" s="20" t="str">
        <f aca="false">VLOOKUP(E147,'Product Master'!$A$5:$K$104,2,FALSE())</f>
        <v>Classic Automotive Item 080</v>
      </c>
      <c r="G147" s="17" t="n">
        <v>347</v>
      </c>
      <c r="H147" s="16" t="n">
        <v>1498.59</v>
      </c>
      <c r="I147" s="16" t="n">
        <f aca="false">G147*H147</f>
        <v>520010.73</v>
      </c>
      <c r="J147" s="25" t="n">
        <v>46309</v>
      </c>
      <c r="K147" s="25"/>
      <c r="L147" s="17" t="n">
        <v>8</v>
      </c>
      <c r="M147" s="17" t="n">
        <f aca="false">MAX(0,G147-L147)</f>
        <v>339</v>
      </c>
      <c r="N147" s="18" t="s">
        <v>1514</v>
      </c>
      <c r="O147" s="17" t="n">
        <f aca="false">IF(N147="Cancelled",0,IF(K147&lt;&gt;"",MAX(0,K147-J147),IF(N147="Delayed",MAX(0,'Daily MIS Report'!$B$4-J147),0)))</f>
        <v>5</v>
      </c>
    </row>
    <row r="148" customFormat="false" ht="15" hidden="false" customHeight="false" outlineLevel="0" collapsed="false">
      <c r="A148" s="26" t="s">
        <v>1644</v>
      </c>
      <c r="B148" s="34" t="n">
        <v>46302</v>
      </c>
      <c r="C148" s="26" t="s">
        <v>168</v>
      </c>
      <c r="D148" s="27" t="str">
        <f aca="false">VLOOKUP(C148,'Supplier Database'!$A$5:$K$29,2,FALSE())</f>
        <v>Unity Partners</v>
      </c>
      <c r="E148" s="26" t="s">
        <v>233</v>
      </c>
      <c r="F148" s="27" t="str">
        <f aca="false">VLOOKUP(E148,'Product Master'!$A$5:$K$104,2,FALSE())</f>
        <v>Eco Apparel Item 039</v>
      </c>
      <c r="G148" s="28" t="n">
        <v>267</v>
      </c>
      <c r="H148" s="29" t="n">
        <v>2542.09</v>
      </c>
      <c r="I148" s="29" t="n">
        <f aca="false">G148*H148</f>
        <v>678738.03</v>
      </c>
      <c r="J148" s="34" t="n">
        <v>46308</v>
      </c>
      <c r="K148" s="34"/>
      <c r="L148" s="28" t="n">
        <v>6</v>
      </c>
      <c r="M148" s="28" t="n">
        <f aca="false">MAX(0,G148-L148)</f>
        <v>261</v>
      </c>
      <c r="N148" s="26" t="s">
        <v>1514</v>
      </c>
      <c r="O148" s="28" t="n">
        <f aca="false">IF(N148="Cancelled",0,IF(K148&lt;&gt;"",MAX(0,K148-J148),IF(N148="Delayed",MAX(0,'Daily MIS Report'!$B$4-J148),0)))</f>
        <v>6</v>
      </c>
    </row>
    <row r="149" customFormat="false" ht="15" hidden="false" customHeight="false" outlineLevel="0" collapsed="false">
      <c r="A149" s="18" t="s">
        <v>1645</v>
      </c>
      <c r="B149" s="25" t="n">
        <v>46083</v>
      </c>
      <c r="C149" s="18" t="s">
        <v>162</v>
      </c>
      <c r="D149" s="20" t="str">
        <f aca="false">VLOOKUP(C149,'Supplier Database'!$A$5:$K$29,2,FALSE())</f>
        <v>Orbit Supplies</v>
      </c>
      <c r="E149" s="18" t="s">
        <v>204</v>
      </c>
      <c r="F149" s="20" t="str">
        <f aca="false">VLOOKUP(E149,'Product Master'!$A$5:$K$104,2,FALSE())</f>
        <v>Essential Home Item 010</v>
      </c>
      <c r="G149" s="17" t="n">
        <v>372</v>
      </c>
      <c r="H149" s="16" t="n">
        <v>5598.59</v>
      </c>
      <c r="I149" s="16" t="n">
        <f aca="false">G149*H149</f>
        <v>2082675.48</v>
      </c>
      <c r="J149" s="25" t="n">
        <v>46097</v>
      </c>
      <c r="K149" s="25" t="n">
        <v>46101</v>
      </c>
      <c r="L149" s="17" t="n">
        <v>372</v>
      </c>
      <c r="M149" s="17" t="n">
        <f aca="false">MAX(0,G149-L149)</f>
        <v>0</v>
      </c>
      <c r="N149" s="18" t="s">
        <v>1500</v>
      </c>
      <c r="O149" s="17" t="n">
        <f aca="false">IF(N149="Cancelled",0,IF(K149&lt;&gt;"",MAX(0,K149-J149),IF(N149="Delayed",MAX(0,'Daily MIS Report'!$B$4-J149),0)))</f>
        <v>4</v>
      </c>
    </row>
    <row r="150" customFormat="false" ht="15" hidden="false" customHeight="false" outlineLevel="0" collapsed="false">
      <c r="A150" s="26" t="s">
        <v>1646</v>
      </c>
      <c r="B150" s="34" t="n">
        <v>46302</v>
      </c>
      <c r="C150" s="26" t="s">
        <v>154</v>
      </c>
      <c r="D150" s="27" t="str">
        <f aca="false">VLOOKUP(C150,'Supplier Database'!$A$5:$K$29,2,FALSE())</f>
        <v>Global Partners</v>
      </c>
      <c r="E150" s="26" t="s">
        <v>238</v>
      </c>
      <c r="F150" s="27" t="str">
        <f aca="false">VLOOKUP(E150,'Product Master'!$A$5:$K$104,2,FALSE())</f>
        <v>Essential Personal Item 044</v>
      </c>
      <c r="G150" s="28" t="n">
        <v>330</v>
      </c>
      <c r="H150" s="29" t="n">
        <v>771.89</v>
      </c>
      <c r="I150" s="29" t="n">
        <f aca="false">G150*H150</f>
        <v>254723.7</v>
      </c>
      <c r="J150" s="34" t="n">
        <v>46312</v>
      </c>
      <c r="K150" s="34"/>
      <c r="L150" s="28" t="n">
        <v>5</v>
      </c>
      <c r="M150" s="28" t="n">
        <f aca="false">MAX(0,G150-L150)</f>
        <v>325</v>
      </c>
      <c r="N150" s="26" t="s">
        <v>1514</v>
      </c>
      <c r="O150" s="28" t="n">
        <f aca="false">IF(N150="Cancelled",0,IF(K150&lt;&gt;"",MAX(0,K150-J150),IF(N150="Delayed",MAX(0,'Daily MIS Report'!$B$4-J150),0)))</f>
        <v>2</v>
      </c>
    </row>
    <row r="151" customFormat="false" ht="15" hidden="false" customHeight="false" outlineLevel="0" collapsed="false">
      <c r="A151" s="18" t="s">
        <v>1647</v>
      </c>
      <c r="B151" s="25" t="n">
        <v>46306</v>
      </c>
      <c r="C151" s="18" t="s">
        <v>159</v>
      </c>
      <c r="D151" s="20" t="str">
        <f aca="false">VLOOKUP(C151,'Supplier Database'!$A$5:$K$29,2,FALSE())</f>
        <v>Lotus Logistics</v>
      </c>
      <c r="E151" s="18" t="s">
        <v>246</v>
      </c>
      <c r="F151" s="20" t="str">
        <f aca="false">VLOOKUP(E151,'Product Master'!$A$5:$K$104,2,FALSE())</f>
        <v>Compact Personal Item 052</v>
      </c>
      <c r="G151" s="17" t="n">
        <v>86</v>
      </c>
      <c r="H151" s="16" t="n">
        <v>5616.56</v>
      </c>
      <c r="I151" s="16" t="n">
        <f aca="false">G151*H151</f>
        <v>483024.16</v>
      </c>
      <c r="J151" s="25" t="n">
        <v>46316</v>
      </c>
      <c r="K151" s="25" t="n">
        <v>46314</v>
      </c>
      <c r="L151" s="17" t="n">
        <v>86</v>
      </c>
      <c r="M151" s="17" t="n">
        <f aca="false">MAX(0,G151-L151)</f>
        <v>0</v>
      </c>
      <c r="N151" s="18" t="s">
        <v>1500</v>
      </c>
      <c r="O151" s="17" t="n">
        <f aca="false">IF(N151="Cancelled",0,IF(K151&lt;&gt;"",MAX(0,K151-J151),IF(N151="Delayed",MAX(0,'Daily MIS Report'!$B$4-J151),0)))</f>
        <v>0</v>
      </c>
    </row>
    <row r="152" customFormat="false" ht="15" hidden="false" customHeight="false" outlineLevel="0" collapsed="false">
      <c r="A152" s="26" t="s">
        <v>1648</v>
      </c>
      <c r="B152" s="34" t="n">
        <v>46094</v>
      </c>
      <c r="C152" s="26" t="s">
        <v>155</v>
      </c>
      <c r="D152" s="27" t="str">
        <f aca="false">VLOOKUP(C152,'Supplier Database'!$A$5:$K$29,2,FALSE())</f>
        <v>Horizon Supplies</v>
      </c>
      <c r="E152" s="26" t="s">
        <v>254</v>
      </c>
      <c r="F152" s="27" t="str">
        <f aca="false">VLOOKUP(E152,'Product Master'!$A$5:$K$104,2,FALSE())</f>
        <v>Smart Personal Item 060</v>
      </c>
      <c r="G152" s="28" t="n">
        <v>82</v>
      </c>
      <c r="H152" s="29" t="n">
        <v>3122.75</v>
      </c>
      <c r="I152" s="29" t="n">
        <f aca="false">G152*H152</f>
        <v>256065.5</v>
      </c>
      <c r="J152" s="34" t="n">
        <v>46099</v>
      </c>
      <c r="K152" s="34" t="n">
        <v>46097</v>
      </c>
      <c r="L152" s="28" t="n">
        <v>82</v>
      </c>
      <c r="M152" s="28" t="n">
        <f aca="false">MAX(0,G152-L152)</f>
        <v>0</v>
      </c>
      <c r="N152" s="26" t="s">
        <v>1500</v>
      </c>
      <c r="O152" s="28" t="n">
        <f aca="false">IF(N152="Cancelled",0,IF(K152&lt;&gt;"",MAX(0,K152-J152),IF(N152="Delayed",MAX(0,'Daily MIS Report'!$B$4-J152),0)))</f>
        <v>0</v>
      </c>
    </row>
    <row r="153" customFormat="false" ht="15" hidden="false" customHeight="false" outlineLevel="0" collapsed="false">
      <c r="A153" s="18" t="s">
        <v>1649</v>
      </c>
      <c r="B153" s="25" t="n">
        <v>45956</v>
      </c>
      <c r="C153" s="18" t="s">
        <v>157</v>
      </c>
      <c r="D153" s="20" t="str">
        <f aca="false">VLOOKUP(C153,'Supplier Database'!$A$5:$K$29,2,FALSE())</f>
        <v>Jupiter Industries</v>
      </c>
      <c r="E153" s="18" t="s">
        <v>244</v>
      </c>
      <c r="F153" s="20" t="str">
        <f aca="false">VLOOKUP(E153,'Product Master'!$A$5:$K$104,2,FALSE())</f>
        <v>Eco Home Item 050</v>
      </c>
      <c r="G153" s="17" t="n">
        <v>462</v>
      </c>
      <c r="H153" s="16" t="n">
        <v>4929.83</v>
      </c>
      <c r="I153" s="16" t="n">
        <f aca="false">G153*H153</f>
        <v>2277581.46</v>
      </c>
      <c r="J153" s="25" t="n">
        <v>45970</v>
      </c>
      <c r="K153" s="25" t="n">
        <v>45969</v>
      </c>
      <c r="L153" s="17" t="n">
        <v>462</v>
      </c>
      <c r="M153" s="17" t="n">
        <f aca="false">MAX(0,G153-L153)</f>
        <v>0</v>
      </c>
      <c r="N153" s="18" t="s">
        <v>1500</v>
      </c>
      <c r="O153" s="17" t="n">
        <f aca="false">IF(N153="Cancelled",0,IF(K153&lt;&gt;"",MAX(0,K153-J153),IF(N153="Delayed",MAX(0,'Daily MIS Report'!$B$4-J153),0)))</f>
        <v>0</v>
      </c>
    </row>
    <row r="154" customFormat="false" ht="15" hidden="false" customHeight="false" outlineLevel="0" collapsed="false">
      <c r="A154" s="26" t="s">
        <v>1650</v>
      </c>
      <c r="B154" s="34" t="n">
        <v>46098</v>
      </c>
      <c r="C154" s="26" t="s">
        <v>166</v>
      </c>
      <c r="D154" s="27" t="str">
        <f aca="false">VLOOKUP(C154,'Supplier Database'!$A$5:$K$29,2,FALSE())</f>
        <v>Summit Logistics</v>
      </c>
      <c r="E154" s="26" t="s">
        <v>287</v>
      </c>
      <c r="F154" s="27" t="str">
        <f aca="false">VLOOKUP(E154,'Product Master'!$A$5:$K$104,2,FALSE())</f>
        <v>Compact Industrial Item 093</v>
      </c>
      <c r="G154" s="28" t="n">
        <v>180</v>
      </c>
      <c r="H154" s="29" t="n">
        <v>4794.41</v>
      </c>
      <c r="I154" s="29" t="n">
        <f aca="false">G154*H154</f>
        <v>862993.8</v>
      </c>
      <c r="J154" s="34" t="n">
        <v>46103</v>
      </c>
      <c r="K154" s="34" t="n">
        <v>46103</v>
      </c>
      <c r="L154" s="28" t="n">
        <v>180</v>
      </c>
      <c r="M154" s="28" t="n">
        <f aca="false">MAX(0,G154-L154)</f>
        <v>0</v>
      </c>
      <c r="N154" s="26" t="s">
        <v>1500</v>
      </c>
      <c r="O154" s="28" t="n">
        <f aca="false">IF(N154="Cancelled",0,IF(K154&lt;&gt;"",MAX(0,K154-J154),IF(N154="Delayed",MAX(0,'Daily MIS Report'!$B$4-J154),0)))</f>
        <v>0</v>
      </c>
    </row>
    <row r="155" customFormat="false" ht="15" hidden="false" customHeight="false" outlineLevel="0" collapsed="false">
      <c r="A155" s="18" t="s">
        <v>1651</v>
      </c>
      <c r="B155" s="25" t="n">
        <v>46302</v>
      </c>
      <c r="C155" s="18" t="s">
        <v>163</v>
      </c>
      <c r="D155" s="20" t="str">
        <f aca="false">VLOOKUP(C155,'Supplier Database'!$A$5:$K$29,2,FALSE())</f>
        <v>Pioneer Distributors</v>
      </c>
      <c r="E155" s="18" t="s">
        <v>234</v>
      </c>
      <c r="F155" s="20" t="str">
        <f aca="false">VLOOKUP(E155,'Product Master'!$A$5:$K$104,2,FALSE())</f>
        <v>Smart Automotive Item 040</v>
      </c>
      <c r="G155" s="17" t="n">
        <v>274</v>
      </c>
      <c r="H155" s="16" t="n">
        <v>3556.46</v>
      </c>
      <c r="I155" s="16" t="n">
        <f aca="false">G155*H155</f>
        <v>974470.04</v>
      </c>
      <c r="J155" s="25" t="n">
        <v>46307</v>
      </c>
      <c r="K155" s="25"/>
      <c r="L155" s="17" t="n">
        <v>8</v>
      </c>
      <c r="M155" s="17" t="n">
        <f aca="false">MAX(0,G155-L155)</f>
        <v>266</v>
      </c>
      <c r="N155" s="18" t="s">
        <v>1514</v>
      </c>
      <c r="O155" s="17" t="n">
        <f aca="false">IF(N155="Cancelled",0,IF(K155&lt;&gt;"",MAX(0,K155-J155),IF(N155="Delayed",MAX(0,'Daily MIS Report'!$B$4-J155),0)))</f>
        <v>7</v>
      </c>
    </row>
    <row r="156" customFormat="false" ht="15" hidden="false" customHeight="false" outlineLevel="0" collapsed="false">
      <c r="A156" s="26" t="s">
        <v>1652</v>
      </c>
      <c r="B156" s="34" t="n">
        <v>46165</v>
      </c>
      <c r="C156" s="26" t="s">
        <v>155</v>
      </c>
      <c r="D156" s="27" t="str">
        <f aca="false">VLOOKUP(C156,'Supplier Database'!$A$5:$K$29,2,FALSE())</f>
        <v>Horizon Supplies</v>
      </c>
      <c r="E156" s="26" t="s">
        <v>222</v>
      </c>
      <c r="F156" s="27" t="str">
        <f aca="false">VLOOKUP(E156,'Product Master'!$A$5:$K$104,2,FALSE())</f>
        <v>Pro Personal Item 028</v>
      </c>
      <c r="G156" s="28" t="n">
        <v>318</v>
      </c>
      <c r="H156" s="29" t="n">
        <v>1757.13</v>
      </c>
      <c r="I156" s="29" t="n">
        <f aca="false">G156*H156</f>
        <v>558767.34</v>
      </c>
      <c r="J156" s="34" t="n">
        <v>46170</v>
      </c>
      <c r="K156" s="34" t="n">
        <v>46174</v>
      </c>
      <c r="L156" s="28" t="n">
        <v>318</v>
      </c>
      <c r="M156" s="28" t="n">
        <f aca="false">MAX(0,G156-L156)</f>
        <v>0</v>
      </c>
      <c r="N156" s="26" t="s">
        <v>1500</v>
      </c>
      <c r="O156" s="28" t="n">
        <f aca="false">IF(N156="Cancelled",0,IF(K156&lt;&gt;"",MAX(0,K156-J156),IF(N156="Delayed",MAX(0,'Daily MIS Report'!$B$4-J156),0)))</f>
        <v>4</v>
      </c>
    </row>
    <row r="157" customFormat="false" ht="15" hidden="false" customHeight="false" outlineLevel="0" collapsed="false">
      <c r="A157" s="18" t="s">
        <v>1653</v>
      </c>
      <c r="B157" s="25" t="n">
        <v>46236</v>
      </c>
      <c r="C157" s="18" t="s">
        <v>168</v>
      </c>
      <c r="D157" s="20" t="str">
        <f aca="false">VLOOKUP(C157,'Supplier Database'!$A$5:$K$29,2,FALSE())</f>
        <v>Unity Partners</v>
      </c>
      <c r="E157" s="18" t="s">
        <v>281</v>
      </c>
      <c r="F157" s="20" t="str">
        <f aca="false">VLOOKUP(E157,'Product Master'!$A$5:$K$104,2,FALSE())</f>
        <v>Compact Apparel Item 087</v>
      </c>
      <c r="G157" s="17" t="n">
        <v>260</v>
      </c>
      <c r="H157" s="16" t="n">
        <v>5260.77</v>
      </c>
      <c r="I157" s="16" t="n">
        <f aca="false">G157*H157</f>
        <v>1367800.2</v>
      </c>
      <c r="J157" s="25" t="n">
        <v>46240</v>
      </c>
      <c r="K157" s="25" t="n">
        <v>46238</v>
      </c>
      <c r="L157" s="17" t="n">
        <v>260</v>
      </c>
      <c r="M157" s="17" t="n">
        <f aca="false">MAX(0,G157-L157)</f>
        <v>0</v>
      </c>
      <c r="N157" s="18" t="s">
        <v>1500</v>
      </c>
      <c r="O157" s="17" t="n">
        <f aca="false">IF(N157="Cancelled",0,IF(K157&lt;&gt;"",MAX(0,K157-J157),IF(N157="Delayed",MAX(0,'Daily MIS Report'!$B$4-J157),0)))</f>
        <v>0</v>
      </c>
    </row>
    <row r="158" customFormat="false" ht="15" hidden="false" customHeight="false" outlineLevel="0" collapsed="false">
      <c r="A158" s="26" t="s">
        <v>1654</v>
      </c>
      <c r="B158" s="34" t="n">
        <v>46151</v>
      </c>
      <c r="C158" s="26" t="s">
        <v>152</v>
      </c>
      <c r="D158" s="27" t="str">
        <f aca="false">VLOOKUP(C158,'Supplier Database'!$A$5:$K$29,2,FALSE())</f>
        <v>Ever Logistics</v>
      </c>
      <c r="E158" s="26" t="s">
        <v>228</v>
      </c>
      <c r="F158" s="27" t="str">
        <f aca="false">VLOOKUP(E158,'Product Master'!$A$5:$K$104,2,FALSE())</f>
        <v>Classic Home Item 034</v>
      </c>
      <c r="G158" s="28" t="n">
        <v>392</v>
      </c>
      <c r="H158" s="29" t="n">
        <v>2156.57</v>
      </c>
      <c r="I158" s="29" t="n">
        <f aca="false">G158*H158</f>
        <v>845375.44</v>
      </c>
      <c r="J158" s="34" t="n">
        <v>46154</v>
      </c>
      <c r="K158" s="34" t="n">
        <v>46151</v>
      </c>
      <c r="L158" s="28" t="n">
        <v>392</v>
      </c>
      <c r="M158" s="28" t="n">
        <f aca="false">MAX(0,G158-L158)</f>
        <v>0</v>
      </c>
      <c r="N158" s="26" t="s">
        <v>1500</v>
      </c>
      <c r="O158" s="28" t="n">
        <f aca="false">IF(N158="Cancelled",0,IF(K158&lt;&gt;"",MAX(0,K158-J158),IF(N158="Delayed",MAX(0,'Daily MIS Report'!$B$4-J158),0)))</f>
        <v>0</v>
      </c>
    </row>
    <row r="159" customFormat="false" ht="15" hidden="false" customHeight="false" outlineLevel="0" collapsed="false">
      <c r="A159" s="18" t="s">
        <v>1655</v>
      </c>
      <c r="B159" s="25" t="n">
        <v>46136</v>
      </c>
      <c r="C159" s="18" t="s">
        <v>149</v>
      </c>
      <c r="D159" s="20" t="str">
        <f aca="false">VLOOKUP(C159,'Supplier Database'!$A$5:$K$29,2,FALSE())</f>
        <v>Bright Distributors</v>
      </c>
      <c r="E159" s="18" t="s">
        <v>267</v>
      </c>
      <c r="F159" s="20" t="str">
        <f aca="false">VLOOKUP(E159,'Product Master'!$A$5:$K$104,2,FALSE())</f>
        <v>Essential Electronics Item 073</v>
      </c>
      <c r="G159" s="17" t="n">
        <v>307</v>
      </c>
      <c r="H159" s="16" t="n">
        <v>5680.86</v>
      </c>
      <c r="I159" s="16" t="n">
        <f aca="false">G159*H159</f>
        <v>1744024.02</v>
      </c>
      <c r="J159" s="25" t="n">
        <v>46144</v>
      </c>
      <c r="K159" s="25" t="n">
        <v>46142</v>
      </c>
      <c r="L159" s="17" t="n">
        <v>307</v>
      </c>
      <c r="M159" s="17" t="n">
        <f aca="false">MAX(0,G159-L159)</f>
        <v>0</v>
      </c>
      <c r="N159" s="18" t="s">
        <v>1500</v>
      </c>
      <c r="O159" s="17" t="n">
        <f aca="false">IF(N159="Cancelled",0,IF(K159&lt;&gt;"",MAX(0,K159-J159),IF(N159="Delayed",MAX(0,'Daily MIS Report'!$B$4-J159),0)))</f>
        <v>0</v>
      </c>
    </row>
    <row r="160" customFormat="false" ht="15" hidden="false" customHeight="false" outlineLevel="0" collapsed="false">
      <c r="A160" s="26" t="s">
        <v>1656</v>
      </c>
      <c r="B160" s="34" t="n">
        <v>46302</v>
      </c>
      <c r="C160" s="26" t="s">
        <v>164</v>
      </c>
      <c r="D160" s="27" t="str">
        <f aca="false">VLOOKUP(C160,'Supplier Database'!$A$5:$K$29,2,FALSE())</f>
        <v>Quantum Industries</v>
      </c>
      <c r="E160" s="26" t="s">
        <v>252</v>
      </c>
      <c r="F160" s="27" t="str">
        <f aca="false">VLOOKUP(E160,'Product Master'!$A$5:$K$104,2,FALSE())</f>
        <v>Pro Home Item 058</v>
      </c>
      <c r="G160" s="28" t="n">
        <v>411</v>
      </c>
      <c r="H160" s="29" t="n">
        <v>3546.96</v>
      </c>
      <c r="I160" s="29" t="n">
        <f aca="false">G160*H160</f>
        <v>1457800.56</v>
      </c>
      <c r="J160" s="34" t="n">
        <v>46308</v>
      </c>
      <c r="K160" s="34"/>
      <c r="L160" s="28" t="n">
        <v>9</v>
      </c>
      <c r="M160" s="28" t="n">
        <f aca="false">MAX(0,G160-L160)</f>
        <v>402</v>
      </c>
      <c r="N160" s="26" t="s">
        <v>1514</v>
      </c>
      <c r="O160" s="28" t="n">
        <f aca="false">IF(N160="Cancelled",0,IF(K160&lt;&gt;"",MAX(0,K160-J160),IF(N160="Delayed",MAX(0,'Daily MIS Report'!$B$4-J160),0)))</f>
        <v>6</v>
      </c>
    </row>
    <row r="161" customFormat="false" ht="15" hidden="false" customHeight="false" outlineLevel="0" collapsed="false">
      <c r="A161" s="18" t="s">
        <v>1657</v>
      </c>
      <c r="B161" s="25" t="n">
        <v>46279</v>
      </c>
      <c r="C161" s="18" t="s">
        <v>167</v>
      </c>
      <c r="D161" s="20" t="str">
        <f aca="false">VLOOKUP(C161,'Supplier Database'!$A$5:$K$29,2,FALSE())</f>
        <v>Trident Wholesale</v>
      </c>
      <c r="E161" s="18" t="s">
        <v>210</v>
      </c>
      <c r="F161" s="20" t="str">
        <f aca="false">VLOOKUP(E161,'Product Master'!$A$5:$K$104,2,FALSE())</f>
        <v>Pro Automotive Item 016</v>
      </c>
      <c r="G161" s="17" t="n">
        <v>85</v>
      </c>
      <c r="H161" s="16" t="n">
        <v>4204.09</v>
      </c>
      <c r="I161" s="16" t="n">
        <f aca="false">G161*H161</f>
        <v>357347.65</v>
      </c>
      <c r="J161" s="25" t="n">
        <v>46291</v>
      </c>
      <c r="K161" s="25" t="n">
        <v>46291</v>
      </c>
      <c r="L161" s="17" t="n">
        <v>85</v>
      </c>
      <c r="M161" s="17" t="n">
        <f aca="false">MAX(0,G161-L161)</f>
        <v>0</v>
      </c>
      <c r="N161" s="18" t="s">
        <v>1500</v>
      </c>
      <c r="O161" s="17" t="n">
        <f aca="false">IF(N161="Cancelled",0,IF(K161&lt;&gt;"",MAX(0,K161-J161),IF(N161="Delayed",MAX(0,'Daily MIS Report'!$B$4-J161),0)))</f>
        <v>0</v>
      </c>
    </row>
    <row r="162" customFormat="false" ht="15" hidden="false" customHeight="false" outlineLevel="0" collapsed="false">
      <c r="A162" s="26" t="s">
        <v>1658</v>
      </c>
      <c r="B162" s="34" t="n">
        <v>46216</v>
      </c>
      <c r="C162" s="26" t="s">
        <v>159</v>
      </c>
      <c r="D162" s="27" t="str">
        <f aca="false">VLOOKUP(C162,'Supplier Database'!$A$5:$K$29,2,FALSE())</f>
        <v>Lotus Logistics</v>
      </c>
      <c r="E162" s="26" t="s">
        <v>291</v>
      </c>
      <c r="F162" s="27" t="str">
        <f aca="false">VLOOKUP(E162,'Product Master'!$A$5:$K$104,2,FALSE())</f>
        <v>Smart Electronics Item 097</v>
      </c>
      <c r="G162" s="28" t="n">
        <v>93</v>
      </c>
      <c r="H162" s="29" t="n">
        <v>1135.4</v>
      </c>
      <c r="I162" s="29" t="n">
        <f aca="false">G162*H162</f>
        <v>105592.2</v>
      </c>
      <c r="J162" s="34" t="n">
        <v>46226</v>
      </c>
      <c r="K162" s="34" t="n">
        <v>46226</v>
      </c>
      <c r="L162" s="28" t="n">
        <v>93</v>
      </c>
      <c r="M162" s="28" t="n">
        <f aca="false">MAX(0,G162-L162)</f>
        <v>0</v>
      </c>
      <c r="N162" s="26" t="s">
        <v>1500</v>
      </c>
      <c r="O162" s="28" t="n">
        <f aca="false">IF(N162="Cancelled",0,IF(K162&lt;&gt;"",MAX(0,K162-J162),IF(N162="Delayed",MAX(0,'Daily MIS Report'!$B$4-J162),0)))</f>
        <v>0</v>
      </c>
    </row>
    <row r="163" customFormat="false" ht="15" hidden="false" customHeight="false" outlineLevel="0" collapsed="false">
      <c r="A163" s="18" t="s">
        <v>1659</v>
      </c>
      <c r="B163" s="25" t="n">
        <v>46302</v>
      </c>
      <c r="C163" s="18" t="s">
        <v>149</v>
      </c>
      <c r="D163" s="20" t="str">
        <f aca="false">VLOOKUP(C163,'Supplier Database'!$A$5:$K$29,2,FALSE())</f>
        <v>Bright Distributors</v>
      </c>
      <c r="E163" s="18" t="s">
        <v>199</v>
      </c>
      <c r="F163" s="20" t="str">
        <f aca="false">VLOOKUP(E163,'Product Master'!$A$5:$K$104,2,FALSE())</f>
        <v>Everyday Industrial Item 005</v>
      </c>
      <c r="G163" s="17" t="n">
        <v>90</v>
      </c>
      <c r="H163" s="16" t="n">
        <v>1013.37</v>
      </c>
      <c r="I163" s="16" t="n">
        <f aca="false">G163*H163</f>
        <v>91203.3</v>
      </c>
      <c r="J163" s="25" t="n">
        <v>46311</v>
      </c>
      <c r="K163" s="25"/>
      <c r="L163" s="17" t="n">
        <v>8</v>
      </c>
      <c r="M163" s="17" t="n">
        <f aca="false">MAX(0,G163-L163)</f>
        <v>82</v>
      </c>
      <c r="N163" s="18" t="s">
        <v>1514</v>
      </c>
      <c r="O163" s="17" t="n">
        <f aca="false">IF(N163="Cancelled",0,IF(K163&lt;&gt;"",MAX(0,K163-J163),IF(N163="Delayed",MAX(0,'Daily MIS Report'!$B$4-J163),0)))</f>
        <v>3</v>
      </c>
    </row>
    <row r="164" customFormat="false" ht="15" hidden="false" customHeight="false" outlineLevel="0" collapsed="false">
      <c r="A164" s="26" t="s">
        <v>1660</v>
      </c>
      <c r="B164" s="34" t="n">
        <v>46164</v>
      </c>
      <c r="C164" s="26" t="s">
        <v>152</v>
      </c>
      <c r="D164" s="27" t="str">
        <f aca="false">VLOOKUP(C164,'Supplier Database'!$A$5:$K$29,2,FALSE())</f>
        <v>Ever Logistics</v>
      </c>
      <c r="E164" s="26" t="s">
        <v>272</v>
      </c>
      <c r="F164" s="27" t="str">
        <f aca="false">VLOOKUP(E164,'Product Master'!$A$5:$K$104,2,FALSE())</f>
        <v>Smart Packaging Item 078</v>
      </c>
      <c r="G164" s="28" t="n">
        <v>477</v>
      </c>
      <c r="H164" s="29" t="n">
        <v>454.87</v>
      </c>
      <c r="I164" s="29" t="n">
        <f aca="false">G164*H164</f>
        <v>216972.99</v>
      </c>
      <c r="J164" s="34" t="n">
        <v>46167</v>
      </c>
      <c r="K164" s="34" t="n">
        <v>46168</v>
      </c>
      <c r="L164" s="28" t="n">
        <v>477</v>
      </c>
      <c r="M164" s="28" t="n">
        <f aca="false">MAX(0,G164-L164)</f>
        <v>0</v>
      </c>
      <c r="N164" s="26" t="s">
        <v>1500</v>
      </c>
      <c r="O164" s="28" t="n">
        <f aca="false">IF(N164="Cancelled",0,IF(K164&lt;&gt;"",MAX(0,K164-J164),IF(N164="Delayed",MAX(0,'Daily MIS Report'!$B$4-J164),0)))</f>
        <v>1</v>
      </c>
    </row>
    <row r="165" customFormat="false" ht="15" hidden="false" customHeight="false" outlineLevel="0" collapsed="false">
      <c r="A165" s="18" t="s">
        <v>1661</v>
      </c>
      <c r="B165" s="25" t="n">
        <v>46014</v>
      </c>
      <c r="C165" s="18" t="s">
        <v>160</v>
      </c>
      <c r="D165" s="20" t="str">
        <f aca="false">VLOOKUP(C165,'Supplier Database'!$A$5:$K$29,2,FALSE())</f>
        <v>Meridian Wholesale</v>
      </c>
      <c r="E165" s="18" t="s">
        <v>273</v>
      </c>
      <c r="F165" s="20" t="str">
        <f aca="false">VLOOKUP(E165,'Product Master'!$A$5:$K$104,2,FALSE())</f>
        <v>Essential Apparel Item 079</v>
      </c>
      <c r="G165" s="17" t="n">
        <v>398</v>
      </c>
      <c r="H165" s="16" t="n">
        <v>8517.15</v>
      </c>
      <c r="I165" s="16" t="n">
        <f aca="false">G165*H165</f>
        <v>3389825.7</v>
      </c>
      <c r="J165" s="25" t="n">
        <v>46016</v>
      </c>
      <c r="K165" s="25" t="n">
        <v>46019</v>
      </c>
      <c r="L165" s="17" t="n">
        <v>261</v>
      </c>
      <c r="M165" s="17" t="n">
        <f aca="false">MAX(0,G165-L165)</f>
        <v>137</v>
      </c>
      <c r="N165" s="18" t="s">
        <v>1503</v>
      </c>
      <c r="O165" s="17" t="n">
        <f aca="false">IF(N165="Cancelled",0,IF(K165&lt;&gt;"",MAX(0,K165-J165),IF(N165="Delayed",MAX(0,'Daily MIS Report'!$B$4-J165),0)))</f>
        <v>3</v>
      </c>
    </row>
    <row r="166" customFormat="false" ht="15" hidden="false" customHeight="false" outlineLevel="0" collapsed="false">
      <c r="A166" s="26" t="s">
        <v>1662</v>
      </c>
      <c r="B166" s="34" t="n">
        <v>46302</v>
      </c>
      <c r="C166" s="26" t="s">
        <v>163</v>
      </c>
      <c r="D166" s="27" t="str">
        <f aca="false">VLOOKUP(C166,'Supplier Database'!$A$5:$K$29,2,FALSE())</f>
        <v>Pioneer Distributors</v>
      </c>
      <c r="E166" s="26" t="s">
        <v>285</v>
      </c>
      <c r="F166" s="27" t="str">
        <f aca="false">VLOOKUP(E166,'Product Master'!$A$5:$K$104,2,FALSE())</f>
        <v>Premium Office Item 091</v>
      </c>
      <c r="G166" s="28" t="n">
        <v>308</v>
      </c>
      <c r="H166" s="29" t="n">
        <v>4273.85</v>
      </c>
      <c r="I166" s="29" t="n">
        <f aca="false">G166*H166</f>
        <v>1316345.8</v>
      </c>
      <c r="J166" s="34" t="n">
        <v>46308</v>
      </c>
      <c r="K166" s="34"/>
      <c r="L166" s="28" t="n">
        <v>5</v>
      </c>
      <c r="M166" s="28" t="n">
        <f aca="false">MAX(0,G166-L166)</f>
        <v>303</v>
      </c>
      <c r="N166" s="26" t="s">
        <v>1514</v>
      </c>
      <c r="O166" s="28" t="n">
        <f aca="false">IF(N166="Cancelled",0,IF(K166&lt;&gt;"",MAX(0,K166-J166),IF(N166="Delayed",MAX(0,'Daily MIS Report'!$B$4-J166),0)))</f>
        <v>6</v>
      </c>
    </row>
    <row r="167" customFormat="false" ht="15" hidden="false" customHeight="false" outlineLevel="0" collapsed="false">
      <c r="A167" s="18" t="s">
        <v>1663</v>
      </c>
      <c r="B167" s="25" t="n">
        <v>46100</v>
      </c>
      <c r="C167" s="18" t="s">
        <v>169</v>
      </c>
      <c r="D167" s="20" t="str">
        <f aca="false">VLOOKUP(C167,'Supplier Database'!$A$5:$K$29,2,FALSE())</f>
        <v>Vertex Supplies</v>
      </c>
      <c r="E167" s="18" t="s">
        <v>209</v>
      </c>
      <c r="F167" s="20" t="str">
        <f aca="false">VLOOKUP(E167,'Product Master'!$A$5:$K$104,2,FALSE())</f>
        <v>Classic Apparel Item 015</v>
      </c>
      <c r="G167" s="17" t="n">
        <v>233</v>
      </c>
      <c r="H167" s="16" t="n">
        <v>1036.14</v>
      </c>
      <c r="I167" s="16" t="n">
        <f aca="false">G167*H167</f>
        <v>241420.62</v>
      </c>
      <c r="J167" s="25" t="n">
        <v>46104</v>
      </c>
      <c r="K167" s="25"/>
      <c r="L167" s="17" t="n">
        <v>0</v>
      </c>
      <c r="M167" s="17" t="n">
        <f aca="false">MAX(0,G167-L167)</f>
        <v>233</v>
      </c>
      <c r="N167" s="18" t="s">
        <v>37</v>
      </c>
      <c r="O167" s="17" t="n">
        <f aca="false">IF(N167="Cancelled",0,IF(K167&lt;&gt;"",MAX(0,K167-J167),IF(N167="Delayed",MAX(0,'Daily MIS Report'!$B$4-J167),0)))</f>
        <v>0</v>
      </c>
    </row>
    <row r="168" customFormat="false" ht="15" hidden="false" customHeight="false" outlineLevel="0" collapsed="false">
      <c r="A168" s="26" t="s">
        <v>1664</v>
      </c>
      <c r="B168" s="34" t="n">
        <v>46302</v>
      </c>
      <c r="C168" s="26" t="s">
        <v>170</v>
      </c>
      <c r="D168" s="27" t="str">
        <f aca="false">VLOOKUP(C168,'Supplier Database'!$A$5:$K$29,2,FALSE())</f>
        <v>Westline Distributors</v>
      </c>
      <c r="E168" s="26" t="s">
        <v>275</v>
      </c>
      <c r="F168" s="27" t="str">
        <f aca="false">VLOOKUP(E168,'Product Master'!$A$5:$K$104,2,FALSE())</f>
        <v>Premium Electronics Item 081</v>
      </c>
      <c r="G168" s="28" t="n">
        <v>33</v>
      </c>
      <c r="H168" s="29" t="n">
        <v>3816.59</v>
      </c>
      <c r="I168" s="29" t="n">
        <f aca="false">G168*H168</f>
        <v>125947.47</v>
      </c>
      <c r="J168" s="34" t="n">
        <v>46312</v>
      </c>
      <c r="K168" s="34" t="n">
        <v>46312</v>
      </c>
      <c r="L168" s="28" t="n">
        <v>33</v>
      </c>
      <c r="M168" s="28" t="n">
        <f aca="false">MAX(0,G168-L168)</f>
        <v>0</v>
      </c>
      <c r="N168" s="26" t="s">
        <v>1500</v>
      </c>
      <c r="O168" s="28" t="n">
        <f aca="false">IF(N168="Cancelled",0,IF(K168&lt;&gt;"",MAX(0,K168-J168),IF(N168="Delayed",MAX(0,'Daily MIS Report'!$B$4-J168),0)))</f>
        <v>0</v>
      </c>
    </row>
    <row r="169" customFormat="false" ht="15" hidden="false" customHeight="false" outlineLevel="0" collapsed="false">
      <c r="A169" s="18" t="s">
        <v>1665</v>
      </c>
      <c r="B169" s="25" t="n">
        <v>46300</v>
      </c>
      <c r="C169" s="18" t="s">
        <v>149</v>
      </c>
      <c r="D169" s="20" t="str">
        <f aca="false">VLOOKUP(C169,'Supplier Database'!$A$5:$K$29,2,FALSE())</f>
        <v>Bright Distributors</v>
      </c>
      <c r="E169" s="18" t="s">
        <v>269</v>
      </c>
      <c r="F169" s="20" t="str">
        <f aca="false">VLOOKUP(E169,'Product Master'!$A$5:$K$104,2,FALSE())</f>
        <v>Everyday Office Item 075</v>
      </c>
      <c r="G169" s="17" t="n">
        <v>265</v>
      </c>
      <c r="H169" s="16" t="n">
        <v>4498.25</v>
      </c>
      <c r="I169" s="16" t="n">
        <f aca="false">G169*H169</f>
        <v>1192036.25</v>
      </c>
      <c r="J169" s="25" t="n">
        <v>46308</v>
      </c>
      <c r="K169" s="25" t="n">
        <v>46311</v>
      </c>
      <c r="L169" s="17" t="n">
        <v>195</v>
      </c>
      <c r="M169" s="17" t="n">
        <f aca="false">MAX(0,G169-L169)</f>
        <v>70</v>
      </c>
      <c r="N169" s="18" t="s">
        <v>1503</v>
      </c>
      <c r="O169" s="17" t="n">
        <f aca="false">IF(N169="Cancelled",0,IF(K169&lt;&gt;"",MAX(0,K169-J169),IF(N169="Delayed",MAX(0,'Daily MIS Report'!$B$4-J169),0)))</f>
        <v>3</v>
      </c>
    </row>
    <row r="170" customFormat="false" ht="15" hidden="false" customHeight="false" outlineLevel="0" collapsed="false">
      <c r="A170" s="26" t="s">
        <v>1666</v>
      </c>
      <c r="B170" s="34" t="n">
        <v>46006</v>
      </c>
      <c r="C170" s="26" t="s">
        <v>169</v>
      </c>
      <c r="D170" s="27" t="str">
        <f aca="false">VLOOKUP(C170,'Supplier Database'!$A$5:$K$29,2,FALSE())</f>
        <v>Vertex Supplies</v>
      </c>
      <c r="E170" s="26" t="s">
        <v>226</v>
      </c>
      <c r="F170" s="27" t="str">
        <f aca="false">VLOOKUP(E170,'Product Master'!$A$5:$K$104,2,FALSE())</f>
        <v>Smart Automotive Item 032</v>
      </c>
      <c r="G170" s="28" t="n">
        <v>36</v>
      </c>
      <c r="H170" s="29" t="n">
        <v>6895.4</v>
      </c>
      <c r="I170" s="29" t="n">
        <f aca="false">G170*H170</f>
        <v>248234.4</v>
      </c>
      <c r="J170" s="34" t="n">
        <v>46010</v>
      </c>
      <c r="K170" s="34"/>
      <c r="L170" s="28" t="n">
        <v>0</v>
      </c>
      <c r="M170" s="28" t="n">
        <f aca="false">MAX(0,G170-L170)</f>
        <v>36</v>
      </c>
      <c r="N170" s="26" t="s">
        <v>37</v>
      </c>
      <c r="O170" s="28" t="n">
        <f aca="false">IF(N170="Cancelled",0,IF(K170&lt;&gt;"",MAX(0,K170-J170),IF(N170="Delayed",MAX(0,'Daily MIS Report'!$B$4-J170),0)))</f>
        <v>0</v>
      </c>
    </row>
    <row r="171" customFormat="false" ht="15" hidden="false" customHeight="false" outlineLevel="0" collapsed="false">
      <c r="A171" s="18" t="s">
        <v>1667</v>
      </c>
      <c r="B171" s="25" t="n">
        <v>46028</v>
      </c>
      <c r="C171" s="18" t="s">
        <v>148</v>
      </c>
      <c r="D171" s="20" t="str">
        <f aca="false">VLOOKUP(C171,'Supplier Database'!$A$5:$K$29,2,FALSE())</f>
        <v>Apex Supplies</v>
      </c>
      <c r="E171" s="18" t="s">
        <v>251</v>
      </c>
      <c r="F171" s="20" t="str">
        <f aca="false">VLOOKUP(E171,'Product Master'!$A$5:$K$104,2,FALSE())</f>
        <v>Essential Electronics Item 057</v>
      </c>
      <c r="G171" s="17" t="n">
        <v>180</v>
      </c>
      <c r="H171" s="16" t="n">
        <v>5065.92</v>
      </c>
      <c r="I171" s="16" t="n">
        <f aca="false">G171*H171</f>
        <v>911865.6</v>
      </c>
      <c r="J171" s="25" t="n">
        <v>46031</v>
      </c>
      <c r="K171" s="25" t="n">
        <v>46031</v>
      </c>
      <c r="L171" s="17" t="n">
        <v>180</v>
      </c>
      <c r="M171" s="17" t="n">
        <f aca="false">MAX(0,G171-L171)</f>
        <v>0</v>
      </c>
      <c r="N171" s="18" t="s">
        <v>1500</v>
      </c>
      <c r="O171" s="17" t="n">
        <f aca="false">IF(N171="Cancelled",0,IF(K171&lt;&gt;"",MAX(0,K171-J171),IF(N171="Delayed",MAX(0,'Daily MIS Report'!$B$4-J171),0)))</f>
        <v>0</v>
      </c>
    </row>
    <row r="172" customFormat="false" ht="15" hidden="false" customHeight="false" outlineLevel="0" collapsed="false">
      <c r="A172" s="26" t="s">
        <v>1668</v>
      </c>
      <c r="B172" s="34" t="n">
        <v>46302</v>
      </c>
      <c r="C172" s="26" t="s">
        <v>164</v>
      </c>
      <c r="D172" s="27" t="str">
        <f aca="false">VLOOKUP(C172,'Supplier Database'!$A$5:$K$29,2,FALSE())</f>
        <v>Quantum Industries</v>
      </c>
      <c r="E172" s="26" t="s">
        <v>294</v>
      </c>
      <c r="F172" s="27" t="str">
        <f aca="false">VLOOKUP(E172,'Product Master'!$A$5:$K$104,2,FALSE())</f>
        <v>Smart Personal Item 100</v>
      </c>
      <c r="G172" s="28" t="n">
        <v>333</v>
      </c>
      <c r="H172" s="29" t="n">
        <v>7690.74</v>
      </c>
      <c r="I172" s="29" t="n">
        <f aca="false">G172*H172</f>
        <v>2561016.42</v>
      </c>
      <c r="J172" s="34" t="n">
        <v>46308</v>
      </c>
      <c r="K172" s="34"/>
      <c r="L172" s="28" t="n">
        <v>0</v>
      </c>
      <c r="M172" s="28" t="n">
        <f aca="false">MAX(0,G172-L172)</f>
        <v>333</v>
      </c>
      <c r="N172" s="26" t="s">
        <v>1514</v>
      </c>
      <c r="O172" s="28" t="n">
        <f aca="false">IF(N172="Cancelled",0,IF(K172&lt;&gt;"",MAX(0,K172-J172),IF(N172="Delayed",MAX(0,'Daily MIS Report'!$B$4-J172),0)))</f>
        <v>6</v>
      </c>
    </row>
    <row r="173" customFormat="false" ht="15" hidden="false" customHeight="false" outlineLevel="0" collapsed="false">
      <c r="A173" s="18" t="s">
        <v>1669</v>
      </c>
      <c r="B173" s="25" t="n">
        <v>46292</v>
      </c>
      <c r="C173" s="18" t="s">
        <v>152</v>
      </c>
      <c r="D173" s="20" t="str">
        <f aca="false">VLOOKUP(C173,'Supplier Database'!$A$5:$K$29,2,FALSE())</f>
        <v>Ever Logistics</v>
      </c>
      <c r="E173" s="18" t="s">
        <v>261</v>
      </c>
      <c r="F173" s="20" t="str">
        <f aca="false">VLOOKUP(E173,'Product Master'!$A$5:$K$104,2,FALSE())</f>
        <v>Premium Office Item 067</v>
      </c>
      <c r="G173" s="17" t="n">
        <v>126</v>
      </c>
      <c r="H173" s="16" t="n">
        <v>2252.11</v>
      </c>
      <c r="I173" s="16" t="n">
        <f aca="false">G173*H173</f>
        <v>283765.86</v>
      </c>
      <c r="J173" s="25" t="n">
        <v>46295</v>
      </c>
      <c r="K173" s="25"/>
      <c r="L173" s="17" t="n">
        <v>0</v>
      </c>
      <c r="M173" s="17" t="n">
        <f aca="false">MAX(0,G173-L173)</f>
        <v>126</v>
      </c>
      <c r="N173" s="18" t="s">
        <v>43</v>
      </c>
      <c r="O173" s="17" t="n">
        <f aca="false">IF(N173="Cancelled",0,IF(K173&lt;&gt;"",MAX(0,K173-J173),IF(N173="Delayed",MAX(0,'Daily MIS Report'!$B$4-J173),0)))</f>
        <v>0</v>
      </c>
    </row>
    <row r="174" customFormat="false" ht="15" hidden="false" customHeight="false" outlineLevel="0" collapsed="false">
      <c r="A174" s="26" t="s">
        <v>1670</v>
      </c>
      <c r="B174" s="34" t="n">
        <v>46175</v>
      </c>
      <c r="C174" s="26" t="s">
        <v>164</v>
      </c>
      <c r="D174" s="27" t="str">
        <f aca="false">VLOOKUP(C174,'Supplier Database'!$A$5:$K$29,2,FALSE())</f>
        <v>Quantum Industries</v>
      </c>
      <c r="E174" s="26" t="s">
        <v>243</v>
      </c>
      <c r="F174" s="27" t="str">
        <f aca="false">VLOOKUP(E174,'Product Master'!$A$5:$K$104,2,FALSE())</f>
        <v>Premium Electronics Item 049</v>
      </c>
      <c r="G174" s="28" t="n">
        <v>180</v>
      </c>
      <c r="H174" s="29" t="n">
        <v>6231.09</v>
      </c>
      <c r="I174" s="29" t="n">
        <f aca="false">G174*H174</f>
        <v>1121596.2</v>
      </c>
      <c r="J174" s="34" t="n">
        <v>46180</v>
      </c>
      <c r="K174" s="34" t="n">
        <v>46180</v>
      </c>
      <c r="L174" s="28" t="n">
        <v>180</v>
      </c>
      <c r="M174" s="28" t="n">
        <f aca="false">MAX(0,G174-L174)</f>
        <v>0</v>
      </c>
      <c r="N174" s="26" t="s">
        <v>1500</v>
      </c>
      <c r="O174" s="28" t="n">
        <f aca="false">IF(N174="Cancelled",0,IF(K174&lt;&gt;"",MAX(0,K174-J174),IF(N174="Delayed",MAX(0,'Daily MIS Report'!$B$4-J174),0)))</f>
        <v>0</v>
      </c>
    </row>
    <row r="175" customFormat="false" ht="15" hidden="false" customHeight="false" outlineLevel="0" collapsed="false">
      <c r="A175" s="18" t="s">
        <v>1671</v>
      </c>
      <c r="B175" s="25" t="n">
        <v>46106</v>
      </c>
      <c r="C175" s="18" t="s">
        <v>165</v>
      </c>
      <c r="D175" s="20" t="str">
        <f aca="false">VLOOKUP(C175,'Supplier Database'!$A$5:$K$29,2,FALSE())</f>
        <v>Riverstone Trading Co.</v>
      </c>
      <c r="E175" s="18" t="s">
        <v>240</v>
      </c>
      <c r="F175" s="20" t="str">
        <f aca="false">VLOOKUP(E175,'Product Master'!$A$5:$K$104,2,FALSE())</f>
        <v>Classic Packaging Item 046</v>
      </c>
      <c r="G175" s="17" t="n">
        <v>366</v>
      </c>
      <c r="H175" s="16" t="n">
        <v>5500.65</v>
      </c>
      <c r="I175" s="16" t="n">
        <f aca="false">G175*H175</f>
        <v>2013237.9</v>
      </c>
      <c r="J175" s="25" t="n">
        <v>46118</v>
      </c>
      <c r="K175" s="25"/>
      <c r="L175" s="17" t="n">
        <v>0</v>
      </c>
      <c r="M175" s="17" t="n">
        <f aca="false">MAX(0,G175-L175)</f>
        <v>366</v>
      </c>
      <c r="N175" s="18" t="s">
        <v>37</v>
      </c>
      <c r="O175" s="17" t="n">
        <f aca="false">IF(N175="Cancelled",0,IF(K175&lt;&gt;"",MAX(0,K175-J175),IF(N175="Delayed",MAX(0,'Daily MIS Report'!$B$4-J175),0)))</f>
        <v>0</v>
      </c>
    </row>
    <row r="176" customFormat="false" ht="15" hidden="false" customHeight="false" outlineLevel="0" collapsed="false">
      <c r="A176" s="26" t="s">
        <v>1672</v>
      </c>
      <c r="B176" s="34" t="n">
        <v>46302</v>
      </c>
      <c r="C176" s="26" t="s">
        <v>170</v>
      </c>
      <c r="D176" s="27" t="str">
        <f aca="false">VLOOKUP(C176,'Supplier Database'!$A$5:$K$29,2,FALSE())</f>
        <v>Westline Distributors</v>
      </c>
      <c r="E176" s="26" t="s">
        <v>228</v>
      </c>
      <c r="F176" s="27" t="str">
        <f aca="false">VLOOKUP(E176,'Product Master'!$A$5:$K$104,2,FALSE())</f>
        <v>Classic Home Item 034</v>
      </c>
      <c r="G176" s="28" t="n">
        <v>332</v>
      </c>
      <c r="H176" s="29" t="n">
        <v>2187.71</v>
      </c>
      <c r="I176" s="29" t="n">
        <f aca="false">G176*H176</f>
        <v>726319.72</v>
      </c>
      <c r="J176" s="34" t="n">
        <v>46310</v>
      </c>
      <c r="K176" s="34"/>
      <c r="L176" s="28" t="n">
        <v>4</v>
      </c>
      <c r="M176" s="28" t="n">
        <f aca="false">MAX(0,G176-L176)</f>
        <v>328</v>
      </c>
      <c r="N176" s="26" t="s">
        <v>1514</v>
      </c>
      <c r="O176" s="28" t="n">
        <f aca="false">IF(N176="Cancelled",0,IF(K176&lt;&gt;"",MAX(0,K176-J176),IF(N176="Delayed",MAX(0,'Daily MIS Report'!$B$4-J176),0)))</f>
        <v>4</v>
      </c>
    </row>
    <row r="177" customFormat="false" ht="15" hidden="false" customHeight="false" outlineLevel="0" collapsed="false">
      <c r="A177" s="18" t="s">
        <v>1673</v>
      </c>
      <c r="B177" s="25" t="n">
        <v>46216</v>
      </c>
      <c r="C177" s="18" t="s">
        <v>157</v>
      </c>
      <c r="D177" s="20" t="str">
        <f aca="false">VLOOKUP(C177,'Supplier Database'!$A$5:$K$29,2,FALSE())</f>
        <v>Jupiter Industries</v>
      </c>
      <c r="E177" s="18" t="s">
        <v>223</v>
      </c>
      <c r="F177" s="20" t="str">
        <f aca="false">VLOOKUP(E177,'Product Master'!$A$5:$K$104,2,FALSE())</f>
        <v>Eco Industrial Item 029</v>
      </c>
      <c r="G177" s="17" t="n">
        <v>172</v>
      </c>
      <c r="H177" s="16" t="n">
        <v>7791.38</v>
      </c>
      <c r="I177" s="16" t="n">
        <f aca="false">G177*H177</f>
        <v>1340117.36</v>
      </c>
      <c r="J177" s="25" t="n">
        <v>46230</v>
      </c>
      <c r="K177" s="25"/>
      <c r="L177" s="17" t="n">
        <v>0</v>
      </c>
      <c r="M177" s="17" t="n">
        <f aca="false">MAX(0,G177-L177)</f>
        <v>172</v>
      </c>
      <c r="N177" s="18" t="s">
        <v>37</v>
      </c>
      <c r="O177" s="17" t="n">
        <f aca="false">IF(N177="Cancelled",0,IF(K177&lt;&gt;"",MAX(0,K177-J177),IF(N177="Delayed",MAX(0,'Daily MIS Report'!$B$4-J177),0)))</f>
        <v>0</v>
      </c>
    </row>
    <row r="178" customFormat="false" ht="15" hidden="false" customHeight="false" outlineLevel="0" collapsed="false">
      <c r="A178" s="26" t="s">
        <v>1674</v>
      </c>
      <c r="B178" s="34" t="n">
        <v>46284</v>
      </c>
      <c r="C178" s="26" t="s">
        <v>170</v>
      </c>
      <c r="D178" s="27" t="str">
        <f aca="false">VLOOKUP(C178,'Supplier Database'!$A$5:$K$29,2,FALSE())</f>
        <v>Westline Distributors</v>
      </c>
      <c r="E178" s="26" t="s">
        <v>257</v>
      </c>
      <c r="F178" s="27" t="str">
        <f aca="false">VLOOKUP(E178,'Product Master'!$A$5:$K$104,2,FALSE())</f>
        <v>Everyday Apparel Item 063</v>
      </c>
      <c r="G178" s="28" t="n">
        <v>182</v>
      </c>
      <c r="H178" s="29" t="n">
        <v>2431.16</v>
      </c>
      <c r="I178" s="29" t="n">
        <f aca="false">G178*H178</f>
        <v>442471.12</v>
      </c>
      <c r="J178" s="34" t="n">
        <v>46294</v>
      </c>
      <c r="K178" s="34" t="n">
        <v>46299</v>
      </c>
      <c r="L178" s="28" t="n">
        <v>71</v>
      </c>
      <c r="M178" s="28" t="n">
        <f aca="false">MAX(0,G178-L178)</f>
        <v>111</v>
      </c>
      <c r="N178" s="26" t="s">
        <v>1503</v>
      </c>
      <c r="O178" s="28" t="n">
        <f aca="false">IF(N178="Cancelled",0,IF(K178&lt;&gt;"",MAX(0,K178-J178),IF(N178="Delayed",MAX(0,'Daily MIS Report'!$B$4-J178),0)))</f>
        <v>5</v>
      </c>
    </row>
    <row r="179" customFormat="false" ht="15" hidden="false" customHeight="false" outlineLevel="0" collapsed="false">
      <c r="A179" s="18" t="s">
        <v>1675</v>
      </c>
      <c r="B179" s="25" t="n">
        <v>46302</v>
      </c>
      <c r="C179" s="18" t="s">
        <v>151</v>
      </c>
      <c r="D179" s="20" t="str">
        <f aca="false">VLOOKUP(C179,'Supplier Database'!$A$5:$K$29,2,FALSE())</f>
        <v>Delta Trading Co.</v>
      </c>
      <c r="E179" s="18" t="s">
        <v>268</v>
      </c>
      <c r="F179" s="20" t="str">
        <f aca="false">VLOOKUP(E179,'Product Master'!$A$5:$K$104,2,FALSE())</f>
        <v>Pro Home Item 074</v>
      </c>
      <c r="G179" s="17" t="n">
        <v>366</v>
      </c>
      <c r="H179" s="16" t="n">
        <v>6042.19</v>
      </c>
      <c r="I179" s="16" t="n">
        <f aca="false">G179*H179</f>
        <v>2211441.54</v>
      </c>
      <c r="J179" s="25" t="n">
        <v>46307</v>
      </c>
      <c r="K179" s="25"/>
      <c r="L179" s="17" t="n">
        <v>6</v>
      </c>
      <c r="M179" s="17" t="n">
        <f aca="false">MAX(0,G179-L179)</f>
        <v>360</v>
      </c>
      <c r="N179" s="18" t="s">
        <v>1514</v>
      </c>
      <c r="O179" s="17" t="n">
        <f aca="false">IF(N179="Cancelled",0,IF(K179&lt;&gt;"",MAX(0,K179-J179),IF(N179="Delayed",MAX(0,'Daily MIS Report'!$B$4-J179),0)))</f>
        <v>7</v>
      </c>
    </row>
    <row r="180" customFormat="false" ht="15" hidden="false" customHeight="false" outlineLevel="0" collapsed="false">
      <c r="A180" s="26" t="s">
        <v>1676</v>
      </c>
      <c r="B180" s="34" t="n">
        <v>46302</v>
      </c>
      <c r="C180" s="26" t="s">
        <v>172</v>
      </c>
      <c r="D180" s="27" t="str">
        <f aca="false">VLOOKUP(C180,'Supplier Database'!$A$5:$K$29,2,FALSE())</f>
        <v>Zenith Trading Co.</v>
      </c>
      <c r="E180" s="26" t="s">
        <v>213</v>
      </c>
      <c r="F180" s="27" t="str">
        <f aca="false">VLOOKUP(E180,'Product Master'!$A$5:$K$104,2,FALSE())</f>
        <v>Everyday Office Item 019</v>
      </c>
      <c r="G180" s="28" t="n">
        <v>168</v>
      </c>
      <c r="H180" s="29" t="n">
        <v>2182.1</v>
      </c>
      <c r="I180" s="29" t="n">
        <f aca="false">G180*H180</f>
        <v>366592.8</v>
      </c>
      <c r="J180" s="34" t="n">
        <v>46312</v>
      </c>
      <c r="K180" s="34"/>
      <c r="L180" s="28" t="n">
        <v>1</v>
      </c>
      <c r="M180" s="28" t="n">
        <f aca="false">MAX(0,G180-L180)</f>
        <v>167</v>
      </c>
      <c r="N180" s="26" t="s">
        <v>1514</v>
      </c>
      <c r="O180" s="28" t="n">
        <f aca="false">IF(N180="Cancelled",0,IF(K180&lt;&gt;"",MAX(0,K180-J180),IF(N180="Delayed",MAX(0,'Daily MIS Report'!$B$4-J180),0)))</f>
        <v>2</v>
      </c>
    </row>
    <row r="181" customFormat="false" ht="15" hidden="false" customHeight="false" outlineLevel="0" collapsed="false">
      <c r="A181" s="18" t="s">
        <v>1677</v>
      </c>
      <c r="B181" s="25" t="n">
        <v>46108</v>
      </c>
      <c r="C181" s="18" t="s">
        <v>162</v>
      </c>
      <c r="D181" s="20" t="str">
        <f aca="false">VLOOKUP(C181,'Supplier Database'!$A$5:$K$29,2,FALSE())</f>
        <v>Orbit Supplies</v>
      </c>
      <c r="E181" s="18" t="s">
        <v>278</v>
      </c>
      <c r="F181" s="20" t="str">
        <f aca="false">VLOOKUP(E181,'Product Master'!$A$5:$K$104,2,FALSE())</f>
        <v>Eco Personal Item 084</v>
      </c>
      <c r="G181" s="17" t="n">
        <v>151</v>
      </c>
      <c r="H181" s="16" t="n">
        <v>2913</v>
      </c>
      <c r="I181" s="16" t="n">
        <f aca="false">G181*H181</f>
        <v>439863</v>
      </c>
      <c r="J181" s="25" t="n">
        <v>46122</v>
      </c>
      <c r="K181" s="25" t="n">
        <v>46129</v>
      </c>
      <c r="L181" s="17" t="n">
        <v>151</v>
      </c>
      <c r="M181" s="17" t="n">
        <f aca="false">MAX(0,G181-L181)</f>
        <v>0</v>
      </c>
      <c r="N181" s="18" t="s">
        <v>1500</v>
      </c>
      <c r="O181" s="17" t="n">
        <f aca="false">IF(N181="Cancelled",0,IF(K181&lt;&gt;"",MAX(0,K181-J181),IF(N181="Delayed",MAX(0,'Daily MIS Report'!$B$4-J181),0)))</f>
        <v>7</v>
      </c>
    </row>
    <row r="182" customFormat="false" ht="15" hidden="false" customHeight="false" outlineLevel="0" collapsed="false">
      <c r="A182" s="26" t="s">
        <v>1678</v>
      </c>
      <c r="B182" s="34" t="n">
        <v>46069</v>
      </c>
      <c r="C182" s="26" t="s">
        <v>165</v>
      </c>
      <c r="D182" s="27" t="str">
        <f aca="false">VLOOKUP(C182,'Supplier Database'!$A$5:$K$29,2,FALSE())</f>
        <v>Riverstone Trading Co.</v>
      </c>
      <c r="E182" s="26" t="s">
        <v>284</v>
      </c>
      <c r="F182" s="27" t="str">
        <f aca="false">VLOOKUP(E182,'Product Master'!$A$5:$K$104,2,FALSE())</f>
        <v>Compact Home Item 090</v>
      </c>
      <c r="G182" s="28" t="n">
        <v>159</v>
      </c>
      <c r="H182" s="29" t="n">
        <v>7971.67</v>
      </c>
      <c r="I182" s="29" t="n">
        <f aca="false">G182*H182</f>
        <v>1267495.53</v>
      </c>
      <c r="J182" s="34" t="n">
        <v>46081</v>
      </c>
      <c r="K182" s="34" t="n">
        <v>46084</v>
      </c>
      <c r="L182" s="28" t="n">
        <v>62</v>
      </c>
      <c r="M182" s="28" t="n">
        <f aca="false">MAX(0,G182-L182)</f>
        <v>97</v>
      </c>
      <c r="N182" s="26" t="s">
        <v>1503</v>
      </c>
      <c r="O182" s="28" t="n">
        <f aca="false">IF(N182="Cancelled",0,IF(K182&lt;&gt;"",MAX(0,K182-J182),IF(N182="Delayed",MAX(0,'Daily MIS Report'!$B$4-J182),0)))</f>
        <v>3</v>
      </c>
    </row>
    <row r="183" customFormat="false" ht="15" hidden="false" customHeight="false" outlineLevel="0" collapsed="false">
      <c r="A183" s="18" t="s">
        <v>1679</v>
      </c>
      <c r="B183" s="25" t="n">
        <v>46055</v>
      </c>
      <c r="C183" s="18" t="s">
        <v>149</v>
      </c>
      <c r="D183" s="20" t="str">
        <f aca="false">VLOOKUP(C183,'Supplier Database'!$A$5:$K$29,2,FALSE())</f>
        <v>Bright Distributors</v>
      </c>
      <c r="E183" s="18" t="s">
        <v>280</v>
      </c>
      <c r="F183" s="20" t="str">
        <f aca="false">VLOOKUP(E183,'Product Master'!$A$5:$K$104,2,FALSE())</f>
        <v>Classic Packaging Item 086</v>
      </c>
      <c r="G183" s="17" t="n">
        <v>483</v>
      </c>
      <c r="H183" s="16" t="n">
        <v>4740.05</v>
      </c>
      <c r="I183" s="16" t="n">
        <f aca="false">G183*H183</f>
        <v>2289444.15</v>
      </c>
      <c r="J183" s="25" t="n">
        <v>46063</v>
      </c>
      <c r="K183" s="25" t="n">
        <v>46062</v>
      </c>
      <c r="L183" s="17" t="n">
        <v>52</v>
      </c>
      <c r="M183" s="17" t="n">
        <f aca="false">MAX(0,G183-L183)</f>
        <v>431</v>
      </c>
      <c r="N183" s="18" t="s">
        <v>1503</v>
      </c>
      <c r="O183" s="17" t="n">
        <f aca="false">IF(N183="Cancelled",0,IF(K183&lt;&gt;"",MAX(0,K183-J183),IF(N183="Delayed",MAX(0,'Daily MIS Report'!$B$4-J183),0)))</f>
        <v>0</v>
      </c>
    </row>
    <row r="184" customFormat="false" ht="15" hidden="false" customHeight="false" outlineLevel="0" collapsed="false">
      <c r="A184" s="26" t="s">
        <v>1680</v>
      </c>
      <c r="B184" s="34" t="n">
        <v>46142</v>
      </c>
      <c r="C184" s="26" t="s">
        <v>158</v>
      </c>
      <c r="D184" s="27" t="str">
        <f aca="false">VLOOKUP(C184,'Supplier Database'!$A$5:$K$29,2,FALSE())</f>
        <v>Kinetic Trading Co.</v>
      </c>
      <c r="E184" s="26" t="s">
        <v>286</v>
      </c>
      <c r="F184" s="27" t="str">
        <f aca="false">VLOOKUP(E184,'Product Master'!$A$5:$K$104,2,FALSE())</f>
        <v>Essential Personal Item 092</v>
      </c>
      <c r="G184" s="28" t="n">
        <v>261</v>
      </c>
      <c r="H184" s="29" t="n">
        <v>6398.9</v>
      </c>
      <c r="I184" s="29" t="n">
        <f aca="false">G184*H184</f>
        <v>1670112.9</v>
      </c>
      <c r="J184" s="34" t="n">
        <v>46154</v>
      </c>
      <c r="K184" s="34"/>
      <c r="L184" s="28" t="n">
        <v>0</v>
      </c>
      <c r="M184" s="28" t="n">
        <f aca="false">MAX(0,G184-L184)</f>
        <v>261</v>
      </c>
      <c r="N184" s="26" t="s">
        <v>37</v>
      </c>
      <c r="O184" s="28" t="n">
        <f aca="false">IF(N184="Cancelled",0,IF(K184&lt;&gt;"",MAX(0,K184-J184),IF(N184="Delayed",MAX(0,'Daily MIS Report'!$B$4-J184),0)))</f>
        <v>0</v>
      </c>
    </row>
    <row r="185" customFormat="false" ht="15" hidden="false" customHeight="false" outlineLevel="0" collapsed="false">
      <c r="A185" s="18" t="s">
        <v>1681</v>
      </c>
      <c r="B185" s="25" t="n">
        <v>46302</v>
      </c>
      <c r="C185" s="18" t="s">
        <v>165</v>
      </c>
      <c r="D185" s="20" t="str">
        <f aca="false">VLOOKUP(C185,'Supplier Database'!$A$5:$K$29,2,FALSE())</f>
        <v>Riverstone Trading Co.</v>
      </c>
      <c r="E185" s="18" t="s">
        <v>215</v>
      </c>
      <c r="F185" s="20" t="str">
        <f aca="false">VLOOKUP(E185,'Product Master'!$A$5:$K$104,2,FALSE())</f>
        <v>Eco Industrial Item 021</v>
      </c>
      <c r="G185" s="17" t="n">
        <v>228</v>
      </c>
      <c r="H185" s="16" t="n">
        <v>1744.29</v>
      </c>
      <c r="I185" s="16" t="n">
        <f aca="false">G185*H185</f>
        <v>397698.12</v>
      </c>
      <c r="J185" s="25" t="n">
        <v>46307</v>
      </c>
      <c r="K185" s="25"/>
      <c r="L185" s="17" t="n">
        <v>7</v>
      </c>
      <c r="M185" s="17" t="n">
        <f aca="false">MAX(0,G185-L185)</f>
        <v>221</v>
      </c>
      <c r="N185" s="18" t="s">
        <v>1514</v>
      </c>
      <c r="O185" s="17" t="n">
        <f aca="false">IF(N185="Cancelled",0,IF(K185&lt;&gt;"",MAX(0,K185-J185),IF(N185="Delayed",MAX(0,'Daily MIS Report'!$B$4-J185),0)))</f>
        <v>7</v>
      </c>
    </row>
    <row r="186" customFormat="false" ht="15" hidden="false" customHeight="false" outlineLevel="0" collapsed="false">
      <c r="A186" s="26" t="s">
        <v>1682</v>
      </c>
      <c r="B186" s="34" t="n">
        <v>46175</v>
      </c>
      <c r="C186" s="26" t="s">
        <v>168</v>
      </c>
      <c r="D186" s="27" t="str">
        <f aca="false">VLOOKUP(C186,'Supplier Database'!$A$5:$K$29,2,FALSE())</f>
        <v>Unity Partners</v>
      </c>
      <c r="E186" s="26" t="s">
        <v>220</v>
      </c>
      <c r="F186" s="27" t="str">
        <f aca="false">VLOOKUP(E186,'Product Master'!$A$5:$K$104,2,FALSE())</f>
        <v>Classic Home Item 026</v>
      </c>
      <c r="G186" s="28" t="n">
        <v>407</v>
      </c>
      <c r="H186" s="29" t="n">
        <v>4038.25</v>
      </c>
      <c r="I186" s="29" t="n">
        <f aca="false">G186*H186</f>
        <v>1643567.75</v>
      </c>
      <c r="J186" s="34" t="n">
        <v>46179</v>
      </c>
      <c r="K186" s="34" t="n">
        <v>46176</v>
      </c>
      <c r="L186" s="28" t="n">
        <v>407</v>
      </c>
      <c r="M186" s="28" t="n">
        <f aca="false">MAX(0,G186-L186)</f>
        <v>0</v>
      </c>
      <c r="N186" s="26" t="s">
        <v>1500</v>
      </c>
      <c r="O186" s="28" t="n">
        <f aca="false">IF(N186="Cancelled",0,IF(K186&lt;&gt;"",MAX(0,K186-J186),IF(N186="Delayed",MAX(0,'Daily MIS Report'!$B$4-J186),0)))</f>
        <v>0</v>
      </c>
    </row>
    <row r="187" customFormat="false" ht="15" hidden="false" customHeight="false" outlineLevel="0" collapsed="false">
      <c r="A187" s="18" t="s">
        <v>1683</v>
      </c>
      <c r="B187" s="25" t="n">
        <v>45976</v>
      </c>
      <c r="C187" s="18" t="s">
        <v>168</v>
      </c>
      <c r="D187" s="20" t="str">
        <f aca="false">VLOOKUP(C187,'Supplier Database'!$A$5:$K$29,2,FALSE())</f>
        <v>Unity Partners</v>
      </c>
      <c r="E187" s="18" t="s">
        <v>268</v>
      </c>
      <c r="F187" s="20" t="str">
        <f aca="false">VLOOKUP(E187,'Product Master'!$A$5:$K$104,2,FALSE())</f>
        <v>Pro Home Item 074</v>
      </c>
      <c r="G187" s="17" t="n">
        <v>138</v>
      </c>
      <c r="H187" s="16" t="n">
        <v>6036.4</v>
      </c>
      <c r="I187" s="16" t="n">
        <f aca="false">G187*H187</f>
        <v>833023.2</v>
      </c>
      <c r="J187" s="25" t="n">
        <v>45980</v>
      </c>
      <c r="K187" s="25"/>
      <c r="L187" s="17" t="n">
        <v>0</v>
      </c>
      <c r="M187" s="17" t="n">
        <f aca="false">MAX(0,G187-L187)</f>
        <v>138</v>
      </c>
      <c r="N187" s="18" t="s">
        <v>37</v>
      </c>
      <c r="O187" s="17" t="n">
        <f aca="false">IF(N187="Cancelled",0,IF(K187&lt;&gt;"",MAX(0,K187-J187),IF(N187="Delayed",MAX(0,'Daily MIS Report'!$B$4-J187),0)))</f>
        <v>0</v>
      </c>
    </row>
    <row r="188" customFormat="false" ht="15" hidden="false" customHeight="false" outlineLevel="0" collapsed="false">
      <c r="A188" s="26" t="s">
        <v>1684</v>
      </c>
      <c r="B188" s="34" t="n">
        <v>46302</v>
      </c>
      <c r="C188" s="26" t="s">
        <v>153</v>
      </c>
      <c r="D188" s="27" t="str">
        <f aca="false">VLOOKUP(C188,'Supplier Database'!$A$5:$K$29,2,FALSE())</f>
        <v>Frontier Wholesale</v>
      </c>
      <c r="E188" s="26" t="s">
        <v>248</v>
      </c>
      <c r="F188" s="27" t="str">
        <f aca="false">VLOOKUP(E188,'Product Master'!$A$5:$K$104,2,FALSE())</f>
        <v>Pro Packaging Item 054</v>
      </c>
      <c r="G188" s="28" t="n">
        <v>471</v>
      </c>
      <c r="H188" s="29" t="n">
        <v>5290.94</v>
      </c>
      <c r="I188" s="29" t="n">
        <f aca="false">G188*H188</f>
        <v>2492032.74</v>
      </c>
      <c r="J188" s="34" t="n">
        <v>46310</v>
      </c>
      <c r="K188" s="34"/>
      <c r="L188" s="28" t="n">
        <v>0</v>
      </c>
      <c r="M188" s="28" t="n">
        <f aca="false">MAX(0,G188-L188)</f>
        <v>471</v>
      </c>
      <c r="N188" s="26" t="s">
        <v>1514</v>
      </c>
      <c r="O188" s="28" t="n">
        <f aca="false">IF(N188="Cancelled",0,IF(K188&lt;&gt;"",MAX(0,K188-J188),IF(N188="Delayed",MAX(0,'Daily MIS Report'!$B$4-J188),0)))</f>
        <v>4</v>
      </c>
    </row>
    <row r="189" customFormat="false" ht="15" hidden="false" customHeight="false" outlineLevel="0" collapsed="false">
      <c r="A189" s="18" t="s">
        <v>1685</v>
      </c>
      <c r="B189" s="25" t="n">
        <v>46302</v>
      </c>
      <c r="C189" s="18" t="s">
        <v>163</v>
      </c>
      <c r="D189" s="20" t="str">
        <f aca="false">VLOOKUP(C189,'Supplier Database'!$A$5:$K$29,2,FALSE())</f>
        <v>Pioneer Distributors</v>
      </c>
      <c r="E189" s="18" t="s">
        <v>218</v>
      </c>
      <c r="F189" s="20" t="str">
        <f aca="false">VLOOKUP(E189,'Product Master'!$A$5:$K$104,2,FALSE())</f>
        <v>Eco Automotive Item 024</v>
      </c>
      <c r="G189" s="17" t="n">
        <v>499</v>
      </c>
      <c r="H189" s="16" t="n">
        <v>4908.39</v>
      </c>
      <c r="I189" s="16" t="n">
        <f aca="false">G189*H189</f>
        <v>2449286.61</v>
      </c>
      <c r="J189" s="25" t="n">
        <v>46309</v>
      </c>
      <c r="K189" s="25"/>
      <c r="L189" s="17" t="n">
        <v>4</v>
      </c>
      <c r="M189" s="17" t="n">
        <f aca="false">MAX(0,G189-L189)</f>
        <v>495</v>
      </c>
      <c r="N189" s="18" t="s">
        <v>1514</v>
      </c>
      <c r="O189" s="17" t="n">
        <f aca="false">IF(N189="Cancelled",0,IF(K189&lt;&gt;"",MAX(0,K189-J189),IF(N189="Delayed",MAX(0,'Daily MIS Report'!$B$4-J189),0)))</f>
        <v>5</v>
      </c>
    </row>
    <row r="190" customFormat="false" ht="15" hidden="false" customHeight="false" outlineLevel="0" collapsed="false">
      <c r="A190" s="26" t="s">
        <v>1686</v>
      </c>
      <c r="B190" s="34" t="n">
        <v>46302</v>
      </c>
      <c r="C190" s="26" t="s">
        <v>148</v>
      </c>
      <c r="D190" s="27" t="str">
        <f aca="false">VLOOKUP(C190,'Supplier Database'!$A$5:$K$29,2,FALSE())</f>
        <v>Apex Supplies</v>
      </c>
      <c r="E190" s="26" t="s">
        <v>233</v>
      </c>
      <c r="F190" s="27" t="str">
        <f aca="false">VLOOKUP(E190,'Product Master'!$A$5:$K$104,2,FALSE())</f>
        <v>Eco Apparel Item 039</v>
      </c>
      <c r="G190" s="28" t="n">
        <v>310</v>
      </c>
      <c r="H190" s="29" t="n">
        <v>2654.71</v>
      </c>
      <c r="I190" s="29" t="n">
        <f aca="false">G190*H190</f>
        <v>822960.1</v>
      </c>
      <c r="J190" s="34" t="n">
        <v>46308</v>
      </c>
      <c r="K190" s="34"/>
      <c r="L190" s="28" t="n">
        <v>5</v>
      </c>
      <c r="M190" s="28" t="n">
        <f aca="false">MAX(0,G190-L190)</f>
        <v>305</v>
      </c>
      <c r="N190" s="26" t="s">
        <v>1514</v>
      </c>
      <c r="O190" s="28" t="n">
        <f aca="false">IF(N190="Cancelled",0,IF(K190&lt;&gt;"",MAX(0,K190-J190),IF(N190="Delayed",MAX(0,'Daily MIS Report'!$B$4-J190),0)))</f>
        <v>6</v>
      </c>
    </row>
    <row r="191" customFormat="false" ht="15" hidden="false" customHeight="false" outlineLevel="0" collapsed="false">
      <c r="A191" s="18" t="s">
        <v>1687</v>
      </c>
      <c r="B191" s="25" t="n">
        <v>46302</v>
      </c>
      <c r="C191" s="18" t="s">
        <v>162</v>
      </c>
      <c r="D191" s="20" t="str">
        <f aca="false">VLOOKUP(C191,'Supplier Database'!$A$5:$K$29,2,FALSE())</f>
        <v>Orbit Supplies</v>
      </c>
      <c r="E191" s="18" t="s">
        <v>277</v>
      </c>
      <c r="F191" s="20" t="str">
        <f aca="false">VLOOKUP(E191,'Product Master'!$A$5:$K$104,2,FALSE())</f>
        <v>Essential Office Item 083</v>
      </c>
      <c r="G191" s="17" t="n">
        <v>298</v>
      </c>
      <c r="H191" s="16" t="n">
        <v>2542.67</v>
      </c>
      <c r="I191" s="16" t="n">
        <f aca="false">G191*H191</f>
        <v>757715.66</v>
      </c>
      <c r="J191" s="25" t="n">
        <v>46307</v>
      </c>
      <c r="K191" s="25"/>
      <c r="L191" s="17" t="n">
        <v>2</v>
      </c>
      <c r="M191" s="17" t="n">
        <f aca="false">MAX(0,G191-L191)</f>
        <v>296</v>
      </c>
      <c r="N191" s="18" t="s">
        <v>1514</v>
      </c>
      <c r="O191" s="17" t="n">
        <f aca="false">IF(N191="Cancelled",0,IF(K191&lt;&gt;"",MAX(0,K191-J191),IF(N191="Delayed",MAX(0,'Daily MIS Report'!$B$4-J191),0)))</f>
        <v>7</v>
      </c>
    </row>
    <row r="192" customFormat="false" ht="15" hidden="false" customHeight="false" outlineLevel="0" collapsed="false">
      <c r="A192" s="26" t="s">
        <v>1688</v>
      </c>
      <c r="B192" s="34" t="n">
        <v>46189</v>
      </c>
      <c r="C192" s="26" t="s">
        <v>162</v>
      </c>
      <c r="D192" s="27" t="str">
        <f aca="false">VLOOKUP(C192,'Supplier Database'!$A$5:$K$29,2,FALSE())</f>
        <v>Orbit Supplies</v>
      </c>
      <c r="E192" s="26" t="s">
        <v>229</v>
      </c>
      <c r="F192" s="27" t="str">
        <f aca="false">VLOOKUP(E192,'Product Master'!$A$5:$K$104,2,FALSE())</f>
        <v>Smart Office Item 035</v>
      </c>
      <c r="G192" s="28" t="n">
        <v>118</v>
      </c>
      <c r="H192" s="29" t="n">
        <v>6325.54</v>
      </c>
      <c r="I192" s="29" t="n">
        <f aca="false">G192*H192</f>
        <v>746413.72</v>
      </c>
      <c r="J192" s="34" t="n">
        <v>46203</v>
      </c>
      <c r="K192" s="34" t="n">
        <v>46207</v>
      </c>
      <c r="L192" s="28" t="n">
        <v>118</v>
      </c>
      <c r="M192" s="28" t="n">
        <f aca="false">MAX(0,G192-L192)</f>
        <v>0</v>
      </c>
      <c r="N192" s="26" t="s">
        <v>1500</v>
      </c>
      <c r="O192" s="28" t="n">
        <f aca="false">IF(N192="Cancelled",0,IF(K192&lt;&gt;"",MAX(0,K192-J192),IF(N192="Delayed",MAX(0,'Daily MIS Report'!$B$4-J192),0)))</f>
        <v>4</v>
      </c>
    </row>
    <row r="193" customFormat="false" ht="15" hidden="false" customHeight="false" outlineLevel="0" collapsed="false">
      <c r="A193" s="18" t="s">
        <v>1689</v>
      </c>
      <c r="B193" s="25" t="n">
        <v>46262</v>
      </c>
      <c r="C193" s="18" t="s">
        <v>156</v>
      </c>
      <c r="D193" s="20" t="str">
        <f aca="false">VLOOKUP(C193,'Supplier Database'!$A$5:$K$29,2,FALSE())</f>
        <v>Indus Distributors</v>
      </c>
      <c r="E193" s="18" t="s">
        <v>286</v>
      </c>
      <c r="F193" s="20" t="str">
        <f aca="false">VLOOKUP(E193,'Product Master'!$A$5:$K$104,2,FALSE())</f>
        <v>Essential Personal Item 092</v>
      </c>
      <c r="G193" s="17" t="n">
        <v>115</v>
      </c>
      <c r="H193" s="16" t="n">
        <v>6329.17</v>
      </c>
      <c r="I193" s="16" t="n">
        <f aca="false">G193*H193</f>
        <v>727854.55</v>
      </c>
      <c r="J193" s="25" t="n">
        <v>46270</v>
      </c>
      <c r="K193" s="25" t="n">
        <v>46270</v>
      </c>
      <c r="L193" s="17" t="n">
        <v>115</v>
      </c>
      <c r="M193" s="17" t="n">
        <f aca="false">MAX(0,G193-L193)</f>
        <v>0</v>
      </c>
      <c r="N193" s="18" t="s">
        <v>1500</v>
      </c>
      <c r="O193" s="17" t="n">
        <f aca="false">IF(N193="Cancelled",0,IF(K193&lt;&gt;"",MAX(0,K193-J193),IF(N193="Delayed",MAX(0,'Daily MIS Report'!$B$4-J193),0)))</f>
        <v>0</v>
      </c>
    </row>
    <row r="194" customFormat="false" ht="15" hidden="false" customHeight="false" outlineLevel="0" collapsed="false">
      <c r="A194" s="26" t="s">
        <v>1690</v>
      </c>
      <c r="B194" s="34" t="n">
        <v>46302</v>
      </c>
      <c r="C194" s="26" t="s">
        <v>169</v>
      </c>
      <c r="D194" s="27" t="str">
        <f aca="false">VLOOKUP(C194,'Supplier Database'!$A$5:$K$29,2,FALSE())</f>
        <v>Vertex Supplies</v>
      </c>
      <c r="E194" s="26" t="s">
        <v>291</v>
      </c>
      <c r="F194" s="27" t="str">
        <f aca="false">VLOOKUP(E194,'Product Master'!$A$5:$K$104,2,FALSE())</f>
        <v>Smart Electronics Item 097</v>
      </c>
      <c r="G194" s="28" t="n">
        <v>118</v>
      </c>
      <c r="H194" s="29" t="n">
        <v>1132.07</v>
      </c>
      <c r="I194" s="29" t="n">
        <f aca="false">G194*H194</f>
        <v>133584.26</v>
      </c>
      <c r="J194" s="34" t="n">
        <v>46310</v>
      </c>
      <c r="K194" s="34"/>
      <c r="L194" s="28" t="n">
        <v>6</v>
      </c>
      <c r="M194" s="28" t="n">
        <f aca="false">MAX(0,G194-L194)</f>
        <v>112</v>
      </c>
      <c r="N194" s="26" t="s">
        <v>1514</v>
      </c>
      <c r="O194" s="28" t="n">
        <f aca="false">IF(N194="Cancelled",0,IF(K194&lt;&gt;"",MAX(0,K194-J194),IF(N194="Delayed",MAX(0,'Daily MIS Report'!$B$4-J194),0)))</f>
        <v>4</v>
      </c>
    </row>
    <row r="195" customFormat="false" ht="15" hidden="false" customHeight="false" outlineLevel="0" collapsed="false">
      <c r="A195" s="18" t="s">
        <v>1691</v>
      </c>
      <c r="B195" s="25" t="n">
        <v>46149</v>
      </c>
      <c r="C195" s="18" t="s">
        <v>164</v>
      </c>
      <c r="D195" s="20" t="str">
        <f aca="false">VLOOKUP(C195,'Supplier Database'!$A$5:$K$29,2,FALSE())</f>
        <v>Quantum Industries</v>
      </c>
      <c r="E195" s="18" t="s">
        <v>236</v>
      </c>
      <c r="F195" s="20" t="str">
        <f aca="false">VLOOKUP(E195,'Product Master'!$A$5:$K$104,2,FALSE())</f>
        <v>Compact Home Item 042</v>
      </c>
      <c r="G195" s="17" t="n">
        <v>64</v>
      </c>
      <c r="H195" s="16" t="n">
        <v>3667.61</v>
      </c>
      <c r="I195" s="16" t="n">
        <f aca="false">G195*H195</f>
        <v>234727.04</v>
      </c>
      <c r="J195" s="25" t="n">
        <v>46154</v>
      </c>
      <c r="K195" s="25" t="n">
        <v>46153</v>
      </c>
      <c r="L195" s="17" t="n">
        <v>64</v>
      </c>
      <c r="M195" s="17" t="n">
        <f aca="false">MAX(0,G195-L195)</f>
        <v>0</v>
      </c>
      <c r="N195" s="18" t="s">
        <v>1500</v>
      </c>
      <c r="O195" s="17" t="n">
        <f aca="false">IF(N195="Cancelled",0,IF(K195&lt;&gt;"",MAX(0,K195-J195),IF(N195="Delayed",MAX(0,'Daily MIS Report'!$B$4-J195),0)))</f>
        <v>0</v>
      </c>
    </row>
    <row r="196" customFormat="false" ht="15" hidden="false" customHeight="false" outlineLevel="0" collapsed="false">
      <c r="A196" s="26" t="s">
        <v>1692</v>
      </c>
      <c r="B196" s="34" t="n">
        <v>46175</v>
      </c>
      <c r="C196" s="26" t="s">
        <v>158</v>
      </c>
      <c r="D196" s="27" t="str">
        <f aca="false">VLOOKUP(C196,'Supplier Database'!$A$5:$K$29,2,FALSE())</f>
        <v>Kinetic Trading Co.</v>
      </c>
      <c r="E196" s="26" t="s">
        <v>226</v>
      </c>
      <c r="F196" s="27" t="str">
        <f aca="false">VLOOKUP(E196,'Product Master'!$A$5:$K$104,2,FALSE())</f>
        <v>Smart Automotive Item 032</v>
      </c>
      <c r="G196" s="28" t="n">
        <v>23</v>
      </c>
      <c r="H196" s="29" t="n">
        <v>6639.64</v>
      </c>
      <c r="I196" s="29" t="n">
        <f aca="false">G196*H196</f>
        <v>152711.72</v>
      </c>
      <c r="J196" s="34" t="n">
        <v>46187</v>
      </c>
      <c r="K196" s="34" t="n">
        <v>46187</v>
      </c>
      <c r="L196" s="28" t="n">
        <v>23</v>
      </c>
      <c r="M196" s="28" t="n">
        <f aca="false">MAX(0,G196-L196)</f>
        <v>0</v>
      </c>
      <c r="N196" s="26" t="s">
        <v>1500</v>
      </c>
      <c r="O196" s="28" t="n">
        <f aca="false">IF(N196="Cancelled",0,IF(K196&lt;&gt;"",MAX(0,K196-J196),IF(N196="Delayed",MAX(0,'Daily MIS Report'!$B$4-J196),0)))</f>
        <v>0</v>
      </c>
    </row>
    <row r="197" customFormat="false" ht="15" hidden="false" customHeight="false" outlineLevel="0" collapsed="false">
      <c r="A197" s="18" t="s">
        <v>1693</v>
      </c>
      <c r="B197" s="25" t="n">
        <v>46099</v>
      </c>
      <c r="C197" s="18" t="s">
        <v>157</v>
      </c>
      <c r="D197" s="20" t="str">
        <f aca="false">VLOOKUP(C197,'Supplier Database'!$A$5:$K$29,2,FALSE())</f>
        <v>Jupiter Industries</v>
      </c>
      <c r="E197" s="18" t="s">
        <v>269</v>
      </c>
      <c r="F197" s="20" t="str">
        <f aca="false">VLOOKUP(E197,'Product Master'!$A$5:$K$104,2,FALSE())</f>
        <v>Everyday Office Item 075</v>
      </c>
      <c r="G197" s="17" t="n">
        <v>390</v>
      </c>
      <c r="H197" s="16" t="n">
        <v>4724.39</v>
      </c>
      <c r="I197" s="16" t="n">
        <f aca="false">G197*H197</f>
        <v>1842512.1</v>
      </c>
      <c r="J197" s="25" t="n">
        <v>46113</v>
      </c>
      <c r="K197" s="25" t="n">
        <v>46113</v>
      </c>
      <c r="L197" s="17" t="n">
        <v>390</v>
      </c>
      <c r="M197" s="17" t="n">
        <f aca="false">MAX(0,G197-L197)</f>
        <v>0</v>
      </c>
      <c r="N197" s="18" t="s">
        <v>1500</v>
      </c>
      <c r="O197" s="17" t="n">
        <f aca="false">IF(N197="Cancelled",0,IF(K197&lt;&gt;"",MAX(0,K197-J197),IF(N197="Delayed",MAX(0,'Daily MIS Report'!$B$4-J197),0)))</f>
        <v>0</v>
      </c>
    </row>
    <row r="198" customFormat="false" ht="15" hidden="false" customHeight="false" outlineLevel="0" collapsed="false">
      <c r="A198" s="26" t="s">
        <v>1694</v>
      </c>
      <c r="B198" s="34" t="n">
        <v>46285</v>
      </c>
      <c r="C198" s="26" t="s">
        <v>155</v>
      </c>
      <c r="D198" s="27" t="str">
        <f aca="false">VLOOKUP(C198,'Supplier Database'!$A$5:$K$29,2,FALSE())</f>
        <v>Horizon Supplies</v>
      </c>
      <c r="E198" s="26" t="s">
        <v>202</v>
      </c>
      <c r="F198" s="27" t="str">
        <f aca="false">VLOOKUP(E198,'Product Master'!$A$5:$K$104,2,FALSE())</f>
        <v>Smart Automotive Item 008</v>
      </c>
      <c r="G198" s="28" t="n">
        <v>361</v>
      </c>
      <c r="H198" s="29" t="n">
        <v>6746.04</v>
      </c>
      <c r="I198" s="29" t="n">
        <f aca="false">G198*H198</f>
        <v>2435320.44</v>
      </c>
      <c r="J198" s="34" t="n">
        <v>46290</v>
      </c>
      <c r="K198" s="34" t="n">
        <v>46290</v>
      </c>
      <c r="L198" s="28" t="n">
        <v>361</v>
      </c>
      <c r="M198" s="28" t="n">
        <f aca="false">MAX(0,G198-L198)</f>
        <v>0</v>
      </c>
      <c r="N198" s="26" t="s">
        <v>1500</v>
      </c>
      <c r="O198" s="28" t="n">
        <f aca="false">IF(N198="Cancelled",0,IF(K198&lt;&gt;"",MAX(0,K198-J198),IF(N198="Delayed",MAX(0,'Daily MIS Report'!$B$4-J198),0)))</f>
        <v>0</v>
      </c>
    </row>
    <row r="199" customFormat="false" ht="15" hidden="false" customHeight="false" outlineLevel="0" collapsed="false">
      <c r="A199" s="18" t="s">
        <v>1695</v>
      </c>
      <c r="B199" s="25" t="n">
        <v>46282</v>
      </c>
      <c r="C199" s="18" t="s">
        <v>164</v>
      </c>
      <c r="D199" s="20" t="str">
        <f aca="false">VLOOKUP(C199,'Supplier Database'!$A$5:$K$29,2,FALSE())</f>
        <v>Quantum Industries</v>
      </c>
      <c r="E199" s="18" t="s">
        <v>285</v>
      </c>
      <c r="F199" s="20" t="str">
        <f aca="false">VLOOKUP(E199,'Product Master'!$A$5:$K$104,2,FALSE())</f>
        <v>Premium Office Item 091</v>
      </c>
      <c r="G199" s="17" t="n">
        <v>414</v>
      </c>
      <c r="H199" s="16" t="n">
        <v>4279.73</v>
      </c>
      <c r="I199" s="16" t="n">
        <f aca="false">G199*H199</f>
        <v>1771808.22</v>
      </c>
      <c r="J199" s="25" t="n">
        <v>46287</v>
      </c>
      <c r="K199" s="25" t="n">
        <v>46287</v>
      </c>
      <c r="L199" s="17" t="n">
        <v>414</v>
      </c>
      <c r="M199" s="17" t="n">
        <f aca="false">MAX(0,G199-L199)</f>
        <v>0</v>
      </c>
      <c r="N199" s="18" t="s">
        <v>1500</v>
      </c>
      <c r="O199" s="17" t="n">
        <f aca="false">IF(N199="Cancelled",0,IF(K199&lt;&gt;"",MAX(0,K199-J199),IF(N199="Delayed",MAX(0,'Daily MIS Report'!$B$4-J199),0)))</f>
        <v>0</v>
      </c>
    </row>
    <row r="200" customFormat="false" ht="15" hidden="false" customHeight="false" outlineLevel="0" collapsed="false">
      <c r="A200" s="26" t="s">
        <v>1696</v>
      </c>
      <c r="B200" s="34" t="n">
        <v>46119</v>
      </c>
      <c r="C200" s="26" t="s">
        <v>167</v>
      </c>
      <c r="D200" s="27" t="str">
        <f aca="false">VLOOKUP(C200,'Supplier Database'!$A$5:$K$29,2,FALSE())</f>
        <v>Trident Wholesale</v>
      </c>
      <c r="E200" s="26" t="s">
        <v>223</v>
      </c>
      <c r="F200" s="27" t="str">
        <f aca="false">VLOOKUP(E200,'Product Master'!$A$5:$K$104,2,FALSE())</f>
        <v>Eco Industrial Item 029</v>
      </c>
      <c r="G200" s="28" t="n">
        <v>132</v>
      </c>
      <c r="H200" s="29" t="n">
        <v>7959.97</v>
      </c>
      <c r="I200" s="29" t="n">
        <f aca="false">G200*H200</f>
        <v>1050716.04</v>
      </c>
      <c r="J200" s="34" t="n">
        <v>46131</v>
      </c>
      <c r="K200" s="34" t="n">
        <v>46135</v>
      </c>
      <c r="L200" s="28" t="n">
        <v>132</v>
      </c>
      <c r="M200" s="28" t="n">
        <f aca="false">MAX(0,G200-L200)</f>
        <v>0</v>
      </c>
      <c r="N200" s="26" t="s">
        <v>1500</v>
      </c>
      <c r="O200" s="28" t="n">
        <f aca="false">IF(N200="Cancelled",0,IF(K200&lt;&gt;"",MAX(0,K200-J200),IF(N200="Delayed",MAX(0,'Daily MIS Report'!$B$4-J200),0)))</f>
        <v>4</v>
      </c>
    </row>
    <row r="201" customFormat="false" ht="15" hidden="false" customHeight="false" outlineLevel="0" collapsed="false">
      <c r="A201" s="18" t="s">
        <v>1697</v>
      </c>
      <c r="B201" s="25" t="n">
        <v>46302</v>
      </c>
      <c r="C201" s="18" t="s">
        <v>167</v>
      </c>
      <c r="D201" s="20" t="str">
        <f aca="false">VLOOKUP(C201,'Supplier Database'!$A$5:$K$29,2,FALSE())</f>
        <v>Trident Wholesale</v>
      </c>
      <c r="E201" s="18" t="s">
        <v>242</v>
      </c>
      <c r="F201" s="20" t="str">
        <f aca="false">VLOOKUP(E201,'Product Master'!$A$5:$K$104,2,FALSE())</f>
        <v>Eco Automotive Item 048</v>
      </c>
      <c r="G201" s="17" t="n">
        <v>232</v>
      </c>
      <c r="H201" s="16" t="n">
        <v>343.31</v>
      </c>
      <c r="I201" s="16" t="n">
        <f aca="false">G201*H201</f>
        <v>79647.92</v>
      </c>
      <c r="J201" s="25" t="n">
        <v>46309</v>
      </c>
      <c r="K201" s="25"/>
      <c r="L201" s="17" t="n">
        <v>8</v>
      </c>
      <c r="M201" s="17" t="n">
        <f aca="false">MAX(0,G201-L201)</f>
        <v>224</v>
      </c>
      <c r="N201" s="18" t="s">
        <v>1514</v>
      </c>
      <c r="O201" s="17" t="n">
        <f aca="false">IF(N201="Cancelled",0,IF(K201&lt;&gt;"",MAX(0,K201-J201),IF(N201="Delayed",MAX(0,'Daily MIS Report'!$B$4-J201),0)))</f>
        <v>5</v>
      </c>
    </row>
    <row r="202" customFormat="false" ht="15" hidden="false" customHeight="false" outlineLevel="0" collapsed="false">
      <c r="A202" s="26" t="s">
        <v>1698</v>
      </c>
      <c r="B202" s="34" t="n">
        <v>46302</v>
      </c>
      <c r="C202" s="26" t="s">
        <v>172</v>
      </c>
      <c r="D202" s="27" t="str">
        <f aca="false">VLOOKUP(C202,'Supplier Database'!$A$5:$K$29,2,FALSE())</f>
        <v>Zenith Trading Co.</v>
      </c>
      <c r="E202" s="26" t="s">
        <v>226</v>
      </c>
      <c r="F202" s="27" t="str">
        <f aca="false">VLOOKUP(E202,'Product Master'!$A$5:$K$104,2,FALSE())</f>
        <v>Smart Automotive Item 032</v>
      </c>
      <c r="G202" s="28" t="n">
        <v>368</v>
      </c>
      <c r="H202" s="29" t="n">
        <v>7044.83</v>
      </c>
      <c r="I202" s="29" t="n">
        <f aca="false">G202*H202</f>
        <v>2592497.44</v>
      </c>
      <c r="J202" s="34" t="n">
        <v>46308</v>
      </c>
      <c r="K202" s="34"/>
      <c r="L202" s="28" t="n">
        <v>1</v>
      </c>
      <c r="M202" s="28" t="n">
        <f aca="false">MAX(0,G202-L202)</f>
        <v>367</v>
      </c>
      <c r="N202" s="26" t="s">
        <v>1514</v>
      </c>
      <c r="O202" s="28" t="n">
        <f aca="false">IF(N202="Cancelled",0,IF(K202&lt;&gt;"",MAX(0,K202-J202),IF(N202="Delayed",MAX(0,'Daily MIS Report'!$B$4-J202),0)))</f>
        <v>6</v>
      </c>
    </row>
    <row r="203" customFormat="false" ht="15" hidden="false" customHeight="false" outlineLevel="0" collapsed="false">
      <c r="A203" s="18" t="s">
        <v>1699</v>
      </c>
      <c r="B203" s="25" t="n">
        <v>46302</v>
      </c>
      <c r="C203" s="18" t="s">
        <v>162</v>
      </c>
      <c r="D203" s="20" t="str">
        <f aca="false">VLOOKUP(C203,'Supplier Database'!$A$5:$K$29,2,FALSE())</f>
        <v>Orbit Supplies</v>
      </c>
      <c r="E203" s="18" t="s">
        <v>262</v>
      </c>
      <c r="F203" s="20" t="str">
        <f aca="false">VLOOKUP(E203,'Product Master'!$A$5:$K$104,2,FALSE())</f>
        <v>Compact Personal Item 068</v>
      </c>
      <c r="G203" s="17" t="n">
        <v>380</v>
      </c>
      <c r="H203" s="16" t="n">
        <v>4873.25</v>
      </c>
      <c r="I203" s="16" t="n">
        <f aca="false">G203*H203</f>
        <v>1851835</v>
      </c>
      <c r="J203" s="25" t="n">
        <v>46307</v>
      </c>
      <c r="K203" s="25"/>
      <c r="L203" s="17" t="n">
        <v>1</v>
      </c>
      <c r="M203" s="17" t="n">
        <f aca="false">MAX(0,G203-L203)</f>
        <v>379</v>
      </c>
      <c r="N203" s="18" t="s">
        <v>1514</v>
      </c>
      <c r="O203" s="17" t="n">
        <f aca="false">IF(N203="Cancelled",0,IF(K203&lt;&gt;"",MAX(0,K203-J203),IF(N203="Delayed",MAX(0,'Daily MIS Report'!$B$4-J203),0)))</f>
        <v>7</v>
      </c>
    </row>
    <row r="204" customFormat="false" ht="15" hidden="false" customHeight="false" outlineLevel="0" collapsed="false">
      <c r="A204" s="26" t="s">
        <v>1700</v>
      </c>
      <c r="B204" s="34" t="n">
        <v>45962</v>
      </c>
      <c r="C204" s="26" t="s">
        <v>165</v>
      </c>
      <c r="D204" s="27" t="str">
        <f aca="false">VLOOKUP(C204,'Supplier Database'!$A$5:$K$29,2,FALSE())</f>
        <v>Riverstone Trading Co.</v>
      </c>
      <c r="E204" s="26" t="s">
        <v>259</v>
      </c>
      <c r="F204" s="27" t="str">
        <f aca="false">VLOOKUP(E204,'Product Master'!$A$5:$K$104,2,FALSE())</f>
        <v>Compact Electronics Item 065</v>
      </c>
      <c r="G204" s="28" t="n">
        <v>123</v>
      </c>
      <c r="H204" s="29" t="n">
        <v>4798.65</v>
      </c>
      <c r="I204" s="29" t="n">
        <f aca="false">G204*H204</f>
        <v>590233.95</v>
      </c>
      <c r="J204" s="34" t="n">
        <v>45974</v>
      </c>
      <c r="K204" s="34" t="n">
        <v>45980</v>
      </c>
      <c r="L204" s="28" t="n">
        <v>123</v>
      </c>
      <c r="M204" s="28" t="n">
        <f aca="false">MAX(0,G204-L204)</f>
        <v>0</v>
      </c>
      <c r="N204" s="26" t="s">
        <v>1500</v>
      </c>
      <c r="O204" s="28" t="n">
        <f aca="false">IF(N204="Cancelled",0,IF(K204&lt;&gt;"",MAX(0,K204-J204),IF(N204="Delayed",MAX(0,'Daily MIS Report'!$B$4-J204),0)))</f>
        <v>6</v>
      </c>
    </row>
    <row r="205" customFormat="false" ht="15" hidden="false" customHeight="false" outlineLevel="0" collapsed="false">
      <c r="A205" s="18" t="s">
        <v>1701</v>
      </c>
      <c r="B205" s="25" t="n">
        <v>46197</v>
      </c>
      <c r="C205" s="18" t="s">
        <v>162</v>
      </c>
      <c r="D205" s="20" t="str">
        <f aca="false">VLOOKUP(C205,'Supplier Database'!$A$5:$K$29,2,FALSE())</f>
        <v>Orbit Supplies</v>
      </c>
      <c r="E205" s="18" t="s">
        <v>209</v>
      </c>
      <c r="F205" s="20" t="str">
        <f aca="false">VLOOKUP(E205,'Product Master'!$A$5:$K$104,2,FALSE())</f>
        <v>Classic Apparel Item 015</v>
      </c>
      <c r="G205" s="17" t="n">
        <v>368</v>
      </c>
      <c r="H205" s="16" t="n">
        <v>989.57</v>
      </c>
      <c r="I205" s="16" t="n">
        <f aca="false">G205*H205</f>
        <v>364161.76</v>
      </c>
      <c r="J205" s="25" t="n">
        <v>46211</v>
      </c>
      <c r="K205" s="25" t="n">
        <v>46210</v>
      </c>
      <c r="L205" s="17" t="n">
        <v>262</v>
      </c>
      <c r="M205" s="17" t="n">
        <f aca="false">MAX(0,G205-L205)</f>
        <v>106</v>
      </c>
      <c r="N205" s="18" t="s">
        <v>1503</v>
      </c>
      <c r="O205" s="17" t="n">
        <f aca="false">IF(N205="Cancelled",0,IF(K205&lt;&gt;"",MAX(0,K205-J205),IF(N205="Delayed",MAX(0,'Daily MIS Report'!$B$4-J205),0)))</f>
        <v>0</v>
      </c>
    </row>
    <row r="206" customFormat="false" ht="15" hidden="false" customHeight="false" outlineLevel="0" collapsed="false">
      <c r="A206" s="26" t="s">
        <v>1702</v>
      </c>
      <c r="B206" s="34" t="n">
        <v>46159</v>
      </c>
      <c r="C206" s="26" t="s">
        <v>149</v>
      </c>
      <c r="D206" s="27" t="str">
        <f aca="false">VLOOKUP(C206,'Supplier Database'!$A$5:$K$29,2,FALSE())</f>
        <v>Bright Distributors</v>
      </c>
      <c r="E206" s="26" t="s">
        <v>253</v>
      </c>
      <c r="F206" s="27" t="str">
        <f aca="false">VLOOKUP(E206,'Product Master'!$A$5:$K$104,2,FALSE())</f>
        <v>Eco Office Item 059</v>
      </c>
      <c r="G206" s="28" t="n">
        <v>87</v>
      </c>
      <c r="H206" s="29" t="n">
        <v>264.92</v>
      </c>
      <c r="I206" s="29" t="n">
        <f aca="false">G206*H206</f>
        <v>23048.04</v>
      </c>
      <c r="J206" s="34" t="n">
        <v>46167</v>
      </c>
      <c r="K206" s="34" t="n">
        <v>46164</v>
      </c>
      <c r="L206" s="28" t="n">
        <v>87</v>
      </c>
      <c r="M206" s="28" t="n">
        <f aca="false">MAX(0,G206-L206)</f>
        <v>0</v>
      </c>
      <c r="N206" s="26" t="s">
        <v>1500</v>
      </c>
      <c r="O206" s="28" t="n">
        <f aca="false">IF(N206="Cancelled",0,IF(K206&lt;&gt;"",MAX(0,K206-J206),IF(N206="Delayed",MAX(0,'Daily MIS Report'!$B$4-J206),0)))</f>
        <v>0</v>
      </c>
    </row>
    <row r="207" customFormat="false" ht="15" hidden="false" customHeight="false" outlineLevel="0" collapsed="false">
      <c r="A207" s="18" t="s">
        <v>1703</v>
      </c>
      <c r="B207" s="25" t="n">
        <v>46217</v>
      </c>
      <c r="C207" s="18" t="s">
        <v>162</v>
      </c>
      <c r="D207" s="20" t="str">
        <f aca="false">VLOOKUP(C207,'Supplier Database'!$A$5:$K$29,2,FALSE())</f>
        <v>Orbit Supplies</v>
      </c>
      <c r="E207" s="18" t="s">
        <v>281</v>
      </c>
      <c r="F207" s="20" t="str">
        <f aca="false">VLOOKUP(E207,'Product Master'!$A$5:$K$104,2,FALSE())</f>
        <v>Compact Apparel Item 087</v>
      </c>
      <c r="G207" s="17" t="n">
        <v>433</v>
      </c>
      <c r="H207" s="16" t="n">
        <v>5275.29</v>
      </c>
      <c r="I207" s="16" t="n">
        <f aca="false">G207*H207</f>
        <v>2284200.57</v>
      </c>
      <c r="J207" s="25" t="n">
        <v>46231</v>
      </c>
      <c r="K207" s="25" t="n">
        <v>46231</v>
      </c>
      <c r="L207" s="17" t="n">
        <v>433</v>
      </c>
      <c r="M207" s="17" t="n">
        <f aca="false">MAX(0,G207-L207)</f>
        <v>0</v>
      </c>
      <c r="N207" s="18" t="s">
        <v>1500</v>
      </c>
      <c r="O207" s="17" t="n">
        <f aca="false">IF(N207="Cancelled",0,IF(K207&lt;&gt;"",MAX(0,K207-J207),IF(N207="Delayed",MAX(0,'Daily MIS Report'!$B$4-J207),0)))</f>
        <v>0</v>
      </c>
    </row>
    <row r="208" customFormat="false" ht="15" hidden="false" customHeight="false" outlineLevel="0" collapsed="false">
      <c r="A208" s="26" t="s">
        <v>1704</v>
      </c>
      <c r="B208" s="34" t="n">
        <v>45932</v>
      </c>
      <c r="C208" s="26" t="s">
        <v>171</v>
      </c>
      <c r="D208" s="27" t="str">
        <f aca="false">VLOOKUP(C208,'Supplier Database'!$A$5:$K$29,2,FALSE())</f>
        <v>Yugma Industries</v>
      </c>
      <c r="E208" s="26" t="s">
        <v>222</v>
      </c>
      <c r="F208" s="27" t="str">
        <f aca="false">VLOOKUP(E208,'Product Master'!$A$5:$K$104,2,FALSE())</f>
        <v>Pro Personal Item 028</v>
      </c>
      <c r="G208" s="28" t="n">
        <v>316</v>
      </c>
      <c r="H208" s="29" t="n">
        <v>1697.06</v>
      </c>
      <c r="I208" s="29" t="n">
        <f aca="false">G208*H208</f>
        <v>536270.96</v>
      </c>
      <c r="J208" s="34" t="n">
        <v>45935</v>
      </c>
      <c r="K208" s="34" t="n">
        <v>45933</v>
      </c>
      <c r="L208" s="28" t="n">
        <v>316</v>
      </c>
      <c r="M208" s="28" t="n">
        <f aca="false">MAX(0,G208-L208)</f>
        <v>0</v>
      </c>
      <c r="N208" s="26" t="s">
        <v>1500</v>
      </c>
      <c r="O208" s="28" t="n">
        <f aca="false">IF(N208="Cancelled",0,IF(K208&lt;&gt;"",MAX(0,K208-J208),IF(N208="Delayed",MAX(0,'Daily MIS Report'!$B$4-J208),0)))</f>
        <v>0</v>
      </c>
    </row>
    <row r="209" customFormat="false" ht="15" hidden="false" customHeight="false" outlineLevel="0" collapsed="false">
      <c r="A209" s="18" t="s">
        <v>1705</v>
      </c>
      <c r="B209" s="25" t="n">
        <v>46208</v>
      </c>
      <c r="C209" s="18" t="s">
        <v>149</v>
      </c>
      <c r="D209" s="20" t="str">
        <f aca="false">VLOOKUP(C209,'Supplier Database'!$A$5:$K$29,2,FALSE())</f>
        <v>Bright Distributors</v>
      </c>
      <c r="E209" s="18" t="s">
        <v>203</v>
      </c>
      <c r="F209" s="20" t="str">
        <f aca="false">VLOOKUP(E209,'Product Master'!$A$5:$K$104,2,FALSE())</f>
        <v>Essential Electronics Item 009</v>
      </c>
      <c r="G209" s="17" t="n">
        <v>498</v>
      </c>
      <c r="H209" s="16" t="n">
        <v>3809.77</v>
      </c>
      <c r="I209" s="16" t="n">
        <f aca="false">G209*H209</f>
        <v>1897265.46</v>
      </c>
      <c r="J209" s="25" t="n">
        <v>46216</v>
      </c>
      <c r="K209" s="25" t="n">
        <v>46215</v>
      </c>
      <c r="L209" s="17" t="n">
        <v>498</v>
      </c>
      <c r="M209" s="17" t="n">
        <f aca="false">MAX(0,G209-L209)</f>
        <v>0</v>
      </c>
      <c r="N209" s="18" t="s">
        <v>1500</v>
      </c>
      <c r="O209" s="17" t="n">
        <f aca="false">IF(N209="Cancelled",0,IF(K209&lt;&gt;"",MAX(0,K209-J209),IF(N209="Delayed",MAX(0,'Daily MIS Report'!$B$4-J209),0)))</f>
        <v>0</v>
      </c>
    </row>
    <row r="210" customFormat="false" ht="15" hidden="false" customHeight="false" outlineLevel="0" collapsed="false">
      <c r="A210" s="26" t="s">
        <v>1706</v>
      </c>
      <c r="B210" s="34" t="n">
        <v>46000</v>
      </c>
      <c r="C210" s="26" t="s">
        <v>172</v>
      </c>
      <c r="D210" s="27" t="str">
        <f aca="false">VLOOKUP(C210,'Supplier Database'!$A$5:$K$29,2,FALSE())</f>
        <v>Zenith Trading Co.</v>
      </c>
      <c r="E210" s="26" t="s">
        <v>277</v>
      </c>
      <c r="F210" s="27" t="str">
        <f aca="false">VLOOKUP(E210,'Product Master'!$A$5:$K$104,2,FALSE())</f>
        <v>Essential Office Item 083</v>
      </c>
      <c r="G210" s="28" t="n">
        <v>393</v>
      </c>
      <c r="H210" s="29" t="n">
        <v>2579.65</v>
      </c>
      <c r="I210" s="29" t="n">
        <f aca="false">G210*H210</f>
        <v>1013802.45</v>
      </c>
      <c r="J210" s="34" t="n">
        <v>46005</v>
      </c>
      <c r="K210" s="34" t="n">
        <v>46005</v>
      </c>
      <c r="L210" s="28" t="n">
        <v>393</v>
      </c>
      <c r="M210" s="28" t="n">
        <f aca="false">MAX(0,G210-L210)</f>
        <v>0</v>
      </c>
      <c r="N210" s="26" t="s">
        <v>1500</v>
      </c>
      <c r="O210" s="28" t="n">
        <f aca="false">IF(N210="Cancelled",0,IF(K210&lt;&gt;"",MAX(0,K210-J210),IF(N210="Delayed",MAX(0,'Daily MIS Report'!$B$4-J210),0)))</f>
        <v>0</v>
      </c>
    </row>
    <row r="211" customFormat="false" ht="15" hidden="false" customHeight="false" outlineLevel="0" collapsed="false">
      <c r="A211" s="18" t="s">
        <v>1707</v>
      </c>
      <c r="B211" s="25" t="n">
        <v>46160</v>
      </c>
      <c r="C211" s="18" t="s">
        <v>160</v>
      </c>
      <c r="D211" s="20" t="str">
        <f aca="false">VLOOKUP(C211,'Supplier Database'!$A$5:$K$29,2,FALSE())</f>
        <v>Meridian Wholesale</v>
      </c>
      <c r="E211" s="18" t="s">
        <v>243</v>
      </c>
      <c r="F211" s="20" t="str">
        <f aca="false">VLOOKUP(E211,'Product Master'!$A$5:$K$104,2,FALSE())</f>
        <v>Premium Electronics Item 049</v>
      </c>
      <c r="G211" s="17" t="n">
        <v>61</v>
      </c>
      <c r="H211" s="16" t="n">
        <v>6036.88</v>
      </c>
      <c r="I211" s="16" t="n">
        <f aca="false">G211*H211</f>
        <v>368249.68</v>
      </c>
      <c r="J211" s="25" t="n">
        <v>46162</v>
      </c>
      <c r="K211" s="25" t="n">
        <v>46165</v>
      </c>
      <c r="L211" s="17" t="n">
        <v>9</v>
      </c>
      <c r="M211" s="17" t="n">
        <f aca="false">MAX(0,G211-L211)</f>
        <v>52</v>
      </c>
      <c r="N211" s="18" t="s">
        <v>1503</v>
      </c>
      <c r="O211" s="17" t="n">
        <f aca="false">IF(N211="Cancelled",0,IF(K211&lt;&gt;"",MAX(0,K211-J211),IF(N211="Delayed",MAX(0,'Daily MIS Report'!$B$4-J211),0)))</f>
        <v>3</v>
      </c>
    </row>
    <row r="212" customFormat="false" ht="15" hidden="false" customHeight="false" outlineLevel="0" collapsed="false">
      <c r="A212" s="26" t="s">
        <v>1708</v>
      </c>
      <c r="B212" s="34" t="n">
        <v>46265</v>
      </c>
      <c r="C212" s="26" t="s">
        <v>159</v>
      </c>
      <c r="D212" s="27" t="str">
        <f aca="false">VLOOKUP(C212,'Supplier Database'!$A$5:$K$29,2,FALSE())</f>
        <v>Lotus Logistics</v>
      </c>
      <c r="E212" s="26" t="s">
        <v>210</v>
      </c>
      <c r="F212" s="27" t="str">
        <f aca="false">VLOOKUP(E212,'Product Master'!$A$5:$K$104,2,FALSE())</f>
        <v>Pro Automotive Item 016</v>
      </c>
      <c r="G212" s="28" t="n">
        <v>111</v>
      </c>
      <c r="H212" s="29" t="n">
        <v>4212.57</v>
      </c>
      <c r="I212" s="29" t="n">
        <f aca="false">G212*H212</f>
        <v>467595.27</v>
      </c>
      <c r="J212" s="34" t="n">
        <v>46275</v>
      </c>
      <c r="K212" s="34" t="n">
        <v>46274</v>
      </c>
      <c r="L212" s="28" t="n">
        <v>111</v>
      </c>
      <c r="M212" s="28" t="n">
        <f aca="false">MAX(0,G212-L212)</f>
        <v>0</v>
      </c>
      <c r="N212" s="26" t="s">
        <v>1500</v>
      </c>
      <c r="O212" s="28" t="n">
        <f aca="false">IF(N212="Cancelled",0,IF(K212&lt;&gt;"",MAX(0,K212-J212),IF(N212="Delayed",MAX(0,'Daily MIS Report'!$B$4-J212),0)))</f>
        <v>0</v>
      </c>
    </row>
    <row r="213" customFormat="false" ht="15" hidden="false" customHeight="false" outlineLevel="0" collapsed="false">
      <c r="A213" s="18" t="s">
        <v>1709</v>
      </c>
      <c r="B213" s="25" t="n">
        <v>46303</v>
      </c>
      <c r="C213" s="18" t="s">
        <v>155</v>
      </c>
      <c r="D213" s="20" t="str">
        <f aca="false">VLOOKUP(C213,'Supplier Database'!$A$5:$K$29,2,FALSE())</f>
        <v>Horizon Supplies</v>
      </c>
      <c r="E213" s="18" t="s">
        <v>195</v>
      </c>
      <c r="F213" s="20" t="str">
        <f aca="false">VLOOKUP(E213,'Product Master'!$A$5:$K$104,2,FALSE())</f>
        <v>Everyday Electronics Item 001</v>
      </c>
      <c r="G213" s="17" t="n">
        <v>407</v>
      </c>
      <c r="H213" s="16" t="n">
        <v>2211.5</v>
      </c>
      <c r="I213" s="16" t="n">
        <f aca="false">G213*H213</f>
        <v>900080.5</v>
      </c>
      <c r="J213" s="25" t="n">
        <v>46308</v>
      </c>
      <c r="K213" s="25" t="n">
        <v>46308</v>
      </c>
      <c r="L213" s="17" t="n">
        <v>407</v>
      </c>
      <c r="M213" s="17" t="n">
        <f aca="false">MAX(0,G213-L213)</f>
        <v>0</v>
      </c>
      <c r="N213" s="18" t="s">
        <v>1500</v>
      </c>
      <c r="O213" s="17" t="n">
        <f aca="false">IF(N213="Cancelled",0,IF(K213&lt;&gt;"",MAX(0,K213-J213),IF(N213="Delayed",MAX(0,'Daily MIS Report'!$B$4-J213),0)))</f>
        <v>0</v>
      </c>
    </row>
    <row r="214" customFormat="false" ht="15" hidden="false" customHeight="false" outlineLevel="0" collapsed="false">
      <c r="A214" s="26" t="s">
        <v>1710</v>
      </c>
      <c r="B214" s="34" t="n">
        <v>46148</v>
      </c>
      <c r="C214" s="26" t="s">
        <v>165</v>
      </c>
      <c r="D214" s="27" t="str">
        <f aca="false">VLOOKUP(C214,'Supplier Database'!$A$5:$K$29,2,FALSE())</f>
        <v>Riverstone Trading Co.</v>
      </c>
      <c r="E214" s="26" t="s">
        <v>243</v>
      </c>
      <c r="F214" s="27" t="str">
        <f aca="false">VLOOKUP(E214,'Product Master'!$A$5:$K$104,2,FALSE())</f>
        <v>Premium Electronics Item 049</v>
      </c>
      <c r="G214" s="28" t="n">
        <v>441</v>
      </c>
      <c r="H214" s="29" t="n">
        <v>5715.71</v>
      </c>
      <c r="I214" s="29" t="n">
        <f aca="false">G214*H214</f>
        <v>2520628.11</v>
      </c>
      <c r="J214" s="34" t="n">
        <v>46160</v>
      </c>
      <c r="K214" s="34" t="n">
        <v>46166</v>
      </c>
      <c r="L214" s="28" t="n">
        <v>441</v>
      </c>
      <c r="M214" s="28" t="n">
        <f aca="false">MAX(0,G214-L214)</f>
        <v>0</v>
      </c>
      <c r="N214" s="26" t="s">
        <v>1500</v>
      </c>
      <c r="O214" s="28" t="n">
        <f aca="false">IF(N214="Cancelled",0,IF(K214&lt;&gt;"",MAX(0,K214-J214),IF(N214="Delayed",MAX(0,'Daily MIS Report'!$B$4-J214),0)))</f>
        <v>6</v>
      </c>
    </row>
    <row r="215" customFormat="false" ht="15" hidden="false" customHeight="false" outlineLevel="0" collapsed="false">
      <c r="A215" s="18" t="s">
        <v>1711</v>
      </c>
      <c r="B215" s="25" t="n">
        <v>46302</v>
      </c>
      <c r="C215" s="18" t="s">
        <v>154</v>
      </c>
      <c r="D215" s="20" t="str">
        <f aca="false">VLOOKUP(C215,'Supplier Database'!$A$5:$K$29,2,FALSE())</f>
        <v>Global Partners</v>
      </c>
      <c r="E215" s="18" t="s">
        <v>287</v>
      </c>
      <c r="F215" s="20" t="str">
        <f aca="false">VLOOKUP(E215,'Product Master'!$A$5:$K$104,2,FALSE())</f>
        <v>Compact Industrial Item 093</v>
      </c>
      <c r="G215" s="17" t="n">
        <v>411</v>
      </c>
      <c r="H215" s="16" t="n">
        <v>4748.41</v>
      </c>
      <c r="I215" s="16" t="n">
        <f aca="false">G215*H215</f>
        <v>1951596.51</v>
      </c>
      <c r="J215" s="25" t="n">
        <v>46307</v>
      </c>
      <c r="K215" s="25"/>
      <c r="L215" s="17" t="n">
        <v>6</v>
      </c>
      <c r="M215" s="17" t="n">
        <f aca="false">MAX(0,G215-L215)</f>
        <v>405</v>
      </c>
      <c r="N215" s="18" t="s">
        <v>1514</v>
      </c>
      <c r="O215" s="17" t="n">
        <f aca="false">IF(N215="Cancelled",0,IF(K215&lt;&gt;"",MAX(0,K215-J215),IF(N215="Delayed",MAX(0,'Daily MIS Report'!$B$4-J215),0)))</f>
        <v>7</v>
      </c>
    </row>
    <row r="216" customFormat="false" ht="15" hidden="false" customHeight="false" outlineLevel="0" collapsed="false">
      <c r="A216" s="26" t="s">
        <v>1712</v>
      </c>
      <c r="B216" s="34" t="n">
        <v>46245</v>
      </c>
      <c r="C216" s="26" t="s">
        <v>172</v>
      </c>
      <c r="D216" s="27" t="str">
        <f aca="false">VLOOKUP(C216,'Supplier Database'!$A$5:$K$29,2,FALSE())</f>
        <v>Zenith Trading Co.</v>
      </c>
      <c r="E216" s="26" t="s">
        <v>197</v>
      </c>
      <c r="F216" s="27" t="str">
        <f aca="false">VLOOKUP(E216,'Product Master'!$A$5:$K$104,2,FALSE())</f>
        <v>Premium Office Item 003</v>
      </c>
      <c r="G216" s="28" t="n">
        <v>143</v>
      </c>
      <c r="H216" s="29" t="n">
        <v>1186.61</v>
      </c>
      <c r="I216" s="29" t="n">
        <f aca="false">G216*H216</f>
        <v>169685.23</v>
      </c>
      <c r="J216" s="34" t="n">
        <v>46250</v>
      </c>
      <c r="K216" s="34" t="n">
        <v>46247</v>
      </c>
      <c r="L216" s="28" t="n">
        <v>143</v>
      </c>
      <c r="M216" s="28" t="n">
        <f aca="false">MAX(0,G216-L216)</f>
        <v>0</v>
      </c>
      <c r="N216" s="26" t="s">
        <v>1500</v>
      </c>
      <c r="O216" s="28" t="n">
        <f aca="false">IF(N216="Cancelled",0,IF(K216&lt;&gt;"",MAX(0,K216-J216),IF(N216="Delayed",MAX(0,'Daily MIS Report'!$B$4-J216),0)))</f>
        <v>0</v>
      </c>
    </row>
    <row r="217" customFormat="false" ht="15" hidden="false" customHeight="false" outlineLevel="0" collapsed="false">
      <c r="A217" s="18" t="s">
        <v>1713</v>
      </c>
      <c r="B217" s="25" t="n">
        <v>46159</v>
      </c>
      <c r="C217" s="18" t="s">
        <v>167</v>
      </c>
      <c r="D217" s="20" t="str">
        <f aca="false">VLOOKUP(C217,'Supplier Database'!$A$5:$K$29,2,FALSE())</f>
        <v>Trident Wholesale</v>
      </c>
      <c r="E217" s="18" t="s">
        <v>281</v>
      </c>
      <c r="F217" s="20" t="str">
        <f aca="false">VLOOKUP(E217,'Product Master'!$A$5:$K$104,2,FALSE())</f>
        <v>Compact Apparel Item 087</v>
      </c>
      <c r="G217" s="17" t="n">
        <v>380</v>
      </c>
      <c r="H217" s="16" t="n">
        <v>5640.77</v>
      </c>
      <c r="I217" s="16" t="n">
        <f aca="false">G217*H217</f>
        <v>2143492.6</v>
      </c>
      <c r="J217" s="25" t="n">
        <v>46171</v>
      </c>
      <c r="K217" s="25" t="n">
        <v>46168</v>
      </c>
      <c r="L217" s="17" t="n">
        <v>380</v>
      </c>
      <c r="M217" s="17" t="n">
        <f aca="false">MAX(0,G217-L217)</f>
        <v>0</v>
      </c>
      <c r="N217" s="18" t="s">
        <v>1500</v>
      </c>
      <c r="O217" s="17" t="n">
        <f aca="false">IF(N217="Cancelled",0,IF(K217&lt;&gt;"",MAX(0,K217-J217),IF(N217="Delayed",MAX(0,'Daily MIS Report'!$B$4-J217),0)))</f>
        <v>0</v>
      </c>
    </row>
    <row r="218" customFormat="false" ht="15" hidden="false" customHeight="false" outlineLevel="0" collapsed="false">
      <c r="A218" s="26" t="s">
        <v>1714</v>
      </c>
      <c r="B218" s="34" t="n">
        <v>46302</v>
      </c>
      <c r="C218" s="26" t="s">
        <v>162</v>
      </c>
      <c r="D218" s="27" t="str">
        <f aca="false">VLOOKUP(C218,'Supplier Database'!$A$5:$K$29,2,FALSE())</f>
        <v>Orbit Supplies</v>
      </c>
      <c r="E218" s="26" t="s">
        <v>224</v>
      </c>
      <c r="F218" s="27" t="str">
        <f aca="false">VLOOKUP(E218,'Product Master'!$A$5:$K$104,2,FALSE())</f>
        <v>Premium Packaging Item 030</v>
      </c>
      <c r="G218" s="28" t="n">
        <v>296</v>
      </c>
      <c r="H218" s="29" t="n">
        <v>5427.17</v>
      </c>
      <c r="I218" s="29" t="n">
        <f aca="false">G218*H218</f>
        <v>1606442.32</v>
      </c>
      <c r="J218" s="34" t="n">
        <v>46310</v>
      </c>
      <c r="K218" s="34"/>
      <c r="L218" s="28" t="n">
        <v>0</v>
      </c>
      <c r="M218" s="28" t="n">
        <f aca="false">MAX(0,G218-L218)</f>
        <v>296</v>
      </c>
      <c r="N218" s="26" t="s">
        <v>1514</v>
      </c>
      <c r="O218" s="28" t="n">
        <f aca="false">IF(N218="Cancelled",0,IF(K218&lt;&gt;"",MAX(0,K218-J218),IF(N218="Delayed",MAX(0,'Daily MIS Report'!$B$4-J218),0)))</f>
        <v>4</v>
      </c>
    </row>
    <row r="219" customFormat="false" ht="15" hidden="false" customHeight="false" outlineLevel="0" collapsed="false">
      <c r="A219" s="18" t="s">
        <v>1715</v>
      </c>
      <c r="B219" s="25" t="n">
        <v>46002</v>
      </c>
      <c r="C219" s="18" t="s">
        <v>164</v>
      </c>
      <c r="D219" s="20" t="str">
        <f aca="false">VLOOKUP(C219,'Supplier Database'!$A$5:$K$29,2,FALSE())</f>
        <v>Quantum Industries</v>
      </c>
      <c r="E219" s="18" t="s">
        <v>232</v>
      </c>
      <c r="F219" s="20" t="str">
        <f aca="false">VLOOKUP(E219,'Product Master'!$A$5:$K$104,2,FALSE())</f>
        <v>Eco Packaging Item 038</v>
      </c>
      <c r="G219" s="17" t="n">
        <v>139</v>
      </c>
      <c r="H219" s="16" t="n">
        <v>5204.61</v>
      </c>
      <c r="I219" s="16" t="n">
        <f aca="false">G219*H219</f>
        <v>723440.79</v>
      </c>
      <c r="J219" s="25" t="n">
        <v>46007</v>
      </c>
      <c r="K219" s="25"/>
      <c r="L219" s="17" t="n">
        <v>0</v>
      </c>
      <c r="M219" s="17" t="n">
        <f aca="false">MAX(0,G219-L219)</f>
        <v>139</v>
      </c>
      <c r="N219" s="18" t="s">
        <v>37</v>
      </c>
      <c r="O219" s="17" t="n">
        <f aca="false">IF(N219="Cancelled",0,IF(K219&lt;&gt;"",MAX(0,K219-J219),IF(N219="Delayed",MAX(0,'Daily MIS Report'!$B$4-J219),0)))</f>
        <v>0</v>
      </c>
    </row>
    <row r="220" customFormat="false" ht="15" hidden="false" customHeight="false" outlineLevel="0" collapsed="false">
      <c r="A220" s="26" t="s">
        <v>1716</v>
      </c>
      <c r="B220" s="34" t="n">
        <v>46094</v>
      </c>
      <c r="C220" s="26" t="s">
        <v>166</v>
      </c>
      <c r="D220" s="27" t="str">
        <f aca="false">VLOOKUP(C220,'Supplier Database'!$A$5:$K$29,2,FALSE())</f>
        <v>Summit Logistics</v>
      </c>
      <c r="E220" s="26" t="s">
        <v>271</v>
      </c>
      <c r="F220" s="27" t="str">
        <f aca="false">VLOOKUP(E220,'Product Master'!$A$5:$K$104,2,FALSE())</f>
        <v>Everyday Industrial Item 077</v>
      </c>
      <c r="G220" s="28" t="n">
        <v>415</v>
      </c>
      <c r="H220" s="29" t="n">
        <v>2723.52</v>
      </c>
      <c r="I220" s="29" t="n">
        <f aca="false">G220*H220</f>
        <v>1130260.8</v>
      </c>
      <c r="J220" s="34" t="n">
        <v>46099</v>
      </c>
      <c r="K220" s="34" t="n">
        <v>46099</v>
      </c>
      <c r="L220" s="28" t="n">
        <v>415</v>
      </c>
      <c r="M220" s="28" t="n">
        <f aca="false">MAX(0,G220-L220)</f>
        <v>0</v>
      </c>
      <c r="N220" s="26" t="s">
        <v>1500</v>
      </c>
      <c r="O220" s="28" t="n">
        <f aca="false">IF(N220="Cancelled",0,IF(K220&lt;&gt;"",MAX(0,K220-J220),IF(N220="Delayed",MAX(0,'Daily MIS Report'!$B$4-J220),0)))</f>
        <v>0</v>
      </c>
    </row>
    <row r="221" customFormat="false" ht="15" hidden="false" customHeight="false" outlineLevel="0" collapsed="false">
      <c r="A221" s="18" t="s">
        <v>1717</v>
      </c>
      <c r="B221" s="25" t="n">
        <v>46004</v>
      </c>
      <c r="C221" s="18" t="s">
        <v>169</v>
      </c>
      <c r="D221" s="20" t="str">
        <f aca="false">VLOOKUP(C221,'Supplier Database'!$A$5:$K$29,2,FALSE())</f>
        <v>Vertex Supplies</v>
      </c>
      <c r="E221" s="18" t="s">
        <v>261</v>
      </c>
      <c r="F221" s="20" t="str">
        <f aca="false">VLOOKUP(E221,'Product Master'!$A$5:$K$104,2,FALSE())</f>
        <v>Premium Office Item 067</v>
      </c>
      <c r="G221" s="17" t="n">
        <v>133</v>
      </c>
      <c r="H221" s="16" t="n">
        <v>2212.58</v>
      </c>
      <c r="I221" s="16" t="n">
        <f aca="false">G221*H221</f>
        <v>294273.14</v>
      </c>
      <c r="J221" s="25" t="n">
        <v>46008</v>
      </c>
      <c r="K221" s="25" t="n">
        <v>46015</v>
      </c>
      <c r="L221" s="17" t="n">
        <v>133</v>
      </c>
      <c r="M221" s="17" t="n">
        <f aca="false">MAX(0,G221-L221)</f>
        <v>0</v>
      </c>
      <c r="N221" s="18" t="s">
        <v>1500</v>
      </c>
      <c r="O221" s="17" t="n">
        <f aca="false">IF(N221="Cancelled",0,IF(K221&lt;&gt;"",MAX(0,K221-J221),IF(N221="Delayed",MAX(0,'Daily MIS Report'!$B$4-J221),0)))</f>
        <v>7</v>
      </c>
    </row>
    <row r="222" customFormat="false" ht="15" hidden="false" customHeight="false" outlineLevel="0" collapsed="false">
      <c r="A222" s="26" t="s">
        <v>1718</v>
      </c>
      <c r="B222" s="34" t="n">
        <v>46233</v>
      </c>
      <c r="C222" s="26" t="s">
        <v>171</v>
      </c>
      <c r="D222" s="27" t="str">
        <f aca="false">VLOOKUP(C222,'Supplier Database'!$A$5:$K$29,2,FALSE())</f>
        <v>Yugma Industries</v>
      </c>
      <c r="E222" s="26" t="s">
        <v>217</v>
      </c>
      <c r="F222" s="27" t="str">
        <f aca="false">VLOOKUP(E222,'Product Master'!$A$5:$K$104,2,FALSE())</f>
        <v>Eco Apparel Item 023</v>
      </c>
      <c r="G222" s="28" t="n">
        <v>340</v>
      </c>
      <c r="H222" s="29" t="n">
        <v>2693.26</v>
      </c>
      <c r="I222" s="29" t="n">
        <f aca="false">G222*H222</f>
        <v>915708.4</v>
      </c>
      <c r="J222" s="34" t="n">
        <v>46236</v>
      </c>
      <c r="K222" s="34" t="n">
        <v>46233</v>
      </c>
      <c r="L222" s="28" t="n">
        <v>340</v>
      </c>
      <c r="M222" s="28" t="n">
        <f aca="false">MAX(0,G222-L222)</f>
        <v>0</v>
      </c>
      <c r="N222" s="26" t="s">
        <v>1500</v>
      </c>
      <c r="O222" s="28" t="n">
        <f aca="false">IF(N222="Cancelled",0,IF(K222&lt;&gt;"",MAX(0,K222-J222),IF(N222="Delayed",MAX(0,'Daily MIS Report'!$B$4-J222),0)))</f>
        <v>0</v>
      </c>
    </row>
    <row r="223" customFormat="false" ht="15" hidden="false" customHeight="false" outlineLevel="0" collapsed="false">
      <c r="A223" s="18" t="s">
        <v>1719</v>
      </c>
      <c r="B223" s="25" t="n">
        <v>46107</v>
      </c>
      <c r="C223" s="18" t="s">
        <v>168</v>
      </c>
      <c r="D223" s="20" t="str">
        <f aca="false">VLOOKUP(C223,'Supplier Database'!$A$5:$K$29,2,FALSE())</f>
        <v>Unity Partners</v>
      </c>
      <c r="E223" s="18" t="s">
        <v>280</v>
      </c>
      <c r="F223" s="20" t="str">
        <f aca="false">VLOOKUP(E223,'Product Master'!$A$5:$K$104,2,FALSE())</f>
        <v>Classic Packaging Item 086</v>
      </c>
      <c r="G223" s="17" t="n">
        <v>215</v>
      </c>
      <c r="H223" s="16" t="n">
        <v>4884.42</v>
      </c>
      <c r="I223" s="16" t="n">
        <f aca="false">G223*H223</f>
        <v>1050150.3</v>
      </c>
      <c r="J223" s="25" t="n">
        <v>46111</v>
      </c>
      <c r="K223" s="25" t="n">
        <v>46111</v>
      </c>
      <c r="L223" s="17" t="n">
        <v>215</v>
      </c>
      <c r="M223" s="17" t="n">
        <f aca="false">MAX(0,G223-L223)</f>
        <v>0</v>
      </c>
      <c r="N223" s="18" t="s">
        <v>1500</v>
      </c>
      <c r="O223" s="17" t="n">
        <f aca="false">IF(N223="Cancelled",0,IF(K223&lt;&gt;"",MAX(0,K223-J223),IF(N223="Delayed",MAX(0,'Daily MIS Report'!$B$4-J223),0)))</f>
        <v>0</v>
      </c>
    </row>
    <row r="224" customFormat="false" ht="15" hidden="false" customHeight="false" outlineLevel="0" collapsed="false">
      <c r="A224" s="26" t="s">
        <v>1720</v>
      </c>
      <c r="B224" s="34" t="n">
        <v>46140</v>
      </c>
      <c r="C224" s="26" t="s">
        <v>152</v>
      </c>
      <c r="D224" s="27" t="str">
        <f aca="false">VLOOKUP(C224,'Supplier Database'!$A$5:$K$29,2,FALSE())</f>
        <v>Ever Logistics</v>
      </c>
      <c r="E224" s="26" t="s">
        <v>233</v>
      </c>
      <c r="F224" s="27" t="str">
        <f aca="false">VLOOKUP(E224,'Product Master'!$A$5:$K$104,2,FALSE())</f>
        <v>Eco Apparel Item 039</v>
      </c>
      <c r="G224" s="28" t="n">
        <v>212</v>
      </c>
      <c r="H224" s="29" t="n">
        <v>2522.89</v>
      </c>
      <c r="I224" s="29" t="n">
        <f aca="false">G224*H224</f>
        <v>534852.68</v>
      </c>
      <c r="J224" s="34" t="n">
        <v>46143</v>
      </c>
      <c r="K224" s="34" t="n">
        <v>46143</v>
      </c>
      <c r="L224" s="28" t="n">
        <v>212</v>
      </c>
      <c r="M224" s="28" t="n">
        <f aca="false">MAX(0,G224-L224)</f>
        <v>0</v>
      </c>
      <c r="N224" s="26" t="s">
        <v>1500</v>
      </c>
      <c r="O224" s="28" t="n">
        <f aca="false">IF(N224="Cancelled",0,IF(K224&lt;&gt;"",MAX(0,K224-J224),IF(N224="Delayed",MAX(0,'Daily MIS Report'!$B$4-J224),0)))</f>
        <v>0</v>
      </c>
    </row>
  </sheetData>
  <mergeCells count="2">
    <mergeCell ref="A1:O1"/>
    <mergeCell ref="A2:O2"/>
  </mergeCells>
  <conditionalFormatting sqref="O5:O224">
    <cfRule type="cellIs" priority="2" operator="greaterThan" dxfId="0">
      <formula>0</formula>
    </cfRule>
  </conditionalFormatting>
  <dataValidations count="1">
    <dataValidation allowBlank="true" errorStyle="stop" showDropDown="false" showErrorMessage="false" showInputMessage="false" sqref="N5:N224" type="list">
      <formula1>"Received,Partially Received,Pending,Delayed,Cancelled"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5" min="4" style="0" width="12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19"/>
    <col collapsed="false" customWidth="true" hidden="false" outlineLevel="0" max="15" min="9" style="0" width="12"/>
  </cols>
  <sheetData>
    <row r="1" customFormat="false" ht="27.75" hidden="false" customHeight="true" outlineLevel="0" collapsed="false">
      <c r="A1" s="1" t="s">
        <v>1721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9.75" hidden="false" customHeight="true" outlineLevel="0" collapsed="false"/>
    <row r="4" customFormat="false" ht="24" hidden="false" customHeight="true" outlineLevel="0" collapsed="false">
      <c r="A4" s="35" t="s">
        <v>1723</v>
      </c>
      <c r="B4" s="36" t="n">
        <v>46314</v>
      </c>
    </row>
    <row r="6" customFormat="false" ht="21.75" hidden="false" customHeight="true" outlineLevel="0" collapsed="false">
      <c r="A6" s="7" t="s">
        <v>1724</v>
      </c>
      <c r="B6" s="7"/>
      <c r="C6" s="7"/>
      <c r="E6" s="7" t="s">
        <v>1725</v>
      </c>
      <c r="F6" s="7"/>
      <c r="G6" s="7"/>
      <c r="H6" s="7"/>
    </row>
    <row r="7" customFormat="false" ht="24" hidden="false" customHeight="true" outlineLevel="0" collapsed="false">
      <c r="A7" s="14" t="s">
        <v>1726</v>
      </c>
      <c r="B7" s="8" t="s">
        <v>1727</v>
      </c>
      <c r="C7" s="14" t="s">
        <v>1728</v>
      </c>
      <c r="E7" s="8" t="s">
        <v>1729</v>
      </c>
      <c r="F7" s="8" t="s">
        <v>1730</v>
      </c>
      <c r="G7" s="8" t="s">
        <v>1731</v>
      </c>
      <c r="H7" s="8" t="s">
        <v>1732</v>
      </c>
    </row>
    <row r="8" customFormat="false" ht="15" hidden="false" customHeight="false" outlineLevel="0" collapsed="false">
      <c r="A8" s="37" t="s">
        <v>1730</v>
      </c>
      <c r="B8" s="28" t="n">
        <f aca="false">COUNTIF('Order Tracking'!$B$5:$B$604,$B$4)</f>
        <v>6</v>
      </c>
      <c r="C8" s="27" t="s">
        <v>1733</v>
      </c>
      <c r="E8" s="25" t="n">
        <f aca="false">$B$4-6</f>
        <v>46308</v>
      </c>
      <c r="F8" s="17" t="n">
        <f aca="false">COUNTIF('Order Tracking'!$B$5:$B$604,E8)</f>
        <v>1</v>
      </c>
      <c r="G8" s="17" t="n">
        <f aca="false">COUNTIF('Order Tracking'!$N$5:$N$604,E8)</f>
        <v>0</v>
      </c>
      <c r="H8" s="16" t="n">
        <f aca="false">SUMIFS('Order Tracking'!$L$5:$L$604,'Order Tracking'!$B$5:$B$604,E8)</f>
        <v>214616.8</v>
      </c>
    </row>
    <row r="9" customFormat="false" ht="15" hidden="false" customHeight="false" outlineLevel="0" collapsed="false">
      <c r="A9" s="38" t="s">
        <v>1734</v>
      </c>
      <c r="B9" s="17" t="n">
        <f aca="false">COUNTIFS('Order Tracking'!$B$5:$B$604,$B$4,'Order Tracking'!$M$5:$M$604,"Processing")</f>
        <v>2</v>
      </c>
      <c r="C9" s="20" t="s">
        <v>1735</v>
      </c>
      <c r="E9" s="25" t="n">
        <f aca="false">$B$4-5</f>
        <v>46309</v>
      </c>
      <c r="F9" s="17" t="n">
        <f aca="false">COUNTIF('Order Tracking'!$B$5:$B$604,E9)</f>
        <v>1</v>
      </c>
      <c r="G9" s="17" t="n">
        <f aca="false">COUNTIF('Order Tracking'!$N$5:$N$604,E9)</f>
        <v>1</v>
      </c>
      <c r="H9" s="16" t="n">
        <f aca="false">SUMIFS('Order Tracking'!$L$5:$L$604,'Order Tracking'!$B$5:$B$604,E9)</f>
        <v>160479.25</v>
      </c>
    </row>
    <row r="10" customFormat="false" ht="15" hidden="false" customHeight="false" outlineLevel="0" collapsed="false">
      <c r="A10" s="37" t="s">
        <v>1731</v>
      </c>
      <c r="B10" s="28" t="n">
        <f aca="false">COUNTIF('Order Tracking'!$N$5:$N$604,$B$4)</f>
        <v>4</v>
      </c>
      <c r="C10" s="27" t="s">
        <v>1736</v>
      </c>
      <c r="E10" s="25" t="n">
        <f aca="false">$B$4-4</f>
        <v>46310</v>
      </c>
      <c r="F10" s="17" t="n">
        <f aca="false">COUNTIF('Order Tracking'!$B$5:$B$604,E10)</f>
        <v>3</v>
      </c>
      <c r="G10" s="17" t="n">
        <f aca="false">COUNTIF('Order Tracking'!$N$5:$N$604,E10)</f>
        <v>1</v>
      </c>
      <c r="H10" s="16" t="n">
        <f aca="false">SUMIFS('Order Tracking'!$L$5:$L$604,'Order Tracking'!$B$5:$B$604,E10)</f>
        <v>138979.19</v>
      </c>
    </row>
    <row r="11" customFormat="false" ht="15" hidden="false" customHeight="false" outlineLevel="0" collapsed="false">
      <c r="A11" s="38" t="s">
        <v>1737</v>
      </c>
      <c r="B11" s="17" t="n">
        <f aca="false">COUNTIFS('Order Tracking'!$P$5:$P$604,$B$4,'Order Tracking'!$M$5:$M$604,"Delivered")</f>
        <v>3</v>
      </c>
      <c r="C11" s="20" t="s">
        <v>1738</v>
      </c>
      <c r="E11" s="25" t="n">
        <f aca="false">$B$4-3</f>
        <v>46311</v>
      </c>
      <c r="F11" s="17" t="n">
        <f aca="false">COUNTIF('Order Tracking'!$B$5:$B$604,E11)</f>
        <v>2</v>
      </c>
      <c r="G11" s="17" t="n">
        <f aca="false">COUNTIF('Order Tracking'!$N$5:$N$604,E11)</f>
        <v>3</v>
      </c>
      <c r="H11" s="16" t="n">
        <f aca="false">SUMIFS('Order Tracking'!$L$5:$L$604,'Order Tracking'!$B$5:$B$604,E11)</f>
        <v>141701.78</v>
      </c>
    </row>
    <row r="12" customFormat="false" ht="15" hidden="false" customHeight="false" outlineLevel="0" collapsed="false">
      <c r="A12" s="37" t="s">
        <v>8</v>
      </c>
      <c r="B12" s="28" t="n">
        <f aca="false">COUNTIFS('Order Tracking'!$B$5:$B$604,$B$4,'Order Tracking'!$M$5:$M$604,"Pending")</f>
        <v>2</v>
      </c>
      <c r="C12" s="27" t="s">
        <v>1739</v>
      </c>
      <c r="E12" s="25" t="n">
        <f aca="false">$B$4-2</f>
        <v>46312</v>
      </c>
      <c r="F12" s="17" t="n">
        <f aca="false">COUNTIF('Order Tracking'!$B$5:$B$604,E12)</f>
        <v>1</v>
      </c>
      <c r="G12" s="17" t="n">
        <f aca="false">COUNTIF('Order Tracking'!$N$5:$N$604,E12)</f>
        <v>1</v>
      </c>
      <c r="H12" s="16" t="n">
        <f aca="false">SUMIFS('Order Tracking'!$L$5:$L$604,'Order Tracking'!$B$5:$B$604,E12)</f>
        <v>79573.92</v>
      </c>
    </row>
    <row r="13" customFormat="false" ht="15" hidden="false" customHeight="false" outlineLevel="0" collapsed="false">
      <c r="A13" s="38" t="s">
        <v>9</v>
      </c>
      <c r="B13" s="17" t="n">
        <f aca="false">COUNTIFS('Order Tracking'!$B$5:$B$604,$B$4,'Order Tracking'!$R$5:$R$604,"&gt;0")+COUNTIFS('Order Tracking'!$P$5:$P$604,$B$4,'Order Tracking'!$R$5:$R$604,"&gt;0")</f>
        <v>3</v>
      </c>
      <c r="C13" s="20" t="s">
        <v>1740</v>
      </c>
      <c r="E13" s="25" t="n">
        <f aca="false">$B$4-1</f>
        <v>46313</v>
      </c>
      <c r="F13" s="17" t="n">
        <f aca="false">COUNTIF('Order Tracking'!$B$5:$B$604,E13)</f>
        <v>1</v>
      </c>
      <c r="G13" s="17" t="n">
        <f aca="false">COUNTIF('Order Tracking'!$N$5:$N$604,E13)</f>
        <v>1</v>
      </c>
      <c r="H13" s="16" t="n">
        <f aca="false">SUMIFS('Order Tracking'!$L$5:$L$604,'Order Tracking'!$B$5:$B$604,E13)</f>
        <v>227112.82</v>
      </c>
    </row>
    <row r="14" customFormat="false" ht="15" hidden="false" customHeight="false" outlineLevel="0" collapsed="false">
      <c r="A14" s="37" t="s">
        <v>3</v>
      </c>
      <c r="B14" s="29" t="n">
        <f aca="false">SUMIFS('Order Tracking'!$L$5:$L$604,'Order Tracking'!$B$5:$B$604,$B$4)</f>
        <v>616977.88</v>
      </c>
      <c r="C14" s="27" t="s">
        <v>1741</v>
      </c>
      <c r="E14" s="25" t="n">
        <f aca="false">$B$4</f>
        <v>46314</v>
      </c>
      <c r="F14" s="17" t="n">
        <f aca="false">COUNTIF('Order Tracking'!$B$5:$B$604,E14)</f>
        <v>6</v>
      </c>
      <c r="G14" s="17" t="n">
        <f aca="false">COUNTIF('Order Tracking'!$N$5:$N$604,E14)</f>
        <v>4</v>
      </c>
      <c r="H14" s="16" t="n">
        <f aca="false">SUMIFS('Order Tracking'!$L$5:$L$604,'Order Tracking'!$B$5:$B$604,E14)</f>
        <v>616977.88</v>
      </c>
    </row>
    <row r="15" customFormat="false" ht="15" hidden="false" customHeight="false" outlineLevel="0" collapsed="false">
      <c r="A15" s="38" t="s">
        <v>1742</v>
      </c>
      <c r="B15" s="16" t="n">
        <f aca="false">SUMIFS('Purchase Management'!$I$5:$I$224,'Purchase Management'!$B$5:$B$224,$B$4)</f>
        <v>488527.5</v>
      </c>
      <c r="C15" s="20" t="s">
        <v>1743</v>
      </c>
    </row>
    <row r="16" customFormat="false" ht="15" hidden="false" customHeight="false" outlineLevel="0" collapsed="false">
      <c r="A16" s="37" t="s">
        <v>1327</v>
      </c>
      <c r="B16" s="29" t="n">
        <f aca="false">SUM('Inventory Management'!$O$5:$O$104)</f>
        <v>98642688.14</v>
      </c>
      <c r="C16" s="27" t="s">
        <v>1744</v>
      </c>
    </row>
    <row r="17" customFormat="false" ht="15" hidden="false" customHeight="false" outlineLevel="0" collapsed="false">
      <c r="A17" s="38" t="s">
        <v>1745</v>
      </c>
      <c r="B17" s="19" t="n">
        <f aca="false">IFERROR(COUNTIFS('Order Tracking'!$P$5:$P$604,$B$4,'Order Tracking'!$R$5:$R$604,0,'Order Tracking'!$M$5:$M$604,"Delivered")/COUNTIFS('Order Tracking'!$P$5:$P$604,$B$4,'Order Tracking'!$M$5:$M$604,"Delivered"),0)</f>
        <v>0.666666666666667</v>
      </c>
      <c r="C17" s="20" t="s">
        <v>1746</v>
      </c>
    </row>
  </sheetData>
  <mergeCells count="4">
    <mergeCell ref="A1:O1"/>
    <mergeCell ref="A2:O2"/>
    <mergeCell ref="A6:C6"/>
    <mergeCell ref="E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4" min="3" style="0" width="24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1"/>
    <col collapsed="false" customWidth="true" hidden="false" outlineLevel="0" max="12" min="11" style="0" width="24"/>
    <col collapsed="false" customWidth="true" hidden="false" outlineLevel="0" max="13" min="13" style="0" width="17"/>
    <col collapsed="false" customWidth="true" hidden="false" outlineLevel="0" max="20" min="14" style="0" width="12"/>
  </cols>
  <sheetData>
    <row r="1" customFormat="false" ht="27.75" hidden="false" customHeight="true" outlineLevel="0" collapsed="false">
      <c r="A1" s="1" t="s">
        <v>1747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1748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9.75" hidden="false" customHeight="true" outlineLevel="0" collapsed="false"/>
    <row r="4" customFormat="false" ht="21.75" hidden="false" customHeight="true" outlineLevel="0" collapsed="false">
      <c r="A4" s="7" t="s">
        <v>1749</v>
      </c>
      <c r="B4" s="7"/>
      <c r="C4" s="7"/>
      <c r="D4" s="7"/>
      <c r="E4" s="7"/>
      <c r="F4" s="7"/>
      <c r="H4" s="7" t="s">
        <v>1750</v>
      </c>
      <c r="I4" s="7"/>
      <c r="J4" s="7"/>
      <c r="K4" s="7"/>
      <c r="L4" s="7"/>
      <c r="M4" s="7"/>
    </row>
    <row r="5" customFormat="false" ht="24" hidden="false" customHeight="true" outlineLevel="0" collapsed="false">
      <c r="A5" s="8" t="s">
        <v>1751</v>
      </c>
      <c r="B5" s="8" t="s">
        <v>30</v>
      </c>
      <c r="C5" s="8" t="s">
        <v>35</v>
      </c>
      <c r="D5" s="8" t="s">
        <v>1752</v>
      </c>
      <c r="E5" s="8" t="s">
        <v>1753</v>
      </c>
      <c r="F5" s="8" t="s">
        <v>1754</v>
      </c>
      <c r="H5" s="8" t="s">
        <v>28</v>
      </c>
      <c r="I5" s="8" t="s">
        <v>30</v>
      </c>
      <c r="J5" s="8" t="s">
        <v>1755</v>
      </c>
      <c r="K5" s="8" t="s">
        <v>35</v>
      </c>
      <c r="L5" s="8" t="s">
        <v>1752</v>
      </c>
      <c r="M5" s="8" t="s">
        <v>1753</v>
      </c>
    </row>
    <row r="6" customFormat="false" ht="15" hidden="false" customHeight="false" outlineLevel="0" collapsed="false">
      <c r="A6" s="25" t="n">
        <v>46237</v>
      </c>
      <c r="B6" s="17" t="n">
        <f aca="false">COUNTIFS('Order Tracking'!$B$5:$B$604,"&gt;="&amp;A6,'Order Tracking'!$B$5:$B$604,"&lt;"&amp;A6+7)</f>
        <v>11</v>
      </c>
      <c r="C6" s="17" t="n">
        <f aca="false">COUNTIFS('Order Tracking'!$B$5:$B$604,"&gt;="&amp;A6,'Order Tracking'!$B$5:$B$604,"&lt;"&amp;A6+7,'Order Tracking'!$M$5:$M$604,"Delivered")</f>
        <v>8</v>
      </c>
      <c r="D6" s="17" t="n">
        <f aca="false">COUNTIFS('Order Tracking'!$B$5:$B$604,"&gt;="&amp;A6,'Order Tracking'!$B$5:$B$604,"&lt;"&amp;A6+7,'Order Tracking'!$M$5:$M$604,"Pending")+COUNTIFS('Order Tracking'!$B$5:$B$604,"&gt;="&amp;A6,'Order Tracking'!$B$5:$B$604,"&lt;"&amp;A6+7,'Order Tracking'!$M$5:$M$604,"Processing")</f>
        <v>0</v>
      </c>
      <c r="E6" s="19" t="n">
        <f aca="false">IFERROR(C6/B6,0)</f>
        <v>0.727272727272727</v>
      </c>
      <c r="F6" s="16" t="n">
        <f aca="false">SUMIFS('Order Tracking'!$L$5:$L$604,'Order Tracking'!$B$5:$B$604,"&gt;="&amp;A6,'Order Tracking'!$B$5:$B$604,"&lt;"&amp;A6+7)</f>
        <v>560573.47</v>
      </c>
      <c r="H6" s="15" t="n">
        <v>45962</v>
      </c>
      <c r="I6" s="17" t="n">
        <f aca="false">COUNTIFS('Order Tracking'!$B$5:$B$604,"&gt;="&amp;H6,'Order Tracking'!$B$5:$B$604,"&lt;"&amp;EDATE(H6,1))</f>
        <v>50</v>
      </c>
      <c r="J6" s="16" t="n">
        <f aca="false">SUMIFS('Order Tracking'!$L$5:$L$604,'Order Tracking'!$B$5:$B$604,"&gt;="&amp;H6,'Order Tracking'!$B$5:$B$604,"&lt;"&amp;EDATE(H6,1))</f>
        <v>3891158.77</v>
      </c>
      <c r="K6" s="17" t="n">
        <f aca="false">COUNTIFS('Order Tracking'!$B$5:$B$604,"&gt;="&amp;H6,'Order Tracking'!$B$5:$B$604,"&lt;"&amp;EDATE(H6,1),'Order Tracking'!$M$5:$M$604,"Delivered")</f>
        <v>23</v>
      </c>
      <c r="L6" s="17" t="n">
        <f aca="false">COUNTIFS('Order Tracking'!$B$5:$B$604,"&gt;="&amp;H6,'Order Tracking'!$B$5:$B$604,"&lt;"&amp;EDATE(H6,1),'Order Tracking'!$M$5:$M$604,"Pending")+COUNTIFS('Order Tracking'!$B$5:$B$604,"&gt;="&amp;H6,'Order Tracking'!$B$5:$B$604,"&lt;"&amp;EDATE(H6,1),'Order Tracking'!$M$5:$M$604,"Processing")</f>
        <v>21</v>
      </c>
      <c r="M6" s="19" t="n">
        <f aca="false">IFERROR(K6/I6,0)</f>
        <v>0.46</v>
      </c>
    </row>
    <row r="7" customFormat="false" ht="15" hidden="false" customHeight="false" outlineLevel="0" collapsed="false">
      <c r="A7" s="25" t="n">
        <v>46244</v>
      </c>
      <c r="B7" s="17" t="n">
        <f aca="false">COUNTIFS('Order Tracking'!$B$5:$B$604,"&gt;="&amp;A7,'Order Tracking'!$B$5:$B$604,"&lt;"&amp;A7+7)</f>
        <v>12</v>
      </c>
      <c r="C7" s="17" t="n">
        <f aca="false">COUNTIFS('Order Tracking'!$B$5:$B$604,"&gt;="&amp;A7,'Order Tracking'!$B$5:$B$604,"&lt;"&amp;A7+7,'Order Tracking'!$M$5:$M$604,"Delivered")</f>
        <v>6</v>
      </c>
      <c r="D7" s="17" t="n">
        <f aca="false">COUNTIFS('Order Tracking'!$B$5:$B$604,"&gt;="&amp;A7,'Order Tracking'!$B$5:$B$604,"&lt;"&amp;A7+7,'Order Tracking'!$M$5:$M$604,"Pending")+COUNTIFS('Order Tracking'!$B$5:$B$604,"&gt;="&amp;A7,'Order Tracking'!$B$5:$B$604,"&lt;"&amp;A7+7,'Order Tracking'!$M$5:$M$604,"Processing")</f>
        <v>4</v>
      </c>
      <c r="E7" s="19" t="n">
        <f aca="false">IFERROR(C7/B7,0)</f>
        <v>0.5</v>
      </c>
      <c r="F7" s="16" t="n">
        <f aca="false">SUMIFS('Order Tracking'!$L$5:$L$604,'Order Tracking'!$B$5:$B$604,"&gt;="&amp;A7,'Order Tracking'!$B$5:$B$604,"&lt;"&amp;A7+7)</f>
        <v>926043.77</v>
      </c>
      <c r="H7" s="15" t="n">
        <v>45992</v>
      </c>
      <c r="I7" s="17" t="n">
        <f aca="false">COUNTIFS('Order Tracking'!$B$5:$B$604,"&gt;="&amp;H7,'Order Tracking'!$B$5:$B$604,"&lt;"&amp;EDATE(H7,1))</f>
        <v>41</v>
      </c>
      <c r="J7" s="16" t="n">
        <f aca="false">SUMIFS('Order Tracking'!$L$5:$L$604,'Order Tracking'!$B$5:$B$604,"&gt;="&amp;H7,'Order Tracking'!$B$5:$B$604,"&lt;"&amp;EDATE(H7,1))</f>
        <v>3173007.35</v>
      </c>
      <c r="K7" s="17" t="n">
        <f aca="false">COUNTIFS('Order Tracking'!$B$5:$B$604,"&gt;="&amp;H7,'Order Tracking'!$B$5:$B$604,"&lt;"&amp;EDATE(H7,1),'Order Tracking'!$M$5:$M$604,"Delivered")</f>
        <v>20</v>
      </c>
      <c r="L7" s="17" t="n">
        <f aca="false">COUNTIFS('Order Tracking'!$B$5:$B$604,"&gt;="&amp;H7,'Order Tracking'!$B$5:$B$604,"&lt;"&amp;EDATE(H7,1),'Order Tracking'!$M$5:$M$604,"Pending")+COUNTIFS('Order Tracking'!$B$5:$B$604,"&gt;="&amp;H7,'Order Tracking'!$B$5:$B$604,"&lt;"&amp;EDATE(H7,1),'Order Tracking'!$M$5:$M$604,"Processing")</f>
        <v>9</v>
      </c>
      <c r="M7" s="19" t="n">
        <f aca="false">IFERROR(K7/I7,0)</f>
        <v>0.487804878048781</v>
      </c>
    </row>
    <row r="8" customFormat="false" ht="15" hidden="false" customHeight="false" outlineLevel="0" collapsed="false">
      <c r="A8" s="25" t="n">
        <v>46251</v>
      </c>
      <c r="B8" s="17" t="n">
        <f aca="false">COUNTIFS('Order Tracking'!$B$5:$B$604,"&gt;="&amp;A8,'Order Tracking'!$B$5:$B$604,"&lt;"&amp;A8+7)</f>
        <v>13</v>
      </c>
      <c r="C8" s="17" t="n">
        <f aca="false">COUNTIFS('Order Tracking'!$B$5:$B$604,"&gt;="&amp;A8,'Order Tracking'!$B$5:$B$604,"&lt;"&amp;A8+7,'Order Tracking'!$M$5:$M$604,"Delivered")</f>
        <v>10</v>
      </c>
      <c r="D8" s="17" t="n">
        <f aca="false">COUNTIFS('Order Tracking'!$B$5:$B$604,"&gt;="&amp;A8,'Order Tracking'!$B$5:$B$604,"&lt;"&amp;A8+7,'Order Tracking'!$M$5:$M$604,"Pending")+COUNTIFS('Order Tracking'!$B$5:$B$604,"&gt;="&amp;A8,'Order Tracking'!$B$5:$B$604,"&lt;"&amp;A8+7,'Order Tracking'!$M$5:$M$604,"Processing")</f>
        <v>2</v>
      </c>
      <c r="E8" s="19" t="n">
        <f aca="false">IFERROR(C8/B8,0)</f>
        <v>0.769230769230769</v>
      </c>
      <c r="F8" s="16" t="n">
        <f aca="false">SUMIFS('Order Tracking'!$L$5:$L$604,'Order Tracking'!$B$5:$B$604,"&gt;="&amp;A8,'Order Tracking'!$B$5:$B$604,"&lt;"&amp;A8+7)</f>
        <v>1104889.74</v>
      </c>
      <c r="H8" s="15" t="n">
        <v>46023</v>
      </c>
      <c r="I8" s="17" t="n">
        <f aca="false">COUNTIFS('Order Tracking'!$B$5:$B$604,"&gt;="&amp;H8,'Order Tracking'!$B$5:$B$604,"&lt;"&amp;EDATE(H8,1))</f>
        <v>47</v>
      </c>
      <c r="J8" s="16" t="n">
        <f aca="false">SUMIFS('Order Tracking'!$L$5:$L$604,'Order Tracking'!$B$5:$B$604,"&gt;="&amp;H8,'Order Tracking'!$B$5:$B$604,"&lt;"&amp;EDATE(H8,1))</f>
        <v>4091315.9</v>
      </c>
      <c r="K8" s="17" t="n">
        <f aca="false">COUNTIFS('Order Tracking'!$B$5:$B$604,"&gt;="&amp;H8,'Order Tracking'!$B$5:$B$604,"&lt;"&amp;EDATE(H8,1),'Order Tracking'!$M$5:$M$604,"Delivered")</f>
        <v>33</v>
      </c>
      <c r="L8" s="17" t="n">
        <f aca="false">COUNTIFS('Order Tracking'!$B$5:$B$604,"&gt;="&amp;H8,'Order Tracking'!$B$5:$B$604,"&lt;"&amp;EDATE(H8,1),'Order Tracking'!$M$5:$M$604,"Pending")+COUNTIFS('Order Tracking'!$B$5:$B$604,"&gt;="&amp;H8,'Order Tracking'!$B$5:$B$604,"&lt;"&amp;EDATE(H8,1),'Order Tracking'!$M$5:$M$604,"Processing")</f>
        <v>6</v>
      </c>
      <c r="M8" s="19" t="n">
        <f aca="false">IFERROR(K8/I8,0)</f>
        <v>0.702127659574468</v>
      </c>
    </row>
    <row r="9" customFormat="false" ht="15" hidden="false" customHeight="false" outlineLevel="0" collapsed="false">
      <c r="A9" s="25" t="n">
        <v>46258</v>
      </c>
      <c r="B9" s="17" t="n">
        <f aca="false">COUNTIFS('Order Tracking'!$B$5:$B$604,"&gt;="&amp;A9,'Order Tracking'!$B$5:$B$604,"&lt;"&amp;A9+7)</f>
        <v>15</v>
      </c>
      <c r="C9" s="17" t="n">
        <f aca="false">COUNTIFS('Order Tracking'!$B$5:$B$604,"&gt;="&amp;A9,'Order Tracking'!$B$5:$B$604,"&lt;"&amp;A9+7,'Order Tracking'!$M$5:$M$604,"Delivered")</f>
        <v>6</v>
      </c>
      <c r="D9" s="17" t="n">
        <f aca="false">COUNTIFS('Order Tracking'!$B$5:$B$604,"&gt;="&amp;A9,'Order Tracking'!$B$5:$B$604,"&lt;"&amp;A9+7,'Order Tracking'!$M$5:$M$604,"Pending")+COUNTIFS('Order Tracking'!$B$5:$B$604,"&gt;="&amp;A9,'Order Tracking'!$B$5:$B$604,"&lt;"&amp;A9+7,'Order Tracking'!$M$5:$M$604,"Processing")</f>
        <v>6</v>
      </c>
      <c r="E9" s="19" t="n">
        <f aca="false">IFERROR(C9/B9,0)</f>
        <v>0.4</v>
      </c>
      <c r="F9" s="16" t="n">
        <f aca="false">SUMIFS('Order Tracking'!$L$5:$L$604,'Order Tracking'!$B$5:$B$604,"&gt;="&amp;A9,'Order Tracking'!$B$5:$B$604,"&lt;"&amp;A9+7)</f>
        <v>1278777.54</v>
      </c>
      <c r="H9" s="15" t="n">
        <v>46054</v>
      </c>
      <c r="I9" s="17" t="n">
        <f aca="false">COUNTIFS('Order Tracking'!$B$5:$B$604,"&gt;="&amp;H9,'Order Tracking'!$B$5:$B$604,"&lt;"&amp;EDATE(H9,1))</f>
        <v>38</v>
      </c>
      <c r="J9" s="16" t="n">
        <f aca="false">SUMIFS('Order Tracking'!$L$5:$L$604,'Order Tracking'!$B$5:$B$604,"&gt;="&amp;H9,'Order Tracking'!$B$5:$B$604,"&lt;"&amp;EDATE(H9,1))</f>
        <v>2977863.2</v>
      </c>
      <c r="K9" s="17" t="n">
        <f aca="false">COUNTIFS('Order Tracking'!$B$5:$B$604,"&gt;="&amp;H9,'Order Tracking'!$B$5:$B$604,"&lt;"&amp;EDATE(H9,1),'Order Tracking'!$M$5:$M$604,"Delivered")</f>
        <v>26</v>
      </c>
      <c r="L9" s="17" t="n">
        <f aca="false">COUNTIFS('Order Tracking'!$B$5:$B$604,"&gt;="&amp;H9,'Order Tracking'!$B$5:$B$604,"&lt;"&amp;EDATE(H9,1),'Order Tracking'!$M$5:$M$604,"Pending")+COUNTIFS('Order Tracking'!$B$5:$B$604,"&gt;="&amp;H9,'Order Tracking'!$B$5:$B$604,"&lt;"&amp;EDATE(H9,1),'Order Tracking'!$M$5:$M$604,"Processing")</f>
        <v>7</v>
      </c>
      <c r="M9" s="19" t="n">
        <f aca="false">IFERROR(K9/I9,0)</f>
        <v>0.68421052631579</v>
      </c>
    </row>
    <row r="10" customFormat="false" ht="15" hidden="false" customHeight="false" outlineLevel="0" collapsed="false">
      <c r="A10" s="25" t="n">
        <v>46265</v>
      </c>
      <c r="B10" s="17" t="n">
        <f aca="false">COUNTIFS('Order Tracking'!$B$5:$B$604,"&gt;="&amp;A10,'Order Tracking'!$B$5:$B$604,"&lt;"&amp;A10+7)</f>
        <v>14</v>
      </c>
      <c r="C10" s="17" t="n">
        <f aca="false">COUNTIFS('Order Tracking'!$B$5:$B$604,"&gt;="&amp;A10,'Order Tracking'!$B$5:$B$604,"&lt;"&amp;A10+7,'Order Tracking'!$M$5:$M$604,"Delivered")</f>
        <v>9</v>
      </c>
      <c r="D10" s="17" t="n">
        <f aca="false">COUNTIFS('Order Tracking'!$B$5:$B$604,"&gt;="&amp;A10,'Order Tracking'!$B$5:$B$604,"&lt;"&amp;A10+7,'Order Tracking'!$M$5:$M$604,"Pending")+COUNTIFS('Order Tracking'!$B$5:$B$604,"&gt;="&amp;A10,'Order Tracking'!$B$5:$B$604,"&lt;"&amp;A10+7,'Order Tracking'!$M$5:$M$604,"Processing")</f>
        <v>2</v>
      </c>
      <c r="E10" s="19" t="n">
        <f aca="false">IFERROR(C10/B10,0)</f>
        <v>0.642857142857143</v>
      </c>
      <c r="F10" s="16" t="n">
        <f aca="false">SUMIFS('Order Tracking'!$L$5:$L$604,'Order Tracking'!$B$5:$B$604,"&gt;="&amp;A10,'Order Tracking'!$B$5:$B$604,"&lt;"&amp;A10+7)</f>
        <v>1275355.87</v>
      </c>
      <c r="H10" s="15" t="n">
        <v>46082</v>
      </c>
      <c r="I10" s="17" t="n">
        <f aca="false">COUNTIFS('Order Tracking'!$B$5:$B$604,"&gt;="&amp;H10,'Order Tracking'!$B$5:$B$604,"&lt;"&amp;EDATE(H10,1))</f>
        <v>63</v>
      </c>
      <c r="J10" s="16" t="n">
        <f aca="false">SUMIFS('Order Tracking'!$L$5:$L$604,'Order Tracking'!$B$5:$B$604,"&gt;="&amp;H10,'Order Tracking'!$B$5:$B$604,"&lt;"&amp;EDATE(H10,1))</f>
        <v>4855581.03</v>
      </c>
      <c r="K10" s="17" t="n">
        <f aca="false">COUNTIFS('Order Tracking'!$B$5:$B$604,"&gt;="&amp;H10,'Order Tracking'!$B$5:$B$604,"&lt;"&amp;EDATE(H10,1),'Order Tracking'!$M$5:$M$604,"Delivered")</f>
        <v>44</v>
      </c>
      <c r="L10" s="17" t="n">
        <f aca="false">COUNTIFS('Order Tracking'!$B$5:$B$604,"&gt;="&amp;H10,'Order Tracking'!$B$5:$B$604,"&lt;"&amp;EDATE(H10,1),'Order Tracking'!$M$5:$M$604,"Pending")+COUNTIFS('Order Tracking'!$B$5:$B$604,"&gt;="&amp;H10,'Order Tracking'!$B$5:$B$604,"&lt;"&amp;EDATE(H10,1),'Order Tracking'!$M$5:$M$604,"Processing")</f>
        <v>12</v>
      </c>
      <c r="M10" s="19" t="n">
        <f aca="false">IFERROR(K10/I10,0)</f>
        <v>0.698412698412698</v>
      </c>
    </row>
    <row r="11" customFormat="false" ht="15" hidden="false" customHeight="false" outlineLevel="0" collapsed="false">
      <c r="A11" s="25" t="n">
        <v>46272</v>
      </c>
      <c r="B11" s="17" t="n">
        <f aca="false">COUNTIFS('Order Tracking'!$B$5:$B$604,"&gt;="&amp;A11,'Order Tracking'!$B$5:$B$604,"&lt;"&amp;A11+7)</f>
        <v>15</v>
      </c>
      <c r="C11" s="17" t="n">
        <f aca="false">COUNTIFS('Order Tracking'!$B$5:$B$604,"&gt;="&amp;A11,'Order Tracking'!$B$5:$B$604,"&lt;"&amp;A11+7,'Order Tracking'!$M$5:$M$604,"Delivered")</f>
        <v>5</v>
      </c>
      <c r="D11" s="17" t="n">
        <f aca="false">COUNTIFS('Order Tracking'!$B$5:$B$604,"&gt;="&amp;A11,'Order Tracking'!$B$5:$B$604,"&lt;"&amp;A11+7,'Order Tracking'!$M$5:$M$604,"Pending")+COUNTIFS('Order Tracking'!$B$5:$B$604,"&gt;="&amp;A11,'Order Tracking'!$B$5:$B$604,"&lt;"&amp;A11+7,'Order Tracking'!$M$5:$M$604,"Processing")</f>
        <v>8</v>
      </c>
      <c r="E11" s="19" t="n">
        <f aca="false">IFERROR(C11/B11,0)</f>
        <v>0.333333333333333</v>
      </c>
      <c r="F11" s="16" t="n">
        <f aca="false">SUMIFS('Order Tracking'!$L$5:$L$604,'Order Tracking'!$B$5:$B$604,"&gt;="&amp;A11,'Order Tracking'!$B$5:$B$604,"&lt;"&amp;A11+7)</f>
        <v>1106283.54</v>
      </c>
      <c r="H11" s="15" t="n">
        <v>46113</v>
      </c>
      <c r="I11" s="17" t="n">
        <f aca="false">COUNTIFS('Order Tracking'!$B$5:$B$604,"&gt;="&amp;H11,'Order Tracking'!$B$5:$B$604,"&lt;"&amp;EDATE(H11,1))</f>
        <v>43</v>
      </c>
      <c r="J11" s="16" t="n">
        <f aca="false">SUMIFS('Order Tracking'!$L$5:$L$604,'Order Tracking'!$B$5:$B$604,"&gt;="&amp;H11,'Order Tracking'!$B$5:$B$604,"&lt;"&amp;EDATE(H11,1))</f>
        <v>3579994.01</v>
      </c>
      <c r="K11" s="17" t="n">
        <f aca="false">COUNTIFS('Order Tracking'!$B$5:$B$604,"&gt;="&amp;H11,'Order Tracking'!$B$5:$B$604,"&lt;"&amp;EDATE(H11,1),'Order Tracking'!$M$5:$M$604,"Delivered")</f>
        <v>24</v>
      </c>
      <c r="L11" s="17" t="n">
        <f aca="false">COUNTIFS('Order Tracking'!$B$5:$B$604,"&gt;="&amp;H11,'Order Tracking'!$B$5:$B$604,"&lt;"&amp;EDATE(H11,1),'Order Tracking'!$M$5:$M$604,"Pending")+COUNTIFS('Order Tracking'!$B$5:$B$604,"&gt;="&amp;H11,'Order Tracking'!$B$5:$B$604,"&lt;"&amp;EDATE(H11,1),'Order Tracking'!$M$5:$M$604,"Processing")</f>
        <v>11</v>
      </c>
      <c r="M11" s="19" t="n">
        <f aca="false">IFERROR(K11/I11,0)</f>
        <v>0.558139534883721</v>
      </c>
    </row>
    <row r="12" customFormat="false" ht="15" hidden="false" customHeight="false" outlineLevel="0" collapsed="false">
      <c r="A12" s="25" t="n">
        <v>46279</v>
      </c>
      <c r="B12" s="17" t="n">
        <f aca="false">COUNTIFS('Order Tracking'!$B$5:$B$604,"&gt;="&amp;A12,'Order Tracking'!$B$5:$B$604,"&lt;"&amp;A12+7)</f>
        <v>11</v>
      </c>
      <c r="C12" s="17" t="n">
        <f aca="false">COUNTIFS('Order Tracking'!$B$5:$B$604,"&gt;="&amp;A12,'Order Tracking'!$B$5:$B$604,"&lt;"&amp;A12+7,'Order Tracking'!$M$5:$M$604,"Delivered")</f>
        <v>4</v>
      </c>
      <c r="D12" s="17" t="n">
        <f aca="false">COUNTIFS('Order Tracking'!$B$5:$B$604,"&gt;="&amp;A12,'Order Tracking'!$B$5:$B$604,"&lt;"&amp;A12+7,'Order Tracking'!$M$5:$M$604,"Pending")+COUNTIFS('Order Tracking'!$B$5:$B$604,"&gt;="&amp;A12,'Order Tracking'!$B$5:$B$604,"&lt;"&amp;A12+7,'Order Tracking'!$M$5:$M$604,"Processing")</f>
        <v>5</v>
      </c>
      <c r="E12" s="19" t="n">
        <f aca="false">IFERROR(C12/B12,0)</f>
        <v>0.363636363636364</v>
      </c>
      <c r="F12" s="16" t="n">
        <f aca="false">SUMIFS('Order Tracking'!$L$5:$L$604,'Order Tracking'!$B$5:$B$604,"&gt;="&amp;A12,'Order Tracking'!$B$5:$B$604,"&lt;"&amp;A12+7)</f>
        <v>401950.6</v>
      </c>
      <c r="H12" s="15" t="n">
        <v>46143</v>
      </c>
      <c r="I12" s="17" t="n">
        <f aca="false">COUNTIFS('Order Tracking'!$B$5:$B$604,"&gt;="&amp;H12,'Order Tracking'!$B$5:$B$604,"&lt;"&amp;EDATE(H12,1))</f>
        <v>53</v>
      </c>
      <c r="J12" s="16" t="n">
        <f aca="false">SUMIFS('Order Tracking'!$L$5:$L$604,'Order Tracking'!$B$5:$B$604,"&gt;="&amp;H12,'Order Tracking'!$B$5:$B$604,"&lt;"&amp;EDATE(H12,1))</f>
        <v>4170402.84</v>
      </c>
      <c r="K12" s="17" t="n">
        <f aca="false">COUNTIFS('Order Tracking'!$B$5:$B$604,"&gt;="&amp;H12,'Order Tracking'!$B$5:$B$604,"&lt;"&amp;EDATE(H12,1),'Order Tracking'!$M$5:$M$604,"Delivered")</f>
        <v>30</v>
      </c>
      <c r="L12" s="17" t="n">
        <f aca="false">COUNTIFS('Order Tracking'!$B$5:$B$604,"&gt;="&amp;H12,'Order Tracking'!$B$5:$B$604,"&lt;"&amp;EDATE(H12,1),'Order Tracking'!$M$5:$M$604,"Pending")+COUNTIFS('Order Tracking'!$B$5:$B$604,"&gt;="&amp;H12,'Order Tracking'!$B$5:$B$604,"&lt;"&amp;EDATE(H12,1),'Order Tracking'!$M$5:$M$604,"Processing")</f>
        <v>13</v>
      </c>
      <c r="M12" s="19" t="n">
        <f aca="false">IFERROR(K12/I12,0)</f>
        <v>0.566037735849057</v>
      </c>
    </row>
    <row r="13" customFormat="false" ht="15" hidden="false" customHeight="false" outlineLevel="0" collapsed="false">
      <c r="A13" s="25" t="n">
        <v>46286</v>
      </c>
      <c r="B13" s="17" t="n">
        <f aca="false">COUNTIFS('Order Tracking'!$B$5:$B$604,"&gt;="&amp;A13,'Order Tracking'!$B$5:$B$604,"&lt;"&amp;A13+7)</f>
        <v>12</v>
      </c>
      <c r="C13" s="17" t="n">
        <f aca="false">COUNTIFS('Order Tracking'!$B$5:$B$604,"&gt;="&amp;A13,'Order Tracking'!$B$5:$B$604,"&lt;"&amp;A13+7,'Order Tracking'!$M$5:$M$604,"Delivered")</f>
        <v>7</v>
      </c>
      <c r="D13" s="17" t="n">
        <f aca="false">COUNTIFS('Order Tracking'!$B$5:$B$604,"&gt;="&amp;A13,'Order Tracking'!$B$5:$B$604,"&lt;"&amp;A13+7,'Order Tracking'!$M$5:$M$604,"Pending")+COUNTIFS('Order Tracking'!$B$5:$B$604,"&gt;="&amp;A13,'Order Tracking'!$B$5:$B$604,"&lt;"&amp;A13+7,'Order Tracking'!$M$5:$M$604,"Processing")</f>
        <v>4</v>
      </c>
      <c r="E13" s="19" t="n">
        <f aca="false">IFERROR(C13/B13,0)</f>
        <v>0.583333333333333</v>
      </c>
      <c r="F13" s="16" t="n">
        <f aca="false">SUMIFS('Order Tracking'!$L$5:$L$604,'Order Tracking'!$B$5:$B$604,"&gt;="&amp;A13,'Order Tracking'!$B$5:$B$604,"&lt;"&amp;A13+7)</f>
        <v>818874.55</v>
      </c>
      <c r="H13" s="15" t="n">
        <v>46174</v>
      </c>
      <c r="I13" s="17" t="n">
        <f aca="false">COUNTIFS('Order Tracking'!$B$5:$B$604,"&gt;="&amp;H13,'Order Tracking'!$B$5:$B$604,"&lt;"&amp;EDATE(H13,1))</f>
        <v>39</v>
      </c>
      <c r="J13" s="16" t="n">
        <f aca="false">SUMIFS('Order Tracking'!$L$5:$L$604,'Order Tracking'!$B$5:$B$604,"&gt;="&amp;H13,'Order Tracking'!$B$5:$B$604,"&lt;"&amp;EDATE(H13,1))</f>
        <v>3324809.03</v>
      </c>
      <c r="K13" s="17" t="n">
        <f aca="false">COUNTIFS('Order Tracking'!$B$5:$B$604,"&gt;="&amp;H13,'Order Tracking'!$B$5:$B$604,"&lt;"&amp;EDATE(H13,1),'Order Tracking'!$M$5:$M$604,"Delivered")</f>
        <v>20</v>
      </c>
      <c r="L13" s="17" t="n">
        <f aca="false">COUNTIFS('Order Tracking'!$B$5:$B$604,"&gt;="&amp;H13,'Order Tracking'!$B$5:$B$604,"&lt;"&amp;EDATE(H13,1),'Order Tracking'!$M$5:$M$604,"Pending")+COUNTIFS('Order Tracking'!$B$5:$B$604,"&gt;="&amp;H13,'Order Tracking'!$B$5:$B$604,"&lt;"&amp;EDATE(H13,1),'Order Tracking'!$M$5:$M$604,"Processing")</f>
        <v>16</v>
      </c>
      <c r="M13" s="19" t="n">
        <f aca="false">IFERROR(K13/I13,0)</f>
        <v>0.512820512820513</v>
      </c>
    </row>
    <row r="14" customFormat="false" ht="15" hidden="false" customHeight="false" outlineLevel="0" collapsed="false">
      <c r="A14" s="25" t="n">
        <v>46293</v>
      </c>
      <c r="B14" s="17" t="n">
        <f aca="false">COUNTIFS('Order Tracking'!$B$5:$B$604,"&gt;="&amp;A14,'Order Tracking'!$B$5:$B$604,"&lt;"&amp;A14+7)</f>
        <v>5</v>
      </c>
      <c r="C14" s="17" t="n">
        <f aca="false">COUNTIFS('Order Tracking'!$B$5:$B$604,"&gt;="&amp;A14,'Order Tracking'!$B$5:$B$604,"&lt;"&amp;A14+7,'Order Tracking'!$M$5:$M$604,"Delivered")</f>
        <v>4</v>
      </c>
      <c r="D14" s="17" t="n">
        <f aca="false">COUNTIFS('Order Tracking'!$B$5:$B$604,"&gt;="&amp;A14,'Order Tracking'!$B$5:$B$604,"&lt;"&amp;A14+7,'Order Tracking'!$M$5:$M$604,"Pending")+COUNTIFS('Order Tracking'!$B$5:$B$604,"&gt;="&amp;A14,'Order Tracking'!$B$5:$B$604,"&lt;"&amp;A14+7,'Order Tracking'!$M$5:$M$604,"Processing")</f>
        <v>1</v>
      </c>
      <c r="E14" s="19" t="n">
        <f aca="false">IFERROR(C14/B14,0)</f>
        <v>0.8</v>
      </c>
      <c r="F14" s="16" t="n">
        <f aca="false">SUMIFS('Order Tracking'!$L$5:$L$604,'Order Tracking'!$B$5:$B$604,"&gt;="&amp;A14,'Order Tracking'!$B$5:$B$604,"&lt;"&amp;A14+7)</f>
        <v>502956.75</v>
      </c>
      <c r="H14" s="15" t="n">
        <v>46204</v>
      </c>
      <c r="I14" s="17" t="n">
        <f aca="false">COUNTIFS('Order Tracking'!$B$5:$B$604,"&gt;="&amp;H14,'Order Tracking'!$B$5:$B$604,"&lt;"&amp;EDATE(H14,1))</f>
        <v>48</v>
      </c>
      <c r="J14" s="16" t="n">
        <f aca="false">SUMIFS('Order Tracking'!$L$5:$L$604,'Order Tracking'!$B$5:$B$604,"&gt;="&amp;H14,'Order Tracking'!$B$5:$B$604,"&lt;"&amp;EDATE(H14,1))</f>
        <v>4635139.46</v>
      </c>
      <c r="K14" s="17" t="n">
        <f aca="false">COUNTIFS('Order Tracking'!$B$5:$B$604,"&gt;="&amp;H14,'Order Tracking'!$B$5:$B$604,"&lt;"&amp;EDATE(H14,1),'Order Tracking'!$M$5:$M$604,"Delivered")</f>
        <v>28</v>
      </c>
      <c r="L14" s="17" t="n">
        <f aca="false">COUNTIFS('Order Tracking'!$B$5:$B$604,"&gt;="&amp;H14,'Order Tracking'!$B$5:$B$604,"&lt;"&amp;EDATE(H14,1),'Order Tracking'!$M$5:$M$604,"Pending")+COUNTIFS('Order Tracking'!$B$5:$B$604,"&gt;="&amp;H14,'Order Tracking'!$B$5:$B$604,"&lt;"&amp;EDATE(H14,1),'Order Tracking'!$M$5:$M$604,"Processing")</f>
        <v>9</v>
      </c>
      <c r="M14" s="19" t="n">
        <f aca="false">IFERROR(K14/I14,0)</f>
        <v>0.583333333333333</v>
      </c>
    </row>
    <row r="15" customFormat="false" ht="15" hidden="false" customHeight="false" outlineLevel="0" collapsed="false">
      <c r="A15" s="25" t="n">
        <v>46300</v>
      </c>
      <c r="B15" s="17" t="n">
        <f aca="false">COUNTIFS('Order Tracking'!$B$5:$B$604,"&gt;="&amp;A15,'Order Tracking'!$B$5:$B$604,"&lt;"&amp;A15+7)</f>
        <v>2</v>
      </c>
      <c r="C15" s="17" t="n">
        <f aca="false">COUNTIFS('Order Tracking'!$B$5:$B$604,"&gt;="&amp;A15,'Order Tracking'!$B$5:$B$604,"&lt;"&amp;A15+7,'Order Tracking'!$M$5:$M$604,"Delivered")</f>
        <v>0</v>
      </c>
      <c r="D15" s="17" t="n">
        <f aca="false">COUNTIFS('Order Tracking'!$B$5:$B$604,"&gt;="&amp;A15,'Order Tracking'!$B$5:$B$604,"&lt;"&amp;A15+7,'Order Tracking'!$M$5:$M$604,"Pending")+COUNTIFS('Order Tracking'!$B$5:$B$604,"&gt;="&amp;A15,'Order Tracking'!$B$5:$B$604,"&lt;"&amp;A15+7,'Order Tracking'!$M$5:$M$604,"Processing")</f>
        <v>1</v>
      </c>
      <c r="E15" s="19" t="n">
        <f aca="false">IFERROR(C15/B15,0)</f>
        <v>0</v>
      </c>
      <c r="F15" s="16" t="n">
        <f aca="false">SUMIFS('Order Tracking'!$L$5:$L$604,'Order Tracking'!$B$5:$B$604,"&gt;="&amp;A15,'Order Tracking'!$B$5:$B$604,"&lt;"&amp;A15+7)</f>
        <v>288606.35</v>
      </c>
      <c r="H15" s="15" t="n">
        <v>46235</v>
      </c>
      <c r="I15" s="17" t="n">
        <f aca="false">COUNTIFS('Order Tracking'!$B$5:$B$604,"&gt;="&amp;H15,'Order Tracking'!$B$5:$B$604,"&lt;"&amp;EDATE(H15,1))</f>
        <v>56</v>
      </c>
      <c r="J15" s="16" t="n">
        <f aca="false">SUMIFS('Order Tracking'!$L$5:$L$604,'Order Tracking'!$B$5:$B$604,"&gt;="&amp;H15,'Order Tracking'!$B$5:$B$604,"&lt;"&amp;EDATE(H15,1))</f>
        <v>4350130.2</v>
      </c>
      <c r="K15" s="17" t="n">
        <f aca="false">COUNTIFS('Order Tracking'!$B$5:$B$604,"&gt;="&amp;H15,'Order Tracking'!$B$5:$B$604,"&lt;"&amp;EDATE(H15,1),'Order Tracking'!$M$5:$M$604,"Delivered")</f>
        <v>35</v>
      </c>
      <c r="L15" s="17" t="n">
        <f aca="false">COUNTIFS('Order Tracking'!$B$5:$B$604,"&gt;="&amp;H15,'Order Tracking'!$B$5:$B$604,"&lt;"&amp;EDATE(H15,1),'Order Tracking'!$M$5:$M$604,"Pending")+COUNTIFS('Order Tracking'!$B$5:$B$604,"&gt;="&amp;H15,'Order Tracking'!$B$5:$B$604,"&lt;"&amp;EDATE(H15,1),'Order Tracking'!$M$5:$M$604,"Processing")</f>
        <v>12</v>
      </c>
      <c r="M15" s="19" t="n">
        <f aca="false">IFERROR(K15/I15,0)</f>
        <v>0.625</v>
      </c>
    </row>
    <row r="16" customFormat="false" ht="15" hidden="false" customHeight="false" outlineLevel="0" collapsed="false">
      <c r="A16" s="25" t="n">
        <v>46307</v>
      </c>
      <c r="B16" s="17" t="n">
        <f aca="false">COUNTIFS('Order Tracking'!$B$5:$B$604,"&gt;="&amp;A16,'Order Tracking'!$B$5:$B$604,"&lt;"&amp;A16+7)</f>
        <v>9</v>
      </c>
      <c r="C16" s="17" t="n">
        <f aca="false">COUNTIFS('Order Tracking'!$B$5:$B$604,"&gt;="&amp;A16,'Order Tracking'!$B$5:$B$604,"&lt;"&amp;A16+7,'Order Tracking'!$M$5:$M$604,"Delivered")</f>
        <v>8</v>
      </c>
      <c r="D16" s="17" t="n">
        <f aca="false">COUNTIFS('Order Tracking'!$B$5:$B$604,"&gt;="&amp;A16,'Order Tracking'!$B$5:$B$604,"&lt;"&amp;A16+7,'Order Tracking'!$M$5:$M$604,"Pending")+COUNTIFS('Order Tracking'!$B$5:$B$604,"&gt;="&amp;A16,'Order Tracking'!$B$5:$B$604,"&lt;"&amp;A16+7,'Order Tracking'!$M$5:$M$604,"Processing")</f>
        <v>0</v>
      </c>
      <c r="E16" s="19" t="n">
        <f aca="false">IFERROR(C16/B16,0)</f>
        <v>0.888888888888889</v>
      </c>
      <c r="F16" s="16" t="n">
        <f aca="false">SUMIFS('Order Tracking'!$L$5:$L$604,'Order Tracking'!$B$5:$B$604,"&gt;="&amp;A16,'Order Tracking'!$B$5:$B$604,"&lt;"&amp;A16+7)</f>
        <v>962463.76</v>
      </c>
      <c r="H16" s="15" t="n">
        <v>46266</v>
      </c>
      <c r="I16" s="17" t="n">
        <f aca="false">COUNTIFS('Order Tracking'!$B$5:$B$604,"&gt;="&amp;H16,'Order Tracking'!$B$5:$B$604,"&lt;"&amp;EDATE(H16,1))</f>
        <v>54</v>
      </c>
      <c r="J16" s="16" t="n">
        <f aca="false">SUMIFS('Order Tracking'!$L$5:$L$604,'Order Tracking'!$B$5:$B$604,"&gt;="&amp;H16,'Order Tracking'!$B$5:$B$604,"&lt;"&amp;EDATE(H16,1))</f>
        <v>3937105.05</v>
      </c>
      <c r="K16" s="17" t="n">
        <f aca="false">COUNTIFS('Order Tracking'!$B$5:$B$604,"&gt;="&amp;H16,'Order Tracking'!$B$5:$B$604,"&lt;"&amp;EDATE(H16,1),'Order Tracking'!$M$5:$M$604,"Delivered")</f>
        <v>26</v>
      </c>
      <c r="L16" s="17" t="n">
        <f aca="false">COUNTIFS('Order Tracking'!$B$5:$B$604,"&gt;="&amp;H16,'Order Tracking'!$B$5:$B$604,"&lt;"&amp;EDATE(H16,1),'Order Tracking'!$M$5:$M$604,"Pending")+COUNTIFS('Order Tracking'!$B$5:$B$604,"&gt;="&amp;H16,'Order Tracking'!$B$5:$B$604,"&lt;"&amp;EDATE(H16,1),'Order Tracking'!$M$5:$M$604,"Processing")</f>
        <v>20</v>
      </c>
      <c r="M16" s="19" t="n">
        <f aca="false">IFERROR(K16/I16,0)</f>
        <v>0.481481481481481</v>
      </c>
    </row>
    <row r="17" customFormat="false" ht="15" hidden="false" customHeight="false" outlineLevel="0" collapsed="false">
      <c r="A17" s="25" t="n">
        <v>46314</v>
      </c>
      <c r="B17" s="17" t="n">
        <f aca="false">COUNTIFS('Order Tracking'!$B$5:$B$604,"&gt;="&amp;A17,'Order Tracking'!$B$5:$B$604,"&lt;"&amp;A17+7)</f>
        <v>6</v>
      </c>
      <c r="C17" s="17" t="n">
        <f aca="false">COUNTIFS('Order Tracking'!$B$5:$B$604,"&gt;="&amp;A17,'Order Tracking'!$B$5:$B$604,"&lt;"&amp;A17+7,'Order Tracking'!$M$5:$M$604,"Delivered")</f>
        <v>0</v>
      </c>
      <c r="D17" s="17" t="n">
        <f aca="false">COUNTIFS('Order Tracking'!$B$5:$B$604,"&gt;="&amp;A17,'Order Tracking'!$B$5:$B$604,"&lt;"&amp;A17+7,'Order Tracking'!$M$5:$M$604,"Pending")+COUNTIFS('Order Tracking'!$B$5:$B$604,"&gt;="&amp;A17,'Order Tracking'!$B$5:$B$604,"&lt;"&amp;A17+7,'Order Tracking'!$M$5:$M$604,"Processing")</f>
        <v>4</v>
      </c>
      <c r="E17" s="19" t="n">
        <f aca="false">IFERROR(C17/B17,0)</f>
        <v>0</v>
      </c>
      <c r="F17" s="16" t="n">
        <f aca="false">SUMIFS('Order Tracking'!$L$5:$L$604,'Order Tracking'!$B$5:$B$604,"&gt;="&amp;A17,'Order Tracking'!$B$5:$B$604,"&lt;"&amp;A17+7)</f>
        <v>616977.88</v>
      </c>
      <c r="H17" s="15" t="n">
        <v>46296</v>
      </c>
      <c r="I17" s="17" t="n">
        <f aca="false">COUNTIFS('Order Tracking'!$B$5:$B$604,"&gt;="&amp;H17,'Order Tracking'!$B$5:$B$604,"&lt;"&amp;EDATE(H17,1))</f>
        <v>17</v>
      </c>
      <c r="J17" s="16" t="n">
        <f aca="false">SUMIFS('Order Tracking'!$L$5:$L$604,'Order Tracking'!$B$5:$B$604,"&gt;="&amp;H17,'Order Tracking'!$B$5:$B$604,"&lt;"&amp;EDATE(H17,1))</f>
        <v>1868047.99</v>
      </c>
      <c r="K17" s="17" t="n">
        <f aca="false">COUNTIFS('Order Tracking'!$B$5:$B$604,"&gt;="&amp;H17,'Order Tracking'!$B$5:$B$604,"&lt;"&amp;EDATE(H17,1),'Order Tracking'!$M$5:$M$604,"Delivered")</f>
        <v>8</v>
      </c>
      <c r="L17" s="17" t="n">
        <f aca="false">COUNTIFS('Order Tracking'!$B$5:$B$604,"&gt;="&amp;H17,'Order Tracking'!$B$5:$B$604,"&lt;"&amp;EDATE(H17,1),'Order Tracking'!$M$5:$M$604,"Pending")+COUNTIFS('Order Tracking'!$B$5:$B$604,"&gt;="&amp;H17,'Order Tracking'!$B$5:$B$604,"&lt;"&amp;EDATE(H17,1),'Order Tracking'!$M$5:$M$604,"Processing")</f>
        <v>5</v>
      </c>
      <c r="M17" s="19" t="n">
        <f aca="false">IFERROR(K17/I17,0)</f>
        <v>0.470588235294118</v>
      </c>
    </row>
    <row r="20" customFormat="false" ht="21.75" hidden="false" customHeight="true" outlineLevel="0" collapsed="false">
      <c r="A20" s="7" t="s">
        <v>1756</v>
      </c>
      <c r="B20" s="7"/>
      <c r="C20" s="7"/>
      <c r="D20" s="7"/>
      <c r="E20" s="7"/>
      <c r="F20" s="7"/>
      <c r="H20" s="7" t="s">
        <v>1757</v>
      </c>
      <c r="I20" s="7"/>
      <c r="J20" s="7"/>
      <c r="K20" s="7"/>
    </row>
    <row r="21" customFormat="false" ht="24" hidden="false" customHeight="true" outlineLevel="0" collapsed="false">
      <c r="A21" s="14" t="s">
        <v>1758</v>
      </c>
      <c r="B21" s="8" t="s">
        <v>1759</v>
      </c>
      <c r="C21" s="8" t="s">
        <v>1760</v>
      </c>
      <c r="D21" s="8" t="s">
        <v>1761</v>
      </c>
      <c r="E21" s="8" t="s">
        <v>1762</v>
      </c>
      <c r="F21" s="8" t="s">
        <v>1763</v>
      </c>
      <c r="H21" s="14" t="s">
        <v>104</v>
      </c>
      <c r="I21" s="8" t="s">
        <v>9</v>
      </c>
      <c r="J21" s="8" t="s">
        <v>1764</v>
      </c>
      <c r="K21" s="8" t="s">
        <v>1765</v>
      </c>
    </row>
    <row r="22" customFormat="false" ht="15" hidden="false" customHeight="false" outlineLevel="0" collapsed="false">
      <c r="A22" s="20" t="s">
        <v>1766</v>
      </c>
      <c r="B22" s="16" t="n">
        <f aca="false">J16</f>
        <v>3937105.05</v>
      </c>
      <c r="C22" s="16" t="n">
        <f aca="false">J15</f>
        <v>4350130.2</v>
      </c>
      <c r="D22" s="16" t="n">
        <f aca="false">B22-C22</f>
        <v>-413025.15</v>
      </c>
      <c r="E22" s="19" t="n">
        <f aca="false">IFERROR((B22-C22)/C22,0)</f>
        <v>-0.0949454685287352</v>
      </c>
      <c r="F22" s="18" t="str">
        <f aca="false">IF(D22&gt;0,"Increased",IF(D22&lt;0,"Decreased","Flat"))</f>
        <v>Decreased</v>
      </c>
      <c r="H22" s="20" t="s">
        <v>106</v>
      </c>
      <c r="I22" s="17" t="n">
        <f aca="false">COUNTIFS('Order Tracking'!$T$5:$T$604,H22,'Order Tracking'!$R$5:$R$604,"&gt;0")</f>
        <v>64</v>
      </c>
      <c r="J22" s="19" t="n">
        <f aca="false">IFERROR(I22/COUNTIF('Order Tracking'!$R$5:$R$604,"&gt;0"),0)</f>
        <v>0.274678111587983</v>
      </c>
      <c r="K22" s="16" t="n">
        <f aca="false">SUMIFS('Order Tracking'!$L$5:$L$604,'Order Tracking'!$T$5:$T$604,H22,'Order Tracking'!$R$5:$R$604,"&gt;0")</f>
        <v>4414383.92</v>
      </c>
    </row>
    <row r="23" customFormat="false" ht="15" hidden="false" customHeight="false" outlineLevel="0" collapsed="false">
      <c r="A23" s="20" t="s">
        <v>117</v>
      </c>
      <c r="B23" s="17" t="n">
        <f aca="false">I16</f>
        <v>54</v>
      </c>
      <c r="C23" s="17" t="n">
        <f aca="false">I15</f>
        <v>56</v>
      </c>
      <c r="D23" s="17" t="n">
        <f aca="false">B23-C23</f>
        <v>-2</v>
      </c>
      <c r="E23" s="19" t="n">
        <f aca="false">IFERROR((B23-C23)/C23,0)</f>
        <v>-0.0357142857142857</v>
      </c>
      <c r="F23" s="18" t="str">
        <f aca="false">IF(D23&gt;0,"Increased",IF(D23&lt;0,"Decreased","Flat"))</f>
        <v>Decreased</v>
      </c>
      <c r="H23" s="20" t="s">
        <v>108</v>
      </c>
      <c r="I23" s="17" t="n">
        <f aca="false">COUNTIFS('Order Tracking'!$T$5:$T$604,H23,'Order Tracking'!$R$5:$R$604,"&gt;0")</f>
        <v>28</v>
      </c>
      <c r="J23" s="19" t="n">
        <f aca="false">IFERROR(I23/COUNTIF('Order Tracking'!$R$5:$R$604,"&gt;0"),0)</f>
        <v>0.120171673819742</v>
      </c>
      <c r="K23" s="16" t="n">
        <f aca="false">SUMIFS('Order Tracking'!$L$5:$L$604,'Order Tracking'!$T$5:$T$604,H23,'Order Tracking'!$R$5:$R$604,"&gt;0")</f>
        <v>2417808.57</v>
      </c>
    </row>
    <row r="24" customFormat="false" ht="15" hidden="false" customHeight="false" outlineLevel="0" collapsed="false">
      <c r="A24" s="20" t="s">
        <v>1767</v>
      </c>
      <c r="B24" s="17" t="n">
        <f aca="false">K16</f>
        <v>26</v>
      </c>
      <c r="C24" s="17" t="n">
        <f aca="false">K15</f>
        <v>35</v>
      </c>
      <c r="D24" s="17" t="n">
        <f aca="false">B24-C24</f>
        <v>-9</v>
      </c>
      <c r="E24" s="19" t="n">
        <f aca="false">IFERROR((B24-C24)/C24,0)</f>
        <v>-0.257142857142857</v>
      </c>
      <c r="F24" s="18" t="str">
        <f aca="false">IF(D24&gt;0,"Increased",IF(D24&lt;0,"Decreased","Flat"))</f>
        <v>Decreased</v>
      </c>
      <c r="H24" s="20" t="s">
        <v>110</v>
      </c>
      <c r="I24" s="17" t="n">
        <f aca="false">COUNTIFS('Order Tracking'!$T$5:$T$604,H24,'Order Tracking'!$R$5:$R$604,"&gt;0")</f>
        <v>30</v>
      </c>
      <c r="J24" s="19" t="n">
        <f aca="false">IFERROR(I24/COUNTIF('Order Tracking'!$R$5:$R$604,"&gt;0"),0)</f>
        <v>0.128755364806867</v>
      </c>
      <c r="K24" s="16" t="n">
        <f aca="false">SUMIFS('Order Tracking'!$L$5:$L$604,'Order Tracking'!$T$5:$T$604,H24,'Order Tracking'!$R$5:$R$604,"&gt;0")</f>
        <v>2477640.76</v>
      </c>
    </row>
    <row r="25" customFormat="false" ht="15" hidden="false" customHeight="false" outlineLevel="0" collapsed="false">
      <c r="A25" s="20" t="s">
        <v>1768</v>
      </c>
      <c r="B25" s="19" t="n">
        <f aca="false">M16</f>
        <v>0.481481481481481</v>
      </c>
      <c r="C25" s="19" t="n">
        <f aca="false">M15</f>
        <v>0.625</v>
      </c>
      <c r="D25" s="19" t="n">
        <f aca="false">B25-C25</f>
        <v>-0.143518518518519</v>
      </c>
      <c r="E25" s="19" t="n">
        <f aca="false">IFERROR((B25-C25)/C25,0)</f>
        <v>-0.22962962962963</v>
      </c>
      <c r="F25" s="18" t="str">
        <f aca="false">IF(D25&gt;0,"Increased",IF(D25&lt;0,"Decreased","Flat"))</f>
        <v>Decreased</v>
      </c>
      <c r="H25" s="20" t="s">
        <v>112</v>
      </c>
      <c r="I25" s="17" t="n">
        <f aca="false">COUNTIFS('Order Tracking'!$T$5:$T$604,H25,'Order Tracking'!$R$5:$R$604,"&gt;0")</f>
        <v>26</v>
      </c>
      <c r="J25" s="19" t="n">
        <f aca="false">IFERROR(I25/COUNTIF('Order Tracking'!$R$5:$R$604,"&gt;0"),0)</f>
        <v>0.111587982832618</v>
      </c>
      <c r="K25" s="16" t="n">
        <f aca="false">SUMIFS('Order Tracking'!$L$5:$L$604,'Order Tracking'!$T$5:$T$604,H25,'Order Tracking'!$R$5:$R$604,"&gt;0")</f>
        <v>1958593.15</v>
      </c>
    </row>
    <row r="26" customFormat="false" ht="15" hidden="false" customHeight="false" outlineLevel="0" collapsed="false">
      <c r="A26" s="20" t="s">
        <v>1769</v>
      </c>
      <c r="B26" s="16" t="n">
        <f aca="false">F16</f>
        <v>962463.76</v>
      </c>
      <c r="C26" s="16" t="n">
        <f aca="false">F15</f>
        <v>288606.35</v>
      </c>
      <c r="D26" s="16" t="n">
        <f aca="false">B26-C26</f>
        <v>673857.41</v>
      </c>
      <c r="E26" s="19" t="n">
        <f aca="false">IFERROR((B26-C26)/C26,0)</f>
        <v>2.33486688702449</v>
      </c>
      <c r="F26" s="18" t="str">
        <f aca="false">IF(D26&gt;0,"Increased",IF(D26&lt;0,"Decreased","Flat"))</f>
        <v>Increased</v>
      </c>
      <c r="H26" s="20" t="s">
        <v>114</v>
      </c>
      <c r="I26" s="17" t="n">
        <f aca="false">COUNTIFS('Order Tracking'!$T$5:$T$604,H26,'Order Tracking'!$R$5:$R$604,"&gt;0")</f>
        <v>29</v>
      </c>
      <c r="J26" s="19" t="n">
        <f aca="false">IFERROR(I26/COUNTIF('Order Tracking'!$R$5:$R$604,"&gt;0"),0)</f>
        <v>0.124463519313305</v>
      </c>
      <c r="K26" s="16" t="n">
        <f aca="false">SUMIFS('Order Tracking'!$L$5:$L$604,'Order Tracking'!$T$5:$T$604,H26,'Order Tracking'!$R$5:$R$604,"&gt;0")</f>
        <v>2464641.98</v>
      </c>
    </row>
    <row r="27" customFormat="false" ht="15" hidden="false" customHeight="false" outlineLevel="0" collapsed="false">
      <c r="H27" s="20" t="s">
        <v>115</v>
      </c>
      <c r="I27" s="17" t="n">
        <f aca="false">COUNTIFS('Order Tracking'!$T$5:$T$604,H27,'Order Tracking'!$R$5:$R$604,"&gt;0")</f>
        <v>45</v>
      </c>
      <c r="J27" s="19" t="n">
        <f aca="false">IFERROR(I27/COUNTIF('Order Tracking'!$R$5:$R$604,"&gt;0"),0)</f>
        <v>0.1931330472103</v>
      </c>
      <c r="K27" s="16" t="n">
        <f aca="false">SUMIFS('Order Tracking'!$L$5:$L$604,'Order Tracking'!$T$5:$T$604,H27,'Order Tracking'!$R$5:$R$604,"&gt;0")</f>
        <v>2664246.13</v>
      </c>
    </row>
    <row r="28" customFormat="false" ht="15" hidden="false" customHeight="false" outlineLevel="0" collapsed="false">
      <c r="H28" s="20" t="s">
        <v>116</v>
      </c>
      <c r="I28" s="17" t="n">
        <f aca="false">COUNTIFS('Order Tracking'!$T$5:$T$604,H28,'Order Tracking'!$R$5:$R$604,"&gt;0")</f>
        <v>11</v>
      </c>
      <c r="J28" s="19" t="n">
        <f aca="false">IFERROR(I28/COUNTIF('Order Tracking'!$R$5:$R$604,"&gt;0"),0)</f>
        <v>0.0472103004291846</v>
      </c>
      <c r="K28" s="16" t="n">
        <f aca="false">SUMIFS('Order Tracking'!$L$5:$L$604,'Order Tracking'!$T$5:$T$604,H28,'Order Tracking'!$R$5:$R$604,"&gt;0")</f>
        <v>999740.98</v>
      </c>
    </row>
  </sheetData>
  <mergeCells count="6">
    <mergeCell ref="A1:T1"/>
    <mergeCell ref="A2:T2"/>
    <mergeCell ref="A4:F4"/>
    <mergeCell ref="H4:M4"/>
    <mergeCell ref="A20:F20"/>
    <mergeCell ref="H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2026-10-19T17:07:07Z</dcterms:created>
  <dc:creator>openpyxl</dc:creator>
  <dc:description/>
  <dc:language>en-US</dc:language>
  <cp:lastModifiedBy/>
  <dcterms:modified xsi:type="dcterms:W3CDTF">2026-10-19T17:07:14Z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